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1564" documentId="11_9625BB42F3402033FA571EDD2E0A24E2BF28BCC5" xr6:coauthVersionLast="47" xr6:coauthVersionMax="47" xr10:uidLastSave="{FA875B0B-45A7-4F03-9302-4EBF19B45316}"/>
  <bookViews>
    <workbookView xWindow="-110" yWindow="-110" windowWidth="25820" windowHeight="15500" xr2:uid="{00000000-000D-0000-FFFF-FFFF00000000}"/>
  </bookViews>
  <sheets>
    <sheet name="📊 DASHBOARD EJECUTIVO" sheetId="12" r:id="rId1"/>
    <sheet name="📋 DATOS CONSOLIDADOS" sheetId="13" r:id="rId2"/>
    <sheet name="DAF - Jefatura Administrativa" sheetId="1" r:id="rId3"/>
    <sheet name="DAF - Jefatura de Talento Human" sheetId="2" r:id="rId4"/>
    <sheet name="DAF - Jefatura Financiera" sheetId="3" r:id="rId5"/>
    <sheet name="Dirección de Comercialización" sheetId="4" r:id="rId6"/>
    <sheet name="Dirección de Comunicación" sheetId="5" r:id="rId7"/>
    <sheet name="Dirección de Desarrollo de Prod" sheetId="6" r:id="rId8"/>
    <sheet name="Dirección de Promoción de Desti" sheetId="7" r:id="rId9"/>
    <sheet name="Dirección de Servicios para la " sheetId="8" r:id="rId10"/>
    <sheet name="Dirección de Turismo de Negocio" sheetId="9" r:id="rId11"/>
    <sheet name="DPEI - Estadística" sheetId="10" r:id="rId12"/>
    <sheet name="DPEI - Jefatura de TICS" sheetId="11" r:id="rId13"/>
  </sheets>
  <externalReferences>
    <externalReference r:id="rId14"/>
  </externalReferences>
  <definedNames>
    <definedName name="_xlnm._FilterDatabase" localSheetId="2" hidden="1">'DAF - Jefatura Administrativa'!$A$9:$F$21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2" l="1"/>
  <c r="G60" i="13"/>
  <c r="I9" i="12" s="1"/>
  <c r="E7" i="11"/>
  <c r="H20" i="12"/>
  <c r="G20" i="12"/>
  <c r="H21" i="12"/>
  <c r="G21" i="12"/>
  <c r="H22" i="12"/>
  <c r="G22" i="12"/>
  <c r="H23" i="12"/>
  <c r="G23" i="12"/>
  <c r="H24" i="12"/>
  <c r="G24" i="12"/>
  <c r="H25" i="12"/>
  <c r="G25" i="12"/>
  <c r="H26" i="12"/>
  <c r="G26" i="12"/>
  <c r="H27" i="12"/>
  <c r="G27" i="12"/>
  <c r="H29" i="12"/>
  <c r="G29" i="12"/>
  <c r="H28" i="12"/>
  <c r="G28" i="12"/>
  <c r="H30" i="12"/>
  <c r="G30" i="12"/>
  <c r="H15" i="12"/>
  <c r="J15" i="12" s="1"/>
  <c r="H14" i="12"/>
  <c r="J14" i="12" s="1"/>
  <c r="C15" i="12"/>
  <c r="E15" i="12" s="1"/>
  <c r="C14" i="12"/>
  <c r="E14" i="12" s="1"/>
  <c r="G9" i="12"/>
  <c r="F9" i="12"/>
  <c r="M5" i="12"/>
  <c r="M4" i="12"/>
  <c r="M3" i="12"/>
  <c r="I38" i="12"/>
  <c r="M28" i="12" s="1"/>
  <c r="H38" i="12"/>
  <c r="N23" i="12" s="1"/>
  <c r="G38" i="12"/>
  <c r="M23" i="12" s="1"/>
  <c r="F38" i="12"/>
  <c r="E38" i="12"/>
  <c r="D38" i="12"/>
  <c r="C38" i="12"/>
  <c r="M18" i="12" s="1"/>
  <c r="I37" i="12"/>
  <c r="H37" i="12"/>
  <c r="G37" i="12"/>
  <c r="F37" i="12"/>
  <c r="E37" i="12"/>
  <c r="D37" i="12"/>
  <c r="C37" i="12"/>
  <c r="M17" i="12" s="1"/>
  <c r="I36" i="12"/>
  <c r="M26" i="12" s="1"/>
  <c r="H36" i="12"/>
  <c r="N21" i="12" s="1"/>
  <c r="G36" i="12"/>
  <c r="M21" i="12" s="1"/>
  <c r="F36" i="12"/>
  <c r="E36" i="12"/>
  <c r="D36" i="12"/>
  <c r="C36" i="12"/>
  <c r="E6" i="11"/>
  <c r="E5" i="11"/>
  <c r="E4" i="11"/>
  <c r="B7" i="11"/>
  <c r="B6" i="11"/>
  <c r="B5" i="11"/>
  <c r="B4" i="11"/>
  <c r="E7" i="10"/>
  <c r="E6" i="10"/>
  <c r="E5" i="10"/>
  <c r="E4" i="10"/>
  <c r="B7" i="10"/>
  <c r="B6" i="10"/>
  <c r="B5" i="10"/>
  <c r="B4" i="10"/>
  <c r="E7" i="9"/>
  <c r="E6" i="9"/>
  <c r="E5" i="9"/>
  <c r="E4" i="9"/>
  <c r="B7" i="9"/>
  <c r="B6" i="9"/>
  <c r="B5" i="9"/>
  <c r="B4" i="9"/>
  <c r="E7" i="8"/>
  <c r="E6" i="8"/>
  <c r="E5" i="8"/>
  <c r="E4" i="8"/>
  <c r="B7" i="8"/>
  <c r="B6" i="8"/>
  <c r="B5" i="8"/>
  <c r="B4" i="8"/>
  <c r="E7" i="7"/>
  <c r="E6" i="7"/>
  <c r="E5" i="7"/>
  <c r="E4" i="7"/>
  <c r="B7" i="7"/>
  <c r="B6" i="7"/>
  <c r="B5" i="7"/>
  <c r="B4" i="7"/>
  <c r="E7" i="6"/>
  <c r="E6" i="6"/>
  <c r="E5" i="6"/>
  <c r="E4" i="6"/>
  <c r="B7" i="6"/>
  <c r="B6" i="6"/>
  <c r="B5" i="6"/>
  <c r="B4" i="6"/>
  <c r="E7" i="5"/>
  <c r="E6" i="5"/>
  <c r="E5" i="5"/>
  <c r="E4" i="5"/>
  <c r="B7" i="5"/>
  <c r="B6" i="5"/>
  <c r="B5" i="5"/>
  <c r="B4" i="5"/>
  <c r="E7" i="4"/>
  <c r="E6" i="4"/>
  <c r="E5" i="4"/>
  <c r="E4" i="4"/>
  <c r="B7" i="4"/>
  <c r="B6" i="4"/>
  <c r="B5" i="4"/>
  <c r="B4" i="4"/>
  <c r="E7" i="3"/>
  <c r="E6" i="3"/>
  <c r="E5" i="3"/>
  <c r="E4" i="3"/>
  <c r="B7" i="3"/>
  <c r="B6" i="3"/>
  <c r="B5" i="3"/>
  <c r="B4" i="3"/>
  <c r="E7" i="2"/>
  <c r="E6" i="2"/>
  <c r="E4" i="2"/>
  <c r="B7" i="2"/>
  <c r="B6" i="2"/>
  <c r="B5" i="2"/>
  <c r="B4" i="2"/>
  <c r="E7" i="1"/>
  <c r="E6" i="1"/>
  <c r="E5" i="1"/>
  <c r="E4" i="1"/>
  <c r="B7" i="1"/>
  <c r="B6" i="1"/>
  <c r="B5" i="1"/>
  <c r="B4" i="1"/>
  <c r="M13" i="12"/>
  <c r="M12" i="12"/>
  <c r="M9" i="12"/>
  <c r="M8" i="12"/>
  <c r="J20" i="12"/>
  <c r="I20" i="12"/>
  <c r="F20" i="12"/>
  <c r="E20" i="12"/>
  <c r="D20" i="12"/>
  <c r="C20" i="12"/>
  <c r="J21" i="12"/>
  <c r="I21" i="12"/>
  <c r="F21" i="12"/>
  <c r="E21" i="12"/>
  <c r="D21" i="12"/>
  <c r="C21" i="12"/>
  <c r="J22" i="12"/>
  <c r="I22" i="12"/>
  <c r="F22" i="12"/>
  <c r="E22" i="12"/>
  <c r="D22" i="12"/>
  <c r="C22" i="12"/>
  <c r="J23" i="12"/>
  <c r="I23" i="12"/>
  <c r="F23" i="12"/>
  <c r="E23" i="12"/>
  <c r="D23" i="12"/>
  <c r="C23" i="12"/>
  <c r="J24" i="12"/>
  <c r="I24" i="12"/>
  <c r="F24" i="12"/>
  <c r="E24" i="12"/>
  <c r="D24" i="12"/>
  <c r="C24" i="12"/>
  <c r="J25" i="12"/>
  <c r="I25" i="12"/>
  <c r="F25" i="12"/>
  <c r="E25" i="12"/>
  <c r="D25" i="12"/>
  <c r="C25" i="12"/>
  <c r="J26" i="12"/>
  <c r="I26" i="12"/>
  <c r="F26" i="12"/>
  <c r="E26" i="12"/>
  <c r="D26" i="12"/>
  <c r="C26" i="12"/>
  <c r="J27" i="12"/>
  <c r="I27" i="12"/>
  <c r="F27" i="12"/>
  <c r="E27" i="12"/>
  <c r="D27" i="12"/>
  <c r="C27" i="12"/>
  <c r="J29" i="12"/>
  <c r="I29" i="12"/>
  <c r="F29" i="12"/>
  <c r="E29" i="12"/>
  <c r="D29" i="12"/>
  <c r="C29" i="12"/>
  <c r="J28" i="12"/>
  <c r="I28" i="12"/>
  <c r="F28" i="12"/>
  <c r="E28" i="12"/>
  <c r="D28" i="12"/>
  <c r="C28" i="12"/>
  <c r="J30" i="12"/>
  <c r="I30" i="12"/>
  <c r="F30" i="12"/>
  <c r="E30" i="12"/>
  <c r="D30" i="12"/>
  <c r="C30" i="12"/>
  <c r="C31" i="12" s="1"/>
  <c r="I15" i="12"/>
  <c r="I14" i="12"/>
  <c r="I13" i="12"/>
  <c r="H13" i="12"/>
  <c r="D15" i="12"/>
  <c r="D14" i="12"/>
  <c r="D13" i="12"/>
  <c r="C13" i="12"/>
  <c r="J9" i="12"/>
  <c r="H9" i="12"/>
  <c r="E9" i="12"/>
  <c r="D9" i="12"/>
  <c r="C9" i="12"/>
  <c r="B9" i="12"/>
  <c r="J31" i="12" l="1"/>
  <c r="D31" i="12"/>
  <c r="I31" i="12"/>
  <c r="F31" i="12"/>
  <c r="E31" i="12"/>
  <c r="F39" i="12"/>
  <c r="E39" i="12"/>
  <c r="D39" i="12"/>
  <c r="I16" i="12"/>
  <c r="M27" i="12"/>
  <c r="I39" i="12"/>
  <c r="N22" i="12"/>
  <c r="H39" i="12"/>
  <c r="M22" i="12"/>
  <c r="G39" i="12"/>
  <c r="M16" i="12"/>
  <c r="C39" i="12"/>
  <c r="H31" i="12"/>
  <c r="G31" i="12"/>
  <c r="H16" i="12"/>
  <c r="J13" i="12"/>
  <c r="J16" i="12" s="1"/>
  <c r="C16" i="12"/>
  <c r="E13" i="12"/>
  <c r="E16" i="12" s="1"/>
  <c r="J37" i="12" l="1"/>
  <c r="J38" i="12"/>
  <c r="J36" i="12"/>
  <c r="J39" i="12" l="1"/>
</calcChain>
</file>

<file path=xl/sharedStrings.xml><?xml version="1.0" encoding="utf-8"?>
<sst xmlns="http://schemas.openxmlformats.org/spreadsheetml/2006/main" count="893" uniqueCount="212">
  <si>
    <t>Nombre del Proceso</t>
  </si>
  <si>
    <t>PAC/No PAC</t>
  </si>
  <si>
    <t>Cuatrimestre</t>
  </si>
  <si>
    <t>Estado</t>
  </si>
  <si>
    <t>Días Tarde</t>
  </si>
  <si>
    <t>Monto</t>
  </si>
  <si>
    <t>Adquisición de suministros de impresión (toners) para la EPMGDT</t>
  </si>
  <si>
    <t>PAC</t>
  </si>
  <si>
    <t>2</t>
  </si>
  <si>
    <t>Adquisición suministros de oficina para la EPMGDT</t>
  </si>
  <si>
    <t>3</t>
  </si>
  <si>
    <t/>
  </si>
  <si>
    <t>Contratación de póliza de seguro para los bienes muebles e inmuebles pertenecientes a la Empresa Pública Metropolitana de Gestión de Destino Turístico</t>
  </si>
  <si>
    <t>1</t>
  </si>
  <si>
    <t>Contratación del servicio de agencias de viajes para la provisión de pasajes a�?reos nacionales e internacionales para los servidores de la EPMGDT</t>
  </si>
  <si>
    <t>No PAC</t>
  </si>
  <si>
    <t>Contratado</t>
  </si>
  <si>
    <t>Contratación del servicio de fumigación y desratización de las instalaciones de la EPMGDT y sus dependencias</t>
  </si>
  <si>
    <t>NO PAC</t>
  </si>
  <si>
    <t>Contratación del servicio de mantenimiento preventivo y correctivo de cámaras de seguridad de la EPMGDT y sus dependencias</t>
  </si>
  <si>
    <t>Contratación del servicio de mantenimiento preventivo y correctivo para el parque automotor de la EPMGDT</t>
  </si>
  <si>
    <t>Mantenimiento de edificios de la EPMGDT (fase 2)</t>
  </si>
  <si>
    <t>Material de construcción</t>
  </si>
  <si>
    <t>Servicio de rastreo satelital para los vehículos y motocicleta de la EPMGDT</t>
  </si>
  <si>
    <t>Servicio de seguridad y vigilancia para las instalaciones de Quito Turismo y sus Dependencias 2026 - 2027</t>
  </si>
  <si>
    <t>Adquisición de ropa de trabajo para el personal de Código de Trabajo de la EPMGDT</t>
  </si>
  <si>
    <t>Consultoría contratación directa servicio de auditoría externa para los estados financieros del periodo cerrado al 31 de diciembre de 2025</t>
  </si>
  <si>
    <t>Consultoría para la verificación de recaudación de Tasa de Facilidades y Servicios Turísticos 2025.</t>
  </si>
  <si>
    <t>Servicio de Auditoría CCMQ</t>
  </si>
  <si>
    <t>Gestiónar la contratación para el mantenimiento de equipos para producción audiovisual</t>
  </si>
  <si>
    <t>Servicio de agencia de Publicidad especializada en pauta para difundir las acciones de Quito Turismo a nivel nacional, local e internacional 2026 - 2027</t>
  </si>
  <si>
    <t>Servicio Monitoreo de Medios de Comunicación para Determinar el Impacto de la Información Generada por Quito Servicio de Monitoreo de Información Televisión, Radio, Prensa Turismo 2026 - 2027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</si>
  <si>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</si>
  <si>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Servicio de implementación de facilidades Turísticas en el DMQ</t>
  </si>
  <si>
    <t>CONTRATACIÓN DEL SERVICIO DE ORGANIZACIÓN DE EVENTOS DE Promoción Turística DEL DESTINO QUITO EN EL MERCADO LOCAL Y NACIONAL PARA LA REALIZACIÓN DE EVENTOS TurísticoS Y GASTRONÓMICOS (PDT)</t>
  </si>
  <si>
    <t>SERVICIO DE PAUTA DE CAMPAÑA PromociónAL DEL DESTINO QUITO</t>
  </si>
  <si>
    <t>Servicio de relaciones públicas y representación en el exterior para la Promoción del destino Quito para los mercados de Europa y resto del mundo para los años 2026 y 2027</t>
  </si>
  <si>
    <t>Servicio de Asesoría y asistencia t�?cnica, para la obtención de la certificaciones internacionales en la Gestión de turismo sostenible y calidad del destino</t>
  </si>
  <si>
    <t>Servicio de capacitación Turística para el sector Turístico del Distrito Metropolitano de Quito 2026-2027</t>
  </si>
  <si>
    <t>ServIcio de contratación de talleres y materiales para el proceso de certificación en Competencia Laborales</t>
  </si>
  <si>
    <t>Servicio de impresión de blocks de formularios aplicados para actividades administrativas desarrolladas por la EPMGDT–Quito Turismo</t>
  </si>
  <si>
    <t>Servicio de transporte para verificadores</t>
  </si>
  <si>
    <t>SERVICIOS DE CONSULTORÍA PARA IMPLEMENTACIÓN DE LA NORMA ISO 37001:2016 SISTEMAS DE Gestión ANTISOBORNO</t>
  </si>
  <si>
    <t>Adquisición de Material POP</t>
  </si>
  <si>
    <t>Promoción y Posicionamiento Turístico del destino Quito en el marco de la producción del concierto de Ed Sheeran</t>
  </si>
  <si>
    <t>Servicio de Organización y producción de 1 evento internacional captado para 2026 PCMA</t>
  </si>
  <si>
    <t>Servicio de relaciones públicas y representación en el exterior para la Promoción del destino Quito para los mercados de Am�?rica para los años 2026 y 2027</t>
  </si>
  <si>
    <t>Suscripción al servicio de provisión de datos en línea para la Gestión de servicios de inteligencia Turística</t>
  </si>
  <si>
    <t>Adquisición de infraestructura tecnológica y suscripción de herramientas de respaldos y virtualización</t>
  </si>
  <si>
    <t>Adquisición de UPS</t>
  </si>
  <si>
    <t>Mantenimiento de scanner de alto rendimiento</t>
  </si>
  <si>
    <t>Mantenimiento de tablets con vigencia tecnológica</t>
  </si>
  <si>
    <t>Mantenimiento del ERP Olympo y soporte especializado</t>
  </si>
  <si>
    <t>Mantenimiento preventivo de equipos de la solución de networking</t>
  </si>
  <si>
    <t>Mantenimiento preventivo de la solución de respaldos</t>
  </si>
  <si>
    <t>Renovación de hosting</t>
  </si>
  <si>
    <t>Renovación de la suscripción de las licencias de diseño asistido por computadoras (cad) diseño gráfico modelado en 3D</t>
  </si>
  <si>
    <t>Renovación de la suscripción de las licencias de edición de video y diseño 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</si>
  <si>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</si>
  <si>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</si>
  <si>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</si>
  <si>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datos móviles 2026-2027</t>
  </si>
  <si>
    <t>Servicio de Internet y Enlace de Datos 2026-2027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</si>
  <si>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</si>
  <si>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</si>
  <si>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</si>
  <si>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</si>
  <si>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mantenimiento preventivo y correctivo de equipos informáticos y tecnológicos (computadores, escaners, proyectores impresoras, y otros)</t>
  </si>
  <si>
    <t>Suscripción de herramientas de IA para desarrollo de software y Gestión del código fuente</t>
  </si>
  <si>
    <t>Suscripción de herramientas de ofimática colaborativas con correo electrónico, inteligencia de negocios y servicios Cloud</t>
  </si>
  <si>
    <t>Suscripción de herramientas de seguridad informática para el aseguramiento de los activos de Información</t>
  </si>
  <si>
    <t>Área</t>
  </si>
  <si>
    <t>Estado Financiero</t>
  </si>
  <si>
    <t>DAF Admin</t>
  </si>
  <si>
    <t>Adquisición de suministros de impresión (toners)</t>
  </si>
  <si>
    <t>Financiado</t>
  </si>
  <si>
    <t>Adquisición suministros de oficina</t>
  </si>
  <si>
    <t>Contratación póliza de seguro bienes</t>
  </si>
  <si>
    <t>Servicio agencia de viajes - pasajes</t>
  </si>
  <si>
    <t>Servicio agencia de viajes - adicional</t>
  </si>
  <si>
    <t>Servicio fumigación y desratización</t>
  </si>
  <si>
    <t>Mantenimiento cámaras de seguridad</t>
  </si>
  <si>
    <t>Mantenimiento parque automotor</t>
  </si>
  <si>
    <t>Mantenimiento de edificios (fase 2)</t>
  </si>
  <si>
    <t>⚠️ Desfinanciado</t>
  </si>
  <si>
    <t>Servicio rastreo satelital vehículos</t>
  </si>
  <si>
    <t>Servicio seguridad y vigilancia 2026-2027</t>
  </si>
  <si>
    <t>DAF RRHH</t>
  </si>
  <si>
    <t>Adquisición ropa de trabajo</t>
  </si>
  <si>
    <t>DAF Financiera</t>
  </si>
  <si>
    <t>Consultoría auditoría externa</t>
  </si>
  <si>
    <t>Consultoría verificación recaudación Tasa</t>
  </si>
  <si>
    <t>Dir. Comercialización</t>
  </si>
  <si>
    <t>Dir. Comunicación</t>
  </si>
  <si>
    <t>Mantenimiento equipos producción audiovisual</t>
  </si>
  <si>
    <t>Servicio agencia Publicidad 2026-2027</t>
  </si>
  <si>
    <t>Servicio Monitoreo de Medios 2026-2027</t>
  </si>
  <si>
    <t>Dir. Desarrollo Prod</t>
  </si>
  <si>
    <t>Servicio operación Turística press/fam trips</t>
  </si>
  <si>
    <t>Servicio facilidades Turísticas DMQ</t>
  </si>
  <si>
    <t>Dir. Promoción</t>
  </si>
  <si>
    <t>Organización eventos promoción turística</t>
  </si>
  <si>
    <t>Servicio pauta campaña promocional</t>
  </si>
  <si>
    <t>Relaciones públicas Europa 2026-2027</t>
  </si>
  <si>
    <t>Dir. Servicios</t>
  </si>
  <si>
    <t>Asesoría certificaciones internacionales</t>
  </si>
  <si>
    <t>Capacitación Turística DMQ 2026-2027</t>
  </si>
  <si>
    <t>Talleres certificación Competencias</t>
  </si>
  <si>
    <t>Impresión blocks formularios</t>
  </si>
  <si>
    <t>Servicio transporte verificadores</t>
  </si>
  <si>
    <t>Consultoría ISO 37001 Antisoborno</t>
  </si>
  <si>
    <t>Dir. Turismo Neg</t>
  </si>
  <si>
    <t>Adquisición Material POP</t>
  </si>
  <si>
    <t>Promoción concierto Ed Sheeran</t>
  </si>
  <si>
    <t>Organización evento PCMA 2026</t>
  </si>
  <si>
    <t>Relaciones públicas América 2026-2027</t>
  </si>
  <si>
    <t>DPEI Estadística</t>
  </si>
  <si>
    <t>Suscripción datos inteligencia Turística</t>
  </si>
  <si>
    <t>DPEI TICS</t>
  </si>
  <si>
    <t>Infraestructura tecnológica y respaldos</t>
  </si>
  <si>
    <t>Mantenimiento scanner alto rendimiento</t>
  </si>
  <si>
    <t>Mantenimiento tablets</t>
  </si>
  <si>
    <t>Mantenimiento ERP Olympo</t>
  </si>
  <si>
    <t>Mantenimiento solución networking</t>
  </si>
  <si>
    <t>Mantenimiento solución respaldos</t>
  </si>
  <si>
    <t>Renovación hosting</t>
  </si>
  <si>
    <t>Renovación licencias CAD/3D</t>
  </si>
  <si>
    <t>Renovación licencias edición video</t>
  </si>
  <si>
    <t>Renovación herramienta correos masivos</t>
  </si>
  <si>
    <t>Renovación licencia GIS</t>
  </si>
  <si>
    <t>Renovación licencias antivirus</t>
  </si>
  <si>
    <t>Servicio datos móviles 2026-2027</t>
  </si>
  <si>
    <t>Servicio Internet y Enlace 2026-2027</t>
  </si>
  <si>
    <t>Mantenimiento computadores Asus</t>
  </si>
  <si>
    <t>Mantenimiento computadores HP</t>
  </si>
  <si>
    <t>Mantenimiento computadores MAC</t>
  </si>
  <si>
    <t>Mantenimiento computadores SpeedMind</t>
  </si>
  <si>
    <t>Mantenimiento equipos informáticos varios</t>
  </si>
  <si>
    <t>Herramientas IA desarrollo software</t>
  </si>
  <si>
    <t>Suscripción ofimática/BI/Cloud</t>
  </si>
  <si>
    <t>Herramientas seguridad informática</t>
  </si>
  <si>
    <t>Empresa Pública Metropolitana de Gestión de Destino Turístico - Quito Turismo</t>
  </si>
  <si>
    <t>📅 Fecha de Actualización: 06 de Mayo de 2026</t>
  </si>
  <si>
    <t>📈 INDICADORES CLAVE DE DESEMPEÑO (KPIs)</t>
  </si>
  <si>
    <t>TOTAL PROCESOS</t>
  </si>
  <si>
    <t>PROCESOS PAC</t>
  </si>
  <si>
    <t>PROCESOS NO PAC</t>
  </si>
  <si>
    <t>✅ CONTRATADOS</t>
  </si>
  <si>
    <t>🚫 DESFINANCIADOS</t>
  </si>
  <si>
    <t>💰 MONTO TOTAL</t>
  </si>
  <si>
    <t>📆 PROM. DÍAS TARDE</t>
  </si>
  <si>
    <t>📊 ANÁLISIS PROCESOS PAC</t>
  </si>
  <si>
    <t>Indicador</t>
  </si>
  <si>
    <t>Cantidad</t>
  </si>
  <si>
    <t>% del Total</t>
  </si>
  <si>
    <t>✅ Contratado</t>
  </si>
  <si>
    <t>📈 TOTAL PAC</t>
  </si>
  <si>
    <t>📊 ANÁLISIS PROCESOS NO PAC</t>
  </si>
  <si>
    <t>📈 TOTAL NO PAC</t>
  </si>
  <si>
    <t>🏢 RESUMEN POR ÁREA / DIRECCIÓN</t>
  </si>
  <si>
    <t>Total</t>
  </si>
  <si>
    <t>Monto Total</t>
  </si>
  <si>
    <t>Días Tarde Prom</t>
  </si>
  <si>
    <t>📊 TOTALES</t>
  </si>
  <si>
    <t>Tipo</t>
  </si>
  <si>
    <t>DATOS GRÁFICOS</t>
  </si>
  <si>
    <t>Procesos</t>
  </si>
  <si>
    <t>📉 VISUALIZACIÓN DE INDICADORES</t>
  </si>
  <si>
    <t>📊 DAF - JEFATURA ADMINISTRATIVA</t>
  </si>
  <si>
    <t>INDICADOR</t>
  </si>
  <si>
    <t>VALOR</t>
  </si>
  <si>
    <t>Total Procesos</t>
  </si>
  <si>
    <t>Procesos PAC</t>
  </si>
  <si>
    <t>Procesos No PAC</t>
  </si>
  <si>
    <t>ESTADO</t>
  </si>
  <si>
    <t>CANTIDAD</t>
  </si>
  <si>
    <t>✅ Contratados</t>
  </si>
  <si>
    <t>🚫 Desfinanciados</t>
  </si>
  <si>
    <t>📊 DAF - TALENTO HUMANO</t>
  </si>
  <si>
    <t>📊 DAF - JEFATURA FINANCIERA</t>
  </si>
  <si>
    <t>📊 DIRECCIÓN DE COMERCIALIZACIÓN</t>
  </si>
  <si>
    <t>📊 DIRECCIÓN DE COMUNICACIÓN</t>
  </si>
  <si>
    <t>📊 DIRECCIÓN DE DESARROLLO DE PRODUCTO</t>
  </si>
  <si>
    <t>📊 DIRECCIÓN DE PROMOCIÓN DE DESTINO</t>
  </si>
  <si>
    <t>📊 DIRECCIÓN DE SERVICIOS</t>
  </si>
  <si>
    <t>📊 DIRECCIÓN DE TURISMO DE NEGOCIOS</t>
  </si>
  <si>
    <t>📊 DPEI - ESTADÍSTICA</t>
  </si>
  <si>
    <t>📊 DPEI - JEFATURA DE TICS</t>
  </si>
  <si>
    <t>💡 RECOMENDACIONES Y ACCIONES PRIORITARIAS</t>
  </si>
  <si>
    <t>📈 ANÁLISIS ADICIONAL POR ÁREA</t>
  </si>
  <si>
    <t>✅ A TIEMPO</t>
  </si>
  <si>
    <t>⏰ CON RETRASO</t>
  </si>
  <si>
    <t>A Tiempo</t>
  </si>
  <si>
    <t>Con Retraso</t>
  </si>
  <si>
    <t>✅ A Tiempo</t>
  </si>
  <si>
    <t>⏰ Con Retraso</t>
  </si>
  <si>
    <t>📅 RESUMEN POR CUATRIMESTRES</t>
  </si>
  <si>
    <t>1️⃣ Cuatrimestre 1 (Ene-Abr)</t>
  </si>
  <si>
    <t>2️⃣ Cuatrimestre 2 (May-Ago)</t>
  </si>
  <si>
    <t>3️⃣ Cuatrimestre 3 (Sep-Dic)</t>
  </si>
  <si>
    <t>📊 TOTAL ANUAL</t>
  </si>
  <si>
    <t>Ctm 1</t>
  </si>
  <si>
    <t>Ctm 2</t>
  </si>
  <si>
    <t>Ctm 3</t>
  </si>
  <si>
    <t>📖 LEYENDA DE ESTADOS</t>
  </si>
  <si>
    <t>🚫 Desfinanciado</t>
  </si>
  <si>
    <t>1️⃣ URGENTE: Asignar presupuesto a procesos desfinanciados (monto $0) para evitar paralización de actividades críticas.</t>
  </si>
  <si>
    <t>2️⃣ ALTA PRIORIDAD: Acelerar procesos con retraso. Promedio actual de días de atraso: 30 días.</t>
  </si>
  <si>
    <t>3️⃣ SEGUIMIENTO: Mantener monitoreo de procesos a tiempo para cumplir plazos establecidos.</t>
  </si>
  <si>
    <t>4️⃣ ÉXITO: Procesos contratados en ejecución efectiva - mantener buenas prácticas de gestión.</t>
  </si>
  <si>
    <t>📊 Dashboard Ejecutivo | EPMGDT - Quito Turismo | Actualizado: Mayo 2026</t>
  </si>
  <si>
    <t>🏛️ DASHBOARD - GESTIÓN DE PROCESOS EPMGDT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</si>
</sst>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&quot;$&quot;#,##0.00"/>
    <numFmt numFmtId="166" formatCode="&quot;$&quot;#,##0"/>
    <numFmt numFmtId="167" formatCode="0.0"/>
    <numFmt numFmtId="168" formatCode="0.0%"/>
  </numFmts>
  <fonts count="2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i/>
      <sz val="12"/>
      <color rgb="FF5B9BD5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28"/>
      <color rgb="FF2E75B6"/>
      <name val="Calibri"/>
      <family val="2"/>
      <scheme val="minor"/>
    </font>
    <font>
      <b/>
      <sz val="28"/>
      <color rgb="FF548235"/>
      <name val="Calibri"/>
      <family val="2"/>
      <scheme val="minor"/>
    </font>
    <font>
      <b/>
      <sz val="28"/>
      <color rgb="FFBF8F00"/>
      <name val="Calibri"/>
      <family val="2"/>
      <scheme val="minor"/>
    </font>
    <font>
      <b/>
      <sz val="28"/>
      <color rgb="FF375623"/>
      <name val="Calibri"/>
      <family val="2"/>
      <scheme val="minor"/>
    </font>
    <font>
      <b/>
      <sz val="28"/>
      <color rgb="FF2F5496"/>
      <name val="Calibri"/>
      <family val="2"/>
      <scheme val="minor"/>
    </font>
    <font>
      <b/>
      <sz val="28"/>
      <color rgb="FFC65911"/>
      <name val="Calibri"/>
      <family val="2"/>
      <scheme val="minor"/>
    </font>
    <font>
      <b/>
      <sz val="28"/>
      <color rgb="FFC0000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28"/>
      <color rgb="FF833C0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C65911"/>
      <name val="Calibri"/>
      <family val="2"/>
      <scheme val="minor"/>
    </font>
    <font>
      <b/>
      <sz val="11"/>
      <color rgb="FF2F5496"/>
      <name val="Calibri"/>
      <family val="2"/>
      <scheme val="minor"/>
    </font>
    <font>
      <b/>
      <sz val="11"/>
      <color rgb="FF37562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0" borderId="0" xfId="0" applyFont="1"/>
    <xf numFmtId="165" fontId="4" fillId="0" borderId="0" xfId="0" applyNumberFormat="1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9" fillId="4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9" fillId="14" borderId="3" xfId="0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/>
    </xf>
    <xf numFmtId="0" fontId="9" fillId="18" borderId="3" xfId="0" applyFont="1" applyFill="1" applyBorder="1" applyAlignment="1">
      <alignment horizontal="center"/>
    </xf>
    <xf numFmtId="0" fontId="9" fillId="20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/>
    </xf>
    <xf numFmtId="0" fontId="14" fillId="13" borderId="3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6" fillId="17" borderId="3" xfId="0" applyFont="1" applyFill="1" applyBorder="1" applyAlignment="1">
      <alignment horizontal="center"/>
    </xf>
    <xf numFmtId="166" fontId="17" fillId="19" borderId="3" xfId="0" applyNumberFormat="1" applyFont="1" applyFill="1" applyBorder="1" applyAlignment="1">
      <alignment horizontal="center"/>
    </xf>
    <xf numFmtId="167" fontId="18" fillId="21" borderId="3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0" fontId="2" fillId="22" borderId="3" xfId="0" applyFont="1" applyFill="1" applyBorder="1"/>
    <xf numFmtId="0" fontId="2" fillId="22" borderId="3" xfId="0" applyFont="1" applyFill="1" applyBorder="1" applyAlignment="1">
      <alignment horizontal="center"/>
    </xf>
    <xf numFmtId="168" fontId="2" fillId="22" borderId="3" xfId="0" applyNumberFormat="1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23" borderId="3" xfId="0" applyFont="1" applyFill="1" applyBorder="1"/>
    <xf numFmtId="0" fontId="2" fillId="23" borderId="3" xfId="0" applyFont="1" applyFill="1" applyBorder="1" applyAlignment="1">
      <alignment horizontal="center"/>
    </xf>
    <xf numFmtId="166" fontId="2" fillId="23" borderId="3" xfId="0" applyNumberFormat="1" applyFont="1" applyFill="1" applyBorder="1" applyAlignment="1">
      <alignment horizontal="center"/>
    </xf>
    <xf numFmtId="168" fontId="2" fillId="23" borderId="3" xfId="0" applyNumberFormat="1" applyFont="1" applyFill="1" applyBorder="1" applyAlignment="1">
      <alignment horizontal="center"/>
    </xf>
    <xf numFmtId="0" fontId="2" fillId="24" borderId="3" xfId="0" applyFont="1" applyFill="1" applyBorder="1" applyAlignment="1">
      <alignment horizontal="center"/>
    </xf>
    <xf numFmtId="0" fontId="0" fillId="25" borderId="3" xfId="0" applyFill="1" applyBorder="1"/>
    <xf numFmtId="0" fontId="0" fillId="25" borderId="3" xfId="0" applyFill="1" applyBorder="1" applyAlignment="1">
      <alignment horizontal="center"/>
    </xf>
    <xf numFmtId="166" fontId="0" fillId="25" borderId="3" xfId="0" applyNumberFormat="1" applyFill="1" applyBorder="1" applyAlignment="1">
      <alignment horizontal="center"/>
    </xf>
    <xf numFmtId="167" fontId="0" fillId="25" borderId="3" xfId="0" applyNumberForma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center"/>
    </xf>
    <xf numFmtId="166" fontId="3" fillId="3" borderId="3" xfId="0" applyNumberFormat="1" applyFont="1" applyFill="1" applyBorder="1" applyAlignment="1">
      <alignment horizontal="center"/>
    </xf>
    <xf numFmtId="167" fontId="3" fillId="3" borderId="3" xfId="0" applyNumberFormat="1" applyFont="1" applyFill="1" applyBorder="1" applyAlignment="1">
      <alignment horizontal="center"/>
    </xf>
    <xf numFmtId="0" fontId="2" fillId="24" borderId="3" xfId="0" applyFont="1" applyFill="1" applyBorder="1"/>
    <xf numFmtId="165" fontId="0" fillId="0" borderId="3" xfId="0" applyNumberFormat="1" applyBorder="1"/>
    <xf numFmtId="0" fontId="1" fillId="4" borderId="0" xfId="0" applyFont="1" applyFill="1"/>
    <xf numFmtId="164" fontId="1" fillId="4" borderId="0" xfId="0" applyNumberFormat="1" applyFont="1" applyFill="1"/>
    <xf numFmtId="0" fontId="3" fillId="4" borderId="0" xfId="0" applyFont="1" applyFill="1" applyAlignment="1">
      <alignment horizontal="center"/>
    </xf>
    <xf numFmtId="0" fontId="0" fillId="26" borderId="0" xfId="0" applyFill="1"/>
    <xf numFmtId="165" fontId="0" fillId="26" borderId="0" xfId="0" applyNumberFormat="1" applyFill="1"/>
    <xf numFmtId="165" fontId="3" fillId="3" borderId="0" xfId="0" applyNumberFormat="1" applyFont="1" applyFill="1"/>
    <xf numFmtId="168" fontId="0" fillId="26" borderId="0" xfId="0" applyNumberFormat="1" applyFill="1"/>
    <xf numFmtId="168" fontId="3" fillId="3" borderId="0" xfId="0" applyNumberFormat="1" applyFont="1" applyFill="1"/>
    <xf numFmtId="0" fontId="21" fillId="3" borderId="0" xfId="0" applyFont="1" applyFill="1" applyAlignment="1">
      <alignment horizontal="center"/>
    </xf>
    <xf numFmtId="0" fontId="0" fillId="0" borderId="0" xfId="0"/>
    <xf numFmtId="0" fontId="8" fillId="3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0" fillId="3" borderId="0" xfId="0" applyFill="1"/>
    <xf numFmtId="0" fontId="19" fillId="6" borderId="0" xfId="0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0" fillId="4" borderId="0" xfId="0" applyFill="1"/>
    <xf numFmtId="0" fontId="0" fillId="27" borderId="0" xfId="0" applyFill="1"/>
    <xf numFmtId="0" fontId="20" fillId="17" borderId="2" xfId="0" applyFont="1" applyFill="1" applyBorder="1" applyAlignment="1">
      <alignment wrapText="1"/>
    </xf>
    <xf numFmtId="0" fontId="25" fillId="17" borderId="1" xfId="0" applyFont="1" applyFill="1" applyBorder="1"/>
    <xf numFmtId="0" fontId="0" fillId="17" borderId="1" xfId="0" applyFill="1" applyBorder="1"/>
    <xf numFmtId="0" fontId="0" fillId="17" borderId="4" xfId="0" applyFill="1" applyBorder="1"/>
    <xf numFmtId="0" fontId="22" fillId="15" borderId="2" xfId="0" applyFont="1" applyFill="1" applyBorder="1" applyAlignment="1">
      <alignment wrapText="1"/>
    </xf>
    <xf numFmtId="0" fontId="25" fillId="15" borderId="1" xfId="0" applyFont="1" applyFill="1" applyBorder="1"/>
    <xf numFmtId="0" fontId="0" fillId="15" borderId="1" xfId="0" applyFill="1" applyBorder="1"/>
    <xf numFmtId="0" fontId="0" fillId="15" borderId="4" xfId="0" applyFill="1" applyBorder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27" fillId="0" borderId="0" xfId="0" applyFont="1" applyAlignment="1">
      <alignment horizontal="center"/>
    </xf>
    <xf numFmtId="0" fontId="23" fillId="13" borderId="2" xfId="0" applyFont="1" applyFill="1" applyBorder="1" applyAlignment="1">
      <alignment wrapText="1"/>
    </xf>
    <xf numFmtId="0" fontId="25" fillId="13" borderId="1" xfId="0" applyFont="1" applyFill="1" applyBorder="1"/>
    <xf numFmtId="0" fontId="0" fillId="13" borderId="1" xfId="0" applyFill="1" applyBorder="1"/>
    <xf numFmtId="0" fontId="0" fillId="13" borderId="4" xfId="0" applyFill="1" applyBorder="1"/>
    <xf numFmtId="0" fontId="24" fillId="11" borderId="2" xfId="0" applyFont="1" applyFill="1" applyBorder="1" applyAlignment="1">
      <alignment wrapText="1"/>
    </xf>
    <xf numFmtId="0" fontId="25" fillId="11" borderId="1" xfId="0" applyFont="1" applyFill="1" applyBorder="1"/>
    <xf numFmtId="0" fontId="0" fillId="11" borderId="1" xfId="0" applyFill="1" applyBorder="1"/>
    <xf numFmtId="0" fontId="0" fillId="11" borderId="4" xfId="0" applyFill="1" applyBorder="1"/>
    <xf numFmtId="0" fontId="26" fillId="16" borderId="0" xfId="0" applyFont="1" applyFill="1" applyAlignment="1">
      <alignment horizontal="center"/>
    </xf>
    <xf numFmtId="0" fontId="28" fillId="0" borderId="5" xfId="0" applyNumberFormat="1" applyFont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 vs NO 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'[1]📊 DASHBOARD PRINCIPAL'!$J$11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A6-44B9-A312-107AD3C451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A6-44B9-A312-107AD3C451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'[1]📊 DASHBOARD PRINCIPAL'!$I$12:$I$13</c:f>
              <c:strCache>
                <c:ptCount val="2"/>
                <c:pt idx="0">
                  <c:v>PAC</c:v>
                </c:pt>
                <c:pt idx="1">
                  <c:v>NO PAC</c:v>
                </c:pt>
              </c:strCache>
            </c:strRef>
          </c:cat>
          <c:val>
            <c:numRef>
              <c:f>'[1]📊 DASHBOARD PRINCIPAL'!$J$12:$J$13</c:f>
              <c:numCache>
                <c:formatCode>General</c:formatCode>
                <c:ptCount val="2"/>
                <c:pt idx="0">
                  <c:v>38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A6-44B9-A312-107AD3C45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 por Departamento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'[1]📊 DASHBOARD PRINCIPAL'!$B$18</c:f>
              <c:strCache>
                <c:ptCount val="1"/>
                <c:pt idx="0">
                  <c:v>Procesos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'[1]📊 DASHBOARD PRINCIPAL'!$A$19:$A$29</c:f>
              <c:strCache>
                <c:ptCount val="11"/>
                <c:pt idx="0">
                  <c:v>DAF - Jef. Administrativa</c:v>
                </c:pt>
                <c:pt idx="1">
                  <c:v>DAF - Jef. Talento Humano</c:v>
                </c:pt>
                <c:pt idx="2">
                  <c:v>DAF - Jef. Financiera</c:v>
                </c:pt>
                <c:pt idx="3">
                  <c:v>Dir. Comercialización</c:v>
                </c:pt>
                <c:pt idx="4">
                  <c:v>Dir. Comunicación</c:v>
                </c:pt>
                <c:pt idx="5">
                  <c:v>Dir. Desarrollo Producto</c:v>
                </c:pt>
                <c:pt idx="6">
                  <c:v>Dir. Promoción Destino</c:v>
                </c:pt>
                <c:pt idx="7">
                  <c:v>Dir. Servicios</c:v>
                </c:pt>
                <c:pt idx="8">
                  <c:v>Dir. Turismo Negocios</c:v>
                </c:pt>
                <c:pt idx="9">
                  <c:v>DPEI - Estadística</c:v>
                </c:pt>
                <c:pt idx="10">
                  <c:v>DPEI - Jef. TICS</c:v>
                </c:pt>
              </c:strCache>
            </c:strRef>
          </c:cat>
          <c:val>
            <c:numRef>
              <c:f>'[1]📊 DASHBOARD PRINCIPAL'!$B$19:$B$29</c:f>
              <c:numCache>
                <c:formatCode>General</c:formatCode>
                <c:ptCount val="11"/>
                <c:pt idx="0">
                  <c:v>12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  <c:pt idx="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1-4030-ABD3-1977258F611E}"/>
            </c:ext>
          </c:extLst>
        </c:ser>
        <c:ser>
          <c:idx val="1"/>
          <c:order val="1"/>
          <c:tx>
            <c:strRef>
              <c:f>'[1]📊 DASHBOARD PRINCIPAL'!$C$18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'[1]📊 DASHBOARD PRINCIPAL'!$A$19:$A$29</c:f>
              <c:strCache>
                <c:ptCount val="11"/>
                <c:pt idx="0">
                  <c:v>DAF - Jef. Administrativa</c:v>
                </c:pt>
                <c:pt idx="1">
                  <c:v>DAF - Jef. Talento Humano</c:v>
                </c:pt>
                <c:pt idx="2">
                  <c:v>DAF - Jef. Financiera</c:v>
                </c:pt>
                <c:pt idx="3">
                  <c:v>Dir. Comercialización</c:v>
                </c:pt>
                <c:pt idx="4">
                  <c:v>Dir. Comunicación</c:v>
                </c:pt>
                <c:pt idx="5">
                  <c:v>Dir. Desarrollo Producto</c:v>
                </c:pt>
                <c:pt idx="6">
                  <c:v>Dir. Promoción Destino</c:v>
                </c:pt>
                <c:pt idx="7">
                  <c:v>Dir. Servicios</c:v>
                </c:pt>
                <c:pt idx="8">
                  <c:v>Dir. Turismo Negocios</c:v>
                </c:pt>
                <c:pt idx="9">
                  <c:v>DPEI - Estadística</c:v>
                </c:pt>
                <c:pt idx="10">
                  <c:v>DPEI - Jef. TICS</c:v>
                </c:pt>
              </c:strCache>
            </c:strRef>
          </c:cat>
          <c:val>
            <c:numRef>
              <c:f>'[1]📊 DASHBOARD PRINCIPAL'!$C$19:$C$29</c:f>
              <c:numCache>
                <c:formatCode>General</c:formatCode>
                <c:ptCount val="11"/>
                <c:pt idx="0">
                  <c:v>169525</c:v>
                </c:pt>
                <c:pt idx="1">
                  <c:v>676</c:v>
                </c:pt>
                <c:pt idx="2">
                  <c:v>6600</c:v>
                </c:pt>
                <c:pt idx="3">
                  <c:v>6600</c:v>
                </c:pt>
                <c:pt idx="4">
                  <c:v>201500</c:v>
                </c:pt>
                <c:pt idx="5">
                  <c:v>331612.45999999996</c:v>
                </c:pt>
                <c:pt idx="6">
                  <c:v>1974791.99</c:v>
                </c:pt>
                <c:pt idx="7">
                  <c:v>185195.75</c:v>
                </c:pt>
                <c:pt idx="8">
                  <c:v>781770</c:v>
                </c:pt>
                <c:pt idx="9">
                  <c:v>39246.51</c:v>
                </c:pt>
                <c:pt idx="10">
                  <c:v>282559.93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1-4030-ABD3-1977258F6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4398000"/>
        <c:axId val="1484396560"/>
      </c:barChart>
      <c:catAx>
        <c:axId val="148439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84396560"/>
        <c:crosses val="autoZero"/>
        <c:auto val="1"/>
        <c:lblAlgn val="ctr"/>
        <c:lblOffset val="100"/>
        <c:noMultiLvlLbl val="0"/>
      </c:catAx>
      <c:valAx>
        <c:axId val="148439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8439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Procesos por Cuatrimestre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'[1]📊 DASHBOARD PRINCIPAL'!$J$18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'[1]📊 DASHBOARD PRINCIPAL'!$I$19:$I$21</c:f>
              <c:strCache>
                <c:ptCount val="3"/>
                <c:pt idx="0">
                  <c:v>1er Cuatrimestre</c:v>
                </c:pt>
                <c:pt idx="1">
                  <c:v>2do Cuatrimestre</c:v>
                </c:pt>
                <c:pt idx="2">
                  <c:v>3er Cuatrimestre</c:v>
                </c:pt>
              </c:strCache>
            </c:strRef>
          </c:cat>
          <c:val>
            <c:numRef>
              <c:f>'[1]📊 DASHBOARD PRINCIPAL'!$J$19:$J$21</c:f>
              <c:numCache>
                <c:formatCode>General</c:formatCode>
                <c:ptCount val="3"/>
                <c:pt idx="0">
                  <c:v>23</c:v>
                </c:pt>
                <c:pt idx="1">
                  <c:v>27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7-4CE7-A2E1-C4AC5FF765E0}"/>
            </c:ext>
          </c:extLst>
        </c:ser>
        <c:ser>
          <c:idx val="1"/>
          <c:order val="1"/>
          <c:tx>
            <c:strRef>
              <c:f>'[1]📊 DASHBOARD PRINCIPAL'!$K$18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'[1]📊 DASHBOARD PRINCIPAL'!$I$19:$I$21</c:f>
              <c:strCache>
                <c:ptCount val="3"/>
                <c:pt idx="0">
                  <c:v>1er Cuatrimestre</c:v>
                </c:pt>
                <c:pt idx="1">
                  <c:v>2do Cuatrimestre</c:v>
                </c:pt>
                <c:pt idx="2">
                  <c:v>3er Cuatrimestre</c:v>
                </c:pt>
              </c:strCache>
            </c:strRef>
          </c:cat>
          <c:val>
            <c:numRef>
              <c:f>'[1]📊 DASHBOARD PRINCIPAL'!$K$19:$K$21</c:f>
              <c:numCache>
                <c:formatCode>General</c:formatCode>
                <c:ptCount val="3"/>
                <c:pt idx="0">
                  <c:v>3261494.99</c:v>
                </c:pt>
                <c:pt idx="1">
                  <c:v>2281581.1800000002</c:v>
                </c:pt>
                <c:pt idx="2">
                  <c:v>283671.75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7-4CE7-A2E1-C4AC5FF76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583872"/>
        <c:axId val="1396584352"/>
      </c:barChart>
      <c:catAx>
        <c:axId val="139658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96584352"/>
        <c:crosses val="autoZero"/>
        <c:auto val="1"/>
        <c:lblAlgn val="ctr"/>
        <c:lblOffset val="100"/>
        <c:noMultiLvlLbl val="0"/>
      </c:catAx>
      <c:valAx>
        <c:axId val="13965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9658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447674</xdr:colOff>
      <xdr:row>41</xdr:row>
      <xdr:rowOff>142875</xdr:rowOff>
    </xdr:from>
    <xdr:to>
      <xdr:col>2</xdr:col>
      <xdr:colOff>695324</xdr:colOff>
      <xdr:row>54</xdr:row>
      <xdr:rowOff>85725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824725E-7AE6-4944-A712-859DA182E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1399761</xdr:colOff>
      <xdr:row>57</xdr:row>
      <xdr:rowOff>380585</xdr:rowOff>
    </xdr:from>
    <xdr:to>
      <xdr:col>8</xdr:col>
      <xdr:colOff>403777</xdr:colOff>
      <xdr:row>72</xdr:row>
      <xdr:rowOff>28160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A16529E-3869-40B7-B885-794F4A98C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847725</xdr:colOff>
      <xdr:row>42</xdr:row>
      <xdr:rowOff>47624</xdr:rowOff>
    </xdr:from>
    <xdr:to>
      <xdr:col>8</xdr:col>
      <xdr:colOff>200025</xdr:colOff>
      <xdr:row>53</xdr:row>
      <xdr:rowOff>171450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FA5FC64-4366-4BC0-8438-40B078C17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itoturismo365-my.sharepoint.com/personal/acasa_quito-turismo_gob_ec/Documents/Documentos/Desarrollo/Seguimiento_contrataciones/Reporte_Procesos_1.xlsx" TargetMode="External"/><Relationship Id="rId1" Type="http://schemas.openxmlformats.org/officeDocument/2006/relationships/externalLinkPath" Target="Reporte_Procesos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📊 DASHBOARD PRINCIPAL"/>
      <sheetName val="DAF - Jefatura Administrativa"/>
      <sheetName val="DAF - Jefatura de Talento Human"/>
      <sheetName val="DAF - Jefatura Financiera"/>
      <sheetName val="Dirección de Comercialización"/>
      <sheetName val="Dirección de Comunicación"/>
      <sheetName val="Dirección de Desarrollo de Prod"/>
      <sheetName val="Dirección de Promoción de Desti"/>
      <sheetName val="Dirección de Servicios para la "/>
      <sheetName val="Dirección de Turismo de Negocio"/>
      <sheetName val="DPEI - Estadística"/>
      <sheetName val="DPEI - Jefatura de TICS"/>
    </sheetNames>
    <sheetDataSet>
      <sheetData sheetId="0">
        <row r="11">
          <cell r="J11" t="str">
            <v>Cantidad</v>
          </cell>
        </row>
        <row r="12">
          <cell r="I12" t="str">
            <v>PAC</v>
          </cell>
          <cell r="J12">
            <v>38</v>
          </cell>
        </row>
        <row r="13">
          <cell r="I13" t="str">
            <v>NO PAC</v>
          </cell>
          <cell r="J13">
            <v>20</v>
          </cell>
        </row>
        <row r="18">
          <cell r="B18" t="str">
            <v>Procesos</v>
          </cell>
          <cell r="C18" t="str">
            <v>Monto</v>
          </cell>
          <cell r="J18" t="str">
            <v>Cantidad</v>
          </cell>
          <cell r="K18" t="str">
            <v>Monto</v>
          </cell>
        </row>
        <row r="19">
          <cell r="A19" t="str">
            <v>DAF - Jef. Administrativa</v>
          </cell>
          <cell r="B19">
            <v>12</v>
          </cell>
          <cell r="C19">
            <v>169525</v>
          </cell>
          <cell r="I19" t="str">
            <v>1er Cuatrimestre</v>
          </cell>
          <cell r="J19">
            <v>23</v>
          </cell>
          <cell r="K19">
            <v>3261494.99</v>
          </cell>
        </row>
        <row r="20">
          <cell r="A20" t="str">
            <v>DAF - Jef. Talento Humano</v>
          </cell>
          <cell r="B20">
            <v>1</v>
          </cell>
          <cell r="C20">
            <v>676</v>
          </cell>
          <cell r="I20" t="str">
            <v>2do Cuatrimestre</v>
          </cell>
          <cell r="J20">
            <v>27</v>
          </cell>
          <cell r="K20">
            <v>2281581.1800000002</v>
          </cell>
        </row>
        <row r="21">
          <cell r="A21" t="str">
            <v>DAF - Jef. Financiera</v>
          </cell>
          <cell r="B21">
            <v>2</v>
          </cell>
          <cell r="C21">
            <v>6600</v>
          </cell>
          <cell r="I21" t="str">
            <v>3er Cuatrimestre</v>
          </cell>
          <cell r="J21">
            <v>13</v>
          </cell>
          <cell r="K21">
            <v>283671.75</v>
          </cell>
        </row>
        <row r="22">
          <cell r="A22" t="str">
            <v>Dir. Comercialización</v>
          </cell>
          <cell r="B22">
            <v>1</v>
          </cell>
          <cell r="C22">
            <v>6600</v>
          </cell>
        </row>
        <row r="23">
          <cell r="A23" t="str">
            <v>Dir. Comunicación</v>
          </cell>
          <cell r="B23">
            <v>3</v>
          </cell>
          <cell r="C23">
            <v>201500</v>
          </cell>
        </row>
        <row r="24">
          <cell r="A24" t="str">
            <v>Dir. Desarrollo Producto</v>
          </cell>
          <cell r="B24">
            <v>2</v>
          </cell>
          <cell r="C24">
            <v>331612.45999999996</v>
          </cell>
        </row>
        <row r="25">
          <cell r="A25" t="str">
            <v>Dir. Promoción Destino</v>
          </cell>
          <cell r="B25">
            <v>3</v>
          </cell>
          <cell r="C25">
            <v>1974791.99</v>
          </cell>
        </row>
        <row r="26">
          <cell r="A26" t="str">
            <v>Dir. Servicios</v>
          </cell>
          <cell r="B26">
            <v>6</v>
          </cell>
          <cell r="C26">
            <v>185195.75</v>
          </cell>
        </row>
        <row r="27">
          <cell r="A27" t="str">
            <v>Dir. Turismo Negocios</v>
          </cell>
          <cell r="B27">
            <v>4</v>
          </cell>
          <cell r="C27">
            <v>781770</v>
          </cell>
        </row>
        <row r="28">
          <cell r="A28" t="str">
            <v>DPEI - Estadística</v>
          </cell>
          <cell r="B28">
            <v>1</v>
          </cell>
          <cell r="C28">
            <v>39246.51</v>
          </cell>
        </row>
        <row r="29">
          <cell r="A29" t="str">
            <v>DPEI - Jef. TICS</v>
          </cell>
          <cell r="B29">
            <v>23</v>
          </cell>
          <cell r="C29">
            <v>282559.93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38EB5-9F38-41A9-A7A9-00CEA6697880}" name="TablaProcesos" displayName="TablaProcesos" ref="A1:H60" totalsRowCount="1" headerRowDxfId="17" dataDxfId="16">
  <autoFilter ref="A1:H59" xr:uid="{4B438EB5-9F38-41A9-A7A9-00CEA6697880}">
    <filterColumn colId="2">
      <filters>
        <filter val="PAC"/>
      </filters>
    </filterColumn>
  </autoFilter>
  <tableColumns count="8">
    <tableColumn id="1" xr3:uid="{AEC65AB6-F1CB-444B-B2AD-7441130BC75F}" name="Área" dataDxfId="15" totalsRowDxfId="7"/>
    <tableColumn id="2" xr3:uid="{BCD26C78-AFF0-464C-928D-66A70563964B}" name="Nombre del Proceso" dataDxfId="14" totalsRowDxfId="6"/>
    <tableColumn id="3" xr3:uid="{88F780B8-5184-47D9-A5C6-D09E9349217C}" name="PAC/No PAC" dataDxfId="13" totalsRowDxfId="5"/>
    <tableColumn id="4" xr3:uid="{54178570-F386-4E93-82FF-3A4C975F6631}" name="Cuatrimestre" dataDxfId="12" totalsRowDxfId="4"/>
    <tableColumn id="5" xr3:uid="{AA0329C5-6F43-450A-8C20-79D75B88801C}" name="Estado" dataDxfId="11" totalsRowDxfId="3"/>
    <tableColumn id="6" xr3:uid="{63C1E32C-E8D0-4650-AD8C-87CED2C32C3E}" name="Días Tarde" dataDxfId="10" totalsRowDxfId="2"/>
    <tableColumn id="7" xr3:uid="{2D13FB3D-FD64-4DD4-ACE2-CE7D54BBF17F}" name="Monto" totalsRowFunction="custom" dataDxfId="9" totalsRowDxfId="1">
      <totalsRowFormula>SUBTOTAL(9,G2:G59)</totalsRowFormula>
    </tableColumn>
    <tableColumn id="8" xr3:uid="{CDAD33AF-567A-492A-B5B9-1E7C8AA93F87}" name="Estado Financiero" dataDxfId="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A7B5-D738-41FE-AC34-AC90B9DCD75F}">
  <dimension ref="B1:O95"/>
  <sheetViews>
    <sheetView tabSelected="1" topLeftCell="A2" zoomScale="115" zoomScaleNormal="115" workbookViewId="0">
      <pane ySplit="5" topLeftCell="A7" activePane="bottomLeft" state="frozen"/>
      <selection activeCell="A2" sqref="A2"/>
      <selection pane="bottomLeft" activeCell="A19" sqref="A19:XFD19"/>
    </sheetView>
  </sheetViews>
  <sheetFormatPr baseColWidth="10" defaultRowHeight="15" x14ac:dyDescent="0.25"/>
  <cols>
    <col min="1" max="1" width="0.85546875" customWidth="1"/>
    <col min="2" max="2" width="36.42578125" customWidth="1"/>
    <col min="3" max="5" width="14.5703125" customWidth="1"/>
    <col min="6" max="8" width="15.42578125" customWidth="1"/>
    <col min="9" max="9" width="18.140625" customWidth="1"/>
    <col min="10" max="10" width="14.5703125" customWidth="1"/>
    <col min="11" max="11" width="0.85546875" hidden="1" customWidth="1"/>
    <col min="12" max="13" width="14.5703125" hidden="1" customWidth="1"/>
    <col min="14" max="15" width="0" hidden="1" customWidth="1"/>
  </cols>
  <sheetData>
    <row r="1" spans="2:15" x14ac:dyDescent="0.25">
      <c r="L1" s="9" t="s">
        <v>165</v>
      </c>
      <c r="N1" t="s">
        <v>71</v>
      </c>
      <c r="O1" t="s">
        <v>5</v>
      </c>
    </row>
    <row r="2" spans="2:15" ht="24.95" customHeight="1" x14ac:dyDescent="0.45">
      <c r="B2" s="64" t="s">
        <v>211</v>
      </c>
      <c r="C2" s="62"/>
      <c r="D2" s="62"/>
      <c r="E2" s="62"/>
      <c r="F2" s="62"/>
      <c r="G2" s="62"/>
      <c r="H2" s="62"/>
      <c r="I2" s="62"/>
      <c r="J2" s="62"/>
      <c r="L2" t="s">
        <v>3</v>
      </c>
      <c r="M2" t="s">
        <v>153</v>
      </c>
      <c r="N2" t="s">
        <v>100</v>
      </c>
      <c r="O2">
        <v>1974791.99</v>
      </c>
    </row>
    <row r="3" spans="2:15" ht="15.75" x14ac:dyDescent="0.25">
      <c r="B3" s="7" t="s">
        <v>141</v>
      </c>
      <c r="L3" t="s">
        <v>16</v>
      </c>
      <c r="M3">
        <f>COUNTIF('📋 DATOS CONSOLIDADOS'!E:E,"Contratado")</f>
        <v>8</v>
      </c>
      <c r="N3" t="s">
        <v>111</v>
      </c>
      <c r="O3">
        <v>781770</v>
      </c>
    </row>
    <row r="4" spans="2:15" x14ac:dyDescent="0.25">
      <c r="B4" s="8" t="s">
        <v>142</v>
      </c>
      <c r="L4" t="s">
        <v>192</v>
      </c>
      <c r="M4">
        <f>COUNTIF('📋 DATOS CONSOLIDADOS'!E:E,"A Tiempo")</f>
        <v>23</v>
      </c>
      <c r="N4" t="s">
        <v>97</v>
      </c>
      <c r="O4">
        <v>331612.46000000002</v>
      </c>
    </row>
    <row r="5" spans="2:15" x14ac:dyDescent="0.25">
      <c r="L5" t="s">
        <v>193</v>
      </c>
      <c r="M5">
        <f>COUNTIF('📋 DATOS CONSOLIDADOS'!E:E,"Con Retraso")</f>
        <v>27</v>
      </c>
      <c r="N5" t="s">
        <v>118</v>
      </c>
      <c r="O5">
        <v>284559.93</v>
      </c>
    </row>
    <row r="6" spans="2:15" ht="24.95" customHeight="1" x14ac:dyDescent="0.3">
      <c r="B6" s="63" t="s">
        <v>143</v>
      </c>
      <c r="C6" s="65"/>
      <c r="D6" s="65"/>
      <c r="E6" s="65"/>
      <c r="F6" s="65"/>
      <c r="G6" s="65"/>
      <c r="H6" s="65"/>
      <c r="I6" s="65"/>
      <c r="J6" s="65"/>
      <c r="N6" t="s">
        <v>93</v>
      </c>
      <c r="O6">
        <v>201500</v>
      </c>
    </row>
    <row r="7" spans="2:15" x14ac:dyDescent="0.25">
      <c r="L7" t="s">
        <v>164</v>
      </c>
      <c r="M7" t="s">
        <v>153</v>
      </c>
      <c r="N7" t="s">
        <v>104</v>
      </c>
      <c r="O7">
        <v>185195.75</v>
      </c>
    </row>
    <row r="8" spans="2:15" ht="24.95" customHeight="1" x14ac:dyDescent="0.25">
      <c r="B8" s="10" t="s">
        <v>144</v>
      </c>
      <c r="C8" s="11" t="s">
        <v>145</v>
      </c>
      <c r="D8" s="12" t="s">
        <v>146</v>
      </c>
      <c r="E8" s="13" t="s">
        <v>147</v>
      </c>
      <c r="F8" s="14" t="s">
        <v>190</v>
      </c>
      <c r="G8" s="15" t="s">
        <v>191</v>
      </c>
      <c r="H8" s="16" t="s">
        <v>148</v>
      </c>
      <c r="I8" s="17" t="s">
        <v>149</v>
      </c>
      <c r="J8" s="18" t="s">
        <v>150</v>
      </c>
      <c r="L8" t="s">
        <v>7</v>
      </c>
      <c r="M8">
        <f>COUNTIF('📋 DATOS CONSOLIDADOS'!C:C,"PAC")</f>
        <v>28</v>
      </c>
      <c r="N8" t="s">
        <v>73</v>
      </c>
      <c r="O8">
        <v>169525</v>
      </c>
    </row>
    <row r="9" spans="2:15" ht="50.1" customHeight="1" x14ac:dyDescent="0.55000000000000004">
      <c r="B9" s="19">
        <f>COUNTA('📋 DATOS CONSOLIDADOS'!A:A)-1</f>
        <v>58</v>
      </c>
      <c r="C9" s="20">
        <f>COUNTIF('📋 DATOS CONSOLIDADOS'!C:C,"PAC")</f>
        <v>28</v>
      </c>
      <c r="D9" s="21">
        <f>COUNTIF('📋 DATOS CONSOLIDADOS'!C:C,"No PAC")</f>
        <v>30</v>
      </c>
      <c r="E9" s="22">
        <f>COUNTIF('📋 DATOS CONSOLIDADOS'!E:E,"Contratado")</f>
        <v>8</v>
      </c>
      <c r="F9" s="23">
        <f>COUNTIF('📋 DATOS CONSOLIDADOS'!E:E,"A Tiempo")</f>
        <v>23</v>
      </c>
      <c r="G9" s="24">
        <f>COUNTIF('📋 DATOS CONSOLIDADOS'!E:E,"Con Retraso")</f>
        <v>27</v>
      </c>
      <c r="H9" s="25">
        <f>COUNTIF('📋 DATOS CONSOLIDADOS'!H:H,"*Desfinanciado*")</f>
        <v>5</v>
      </c>
      <c r="I9" s="26">
        <f>SUM('📋 DATOS CONSOLIDADOS'!G:G)</f>
        <v>6746037.3499999996</v>
      </c>
      <c r="J9" s="27">
        <f>IFERROR(AVERAGE('📋 DATOS CONSOLIDADOS'!F:F),0)</f>
        <v>29.777777777777779</v>
      </c>
      <c r="L9" t="s">
        <v>15</v>
      </c>
      <c r="M9">
        <f>COUNTIF('📋 DATOS CONSOLIDADOS'!C:C,"No PAC")</f>
        <v>30</v>
      </c>
      <c r="N9" t="s">
        <v>116</v>
      </c>
      <c r="O9">
        <v>39246.51</v>
      </c>
    </row>
    <row r="10" spans="2:15" x14ac:dyDescent="0.25">
      <c r="N10" t="s">
        <v>89</v>
      </c>
      <c r="O10">
        <v>6600</v>
      </c>
    </row>
    <row r="11" spans="2:15" ht="24.95" hidden="1" customHeight="1" x14ac:dyDescent="0.25">
      <c r="B11" s="66" t="s">
        <v>151</v>
      </c>
      <c r="C11" s="62"/>
      <c r="D11" s="62"/>
      <c r="E11" s="62"/>
      <c r="G11" s="67" t="s">
        <v>157</v>
      </c>
      <c r="H11" s="62"/>
      <c r="I11" s="62"/>
      <c r="J11" s="62"/>
      <c r="L11" t="s">
        <v>164</v>
      </c>
      <c r="M11" t="s">
        <v>5</v>
      </c>
      <c r="N11" t="s">
        <v>92</v>
      </c>
      <c r="O11">
        <v>6600</v>
      </c>
    </row>
    <row r="12" spans="2:15" hidden="1" x14ac:dyDescent="0.25">
      <c r="B12" s="28" t="s">
        <v>152</v>
      </c>
      <c r="C12" s="28" t="s">
        <v>153</v>
      </c>
      <c r="D12" s="28" t="s">
        <v>5</v>
      </c>
      <c r="E12" s="28" t="s">
        <v>154</v>
      </c>
      <c r="G12" s="36" t="s">
        <v>152</v>
      </c>
      <c r="H12" s="36" t="s">
        <v>153</v>
      </c>
      <c r="I12" s="36" t="s">
        <v>5</v>
      </c>
      <c r="J12" s="36" t="s">
        <v>154</v>
      </c>
      <c r="L12" t="s">
        <v>7</v>
      </c>
      <c r="M12">
        <f>SUMIF('📋 DATOS CONSOLIDADOS'!C:C,"PAC",'📋 DATOS CONSOLIDADOS'!G:G)</f>
        <v>2765959.71</v>
      </c>
      <c r="N12" t="s">
        <v>87</v>
      </c>
      <c r="O12">
        <v>676</v>
      </c>
    </row>
    <row r="13" spans="2:15" hidden="1" x14ac:dyDescent="0.25">
      <c r="B13" s="29" t="s">
        <v>155</v>
      </c>
      <c r="C13" s="30">
        <f>COUNTIFS('📋 DATOS CONSOLIDADOS'!C:C,"PAC",'📋 DATOS CONSOLIDADOS'!E:E,"Contratado")</f>
        <v>2</v>
      </c>
      <c r="D13" s="31">
        <f>SUMIFS('📋 DATOS CONSOLIDADOS'!G:G,'📋 DATOS CONSOLIDADOS'!C:C,"PAC",'📋 DATOS CONSOLIDADOS'!E:E,"Contratado")</f>
        <v>297000</v>
      </c>
      <c r="E13" s="32">
        <f>IFERROR(C13/COUNTIF('📋 DATOS CONSOLIDADOS'!C:C,"PAC"),0)</f>
        <v>7.1428571428571425E-2</v>
      </c>
      <c r="G13" s="29" t="s">
        <v>155</v>
      </c>
      <c r="H13" s="30">
        <f>COUNTIFS('📋 DATOS CONSOLIDADOS'!C:C,"No PAC",'📋 DATOS CONSOLIDADOS'!E:E,"Contratado")</f>
        <v>6</v>
      </c>
      <c r="I13" s="31">
        <f>SUMIFS('📋 DATOS CONSOLIDADOS'!G:G,'📋 DATOS CONSOLIDADOS'!C:C,"No PAC",'📋 DATOS CONSOLIDADOS'!E:E,"Contratado")</f>
        <v>1107575</v>
      </c>
      <c r="J13" s="32">
        <f>IFERROR(H13/COUNTIF('📋 DATOS CONSOLIDADOS'!C:C,"No PAC"),0)</f>
        <v>0.2</v>
      </c>
      <c r="L13" t="s">
        <v>15</v>
      </c>
      <c r="M13">
        <f>SUMIF('📋 DATOS CONSOLIDADOS'!C:C,"No PAC",'📋 DATOS CONSOLIDADOS'!G:G)</f>
        <v>1214117.93</v>
      </c>
    </row>
    <row r="14" spans="2:15" hidden="1" x14ac:dyDescent="0.25">
      <c r="B14" s="29" t="s">
        <v>194</v>
      </c>
      <c r="C14" s="30">
        <f>COUNTIFS('📋 DATOS CONSOLIDADOS'!C:C,"PAC",'📋 DATOS CONSOLIDADOS'!E:E,"A Tiempo")</f>
        <v>9</v>
      </c>
      <c r="D14" s="31">
        <f>SUMIFS('📋 DATOS CONSOLIDADOS'!G:G,'📋 DATOS CONSOLIDADOS'!C:C,"PAC",'📋 DATOS CONSOLIDADOS'!E:E,"En progreso")</f>
        <v>0</v>
      </c>
      <c r="E14" s="32">
        <f>IFERROR(C14/COUNTIF('📋 DATOS CONSOLIDADOS'!C:C,"PAC"),0)</f>
        <v>0.32142857142857145</v>
      </c>
      <c r="G14" s="29" t="s">
        <v>194</v>
      </c>
      <c r="H14" s="30">
        <f>COUNTIFS('📋 DATOS CONSOLIDADOS'!C:C,"No PAC",'📋 DATOS CONSOLIDADOS'!E:E,"A Tiempo")</f>
        <v>14</v>
      </c>
      <c r="I14" s="31">
        <f>SUMIFS('📋 DATOS CONSOLIDADOS'!G:G,'📋 DATOS CONSOLIDADOS'!C:C,"No PAC",'📋 DATOS CONSOLIDADOS'!E:E,"En progreso")</f>
        <v>0</v>
      </c>
      <c r="J14" s="32">
        <f>IFERROR(H14/COUNTIF('📋 DATOS CONSOLIDADOS'!C:C,"No PAC"),0)</f>
        <v>0.46666666666666667</v>
      </c>
    </row>
    <row r="15" spans="2:15" ht="15.75" hidden="1" thickBot="1" x14ac:dyDescent="0.3">
      <c r="B15" s="29" t="s">
        <v>195</v>
      </c>
      <c r="C15" s="30">
        <f>COUNTIFS('📋 DATOS CONSOLIDADOS'!C:C,"PAC",'📋 DATOS CONSOLIDADOS'!E:E,"Con Retraso")</f>
        <v>17</v>
      </c>
      <c r="D15" s="31">
        <f>SUMIFS('📋 DATOS CONSOLIDADOS'!G:G,'📋 DATOS CONSOLIDADOS'!C:C,"PAC",'📋 DATOS CONSOLIDADOS'!E:E,"Pendiente")</f>
        <v>0</v>
      </c>
      <c r="E15" s="32">
        <f>IFERROR(C15/COUNTIF('📋 DATOS CONSOLIDADOS'!C:C,"PAC"),0)</f>
        <v>0.6071428571428571</v>
      </c>
      <c r="G15" s="29" t="s">
        <v>195</v>
      </c>
      <c r="H15" s="30">
        <f>COUNTIFS('📋 DATOS CONSOLIDADOS'!C:C,"No PAC",'📋 DATOS CONSOLIDADOS'!E:E,"Con Retraso")</f>
        <v>10</v>
      </c>
      <c r="I15" s="31">
        <f>SUMIFS('📋 DATOS CONSOLIDADOS'!G:G,'📋 DATOS CONSOLIDADOS'!C:C,"No PAC",'📋 DATOS CONSOLIDADOS'!E:E,"Pendiente")</f>
        <v>0</v>
      </c>
      <c r="J15" s="32">
        <f>IFERROR(H15/COUNTIF('📋 DATOS CONSOLIDADOS'!C:C,"No PAC"),0)</f>
        <v>0.33333333333333331</v>
      </c>
      <c r="L15" t="s">
        <v>2</v>
      </c>
      <c r="M15" t="s">
        <v>166</v>
      </c>
    </row>
    <row r="16" spans="2:15" ht="15.75" hidden="1" thickTop="1" x14ac:dyDescent="0.25">
      <c r="B16" s="33" t="s">
        <v>156</v>
      </c>
      <c r="C16" s="34">
        <f>SUM(C13:C15)</f>
        <v>28</v>
      </c>
      <c r="D16" s="93" t="e">
        <f>SUBTOTAL(9,#REF!)</f>
        <v>#REF!</v>
      </c>
      <c r="E16" s="35">
        <f>SUM(E13:E15)</f>
        <v>1</v>
      </c>
      <c r="G16" s="37" t="s">
        <v>158</v>
      </c>
      <c r="H16" s="38">
        <f>SUM(H13:H15)</f>
        <v>30</v>
      </c>
      <c r="I16" s="39">
        <f>SUM(I13:I15)</f>
        <v>1107575</v>
      </c>
      <c r="J16" s="40">
        <f>SUM(J13:J15)</f>
        <v>1</v>
      </c>
      <c r="L16" t="s">
        <v>201</v>
      </c>
      <c r="M16">
        <f>C36</f>
        <v>23</v>
      </c>
    </row>
    <row r="17" spans="2:14" x14ac:dyDescent="0.25">
      <c r="L17" t="s">
        <v>202</v>
      </c>
      <c r="M17">
        <f>C37</f>
        <v>23</v>
      </c>
    </row>
    <row r="18" spans="2:14" ht="24.95" customHeight="1" x14ac:dyDescent="0.25">
      <c r="B18" s="68" t="s">
        <v>159</v>
      </c>
      <c r="C18" s="62"/>
      <c r="D18" s="62"/>
      <c r="E18" s="62"/>
      <c r="F18" s="62"/>
      <c r="G18" s="62"/>
      <c r="H18" s="62"/>
      <c r="I18" s="62"/>
      <c r="J18" s="62"/>
      <c r="L18" t="s">
        <v>203</v>
      </c>
      <c r="M18">
        <f>C38</f>
        <v>12</v>
      </c>
    </row>
    <row r="19" spans="2:14" x14ac:dyDescent="0.25">
      <c r="B19" s="41" t="s">
        <v>71</v>
      </c>
      <c r="C19" s="41" t="s">
        <v>160</v>
      </c>
      <c r="D19" s="41" t="s">
        <v>7</v>
      </c>
      <c r="E19" s="41" t="s">
        <v>15</v>
      </c>
      <c r="F19" s="41" t="s">
        <v>16</v>
      </c>
      <c r="G19" s="41" t="s">
        <v>192</v>
      </c>
      <c r="H19" s="41" t="s">
        <v>193</v>
      </c>
      <c r="I19" s="41" t="s">
        <v>161</v>
      </c>
      <c r="J19" s="41" t="s">
        <v>162</v>
      </c>
    </row>
    <row r="20" spans="2:14" x14ac:dyDescent="0.25">
      <c r="B20" s="42" t="s">
        <v>118</v>
      </c>
      <c r="C20" s="43">
        <f>COUNTIF('📋 DATOS CONSOLIDADOS'!A:A,"DPEI TICS")</f>
        <v>23</v>
      </c>
      <c r="D20" s="43">
        <f>COUNTIFS('📋 DATOS CONSOLIDADOS'!A:A,"DPEI TICS",'📋 DATOS CONSOLIDADOS'!C:C,"PAC")</f>
        <v>7</v>
      </c>
      <c r="E20" s="43">
        <f>COUNTIFS('📋 DATOS CONSOLIDADOS'!A:A,"DPEI TICS",'📋 DATOS CONSOLIDADOS'!C:C,"No PAC")</f>
        <v>16</v>
      </c>
      <c r="F20" s="43">
        <f>COUNTIFS('📋 DATOS CONSOLIDADOS'!A:A,"DPEI TICS",'📋 DATOS CONSOLIDADOS'!E:E,"Contratado")</f>
        <v>0</v>
      </c>
      <c r="G20" s="43">
        <f>COUNTIFS('📋 DATOS CONSOLIDADOS'!A:A,"DPEI TICS",'📋 DATOS CONSOLIDADOS'!E:E,"A Tiempo")</f>
        <v>17</v>
      </c>
      <c r="H20" s="43">
        <f>COUNTIFS('📋 DATOS CONSOLIDADOS'!A:A,"DPEI TICS",'📋 DATOS CONSOLIDADOS'!E:E,"Con Retraso")</f>
        <v>6</v>
      </c>
      <c r="I20" s="44">
        <f>SUMIF('📋 DATOS CONSOLIDADOS'!A:A,"DPEI TICS",'📋 DATOS CONSOLIDADOS'!G:G)</f>
        <v>282559.93</v>
      </c>
      <c r="J20" s="45">
        <f>IFERROR(AVERAGEIF('📋 DATOS CONSOLIDADOS'!A:A,"DPEI TICS",'📋 DATOS CONSOLIDADOS'!F:F),0)</f>
        <v>39.5</v>
      </c>
      <c r="L20" t="s">
        <v>2</v>
      </c>
      <c r="M20" t="s">
        <v>192</v>
      </c>
      <c r="N20" t="s">
        <v>193</v>
      </c>
    </row>
    <row r="21" spans="2:14" x14ac:dyDescent="0.25">
      <c r="B21" s="29" t="s">
        <v>116</v>
      </c>
      <c r="C21" s="30">
        <f>COUNTIF('📋 DATOS CONSOLIDADOS'!A:A,"DPEI Estadística")</f>
        <v>1</v>
      </c>
      <c r="D21" s="30">
        <f>COUNTIFS('📋 DATOS CONSOLIDADOS'!A:A,"DPEI Estadística",'📋 DATOS CONSOLIDADOS'!C:C,"PAC")</f>
        <v>1</v>
      </c>
      <c r="E21" s="30">
        <f>COUNTIFS('📋 DATOS CONSOLIDADOS'!A:A,"DPEI Estadística",'📋 DATOS CONSOLIDADOS'!C:C,"No PAC")</f>
        <v>0</v>
      </c>
      <c r="F21" s="30">
        <f>COUNTIFS('📋 DATOS CONSOLIDADOS'!A:A,"DPEI Estadística",'📋 DATOS CONSOLIDADOS'!E:E,"Contratado")</f>
        <v>0</v>
      </c>
      <c r="G21" s="30">
        <f>COUNTIFS('📋 DATOS CONSOLIDADOS'!A:A,"DPEI Estadística",'📋 DATOS CONSOLIDADOS'!E:E,"A Tiempo")</f>
        <v>1</v>
      </c>
      <c r="H21" s="30">
        <f>COUNTIFS('📋 DATOS CONSOLIDADOS'!A:A,"DPEI Estadística",'📋 DATOS CONSOLIDADOS'!E:E,"Con Retraso")</f>
        <v>0</v>
      </c>
      <c r="I21" s="31">
        <f>SUMIF('📋 DATOS CONSOLIDADOS'!A:A,"DPEI Estadística",'📋 DATOS CONSOLIDADOS'!G:G)</f>
        <v>39246.51</v>
      </c>
      <c r="J21" s="46">
        <f>IFERROR(AVERAGEIF('📋 DATOS CONSOLIDADOS'!A:A,"DPEI Estadística",'📋 DATOS CONSOLIDADOS'!F:F),0)</f>
        <v>0</v>
      </c>
      <c r="L21" t="s">
        <v>201</v>
      </c>
      <c r="M21">
        <f>G36</f>
        <v>0</v>
      </c>
      <c r="N21">
        <f>H36</f>
        <v>16</v>
      </c>
    </row>
    <row r="22" spans="2:14" x14ac:dyDescent="0.25">
      <c r="B22" s="42" t="s">
        <v>111</v>
      </c>
      <c r="C22" s="43">
        <f>COUNTIF('📋 DATOS CONSOLIDADOS'!A:A,"Dir. Turismo Neg")</f>
        <v>4</v>
      </c>
      <c r="D22" s="43">
        <f>COUNTIFS('📋 DATOS CONSOLIDADOS'!A:A,"Dir. Turismo Neg",'📋 DATOS CONSOLIDADOS'!C:C,"PAC")</f>
        <v>3</v>
      </c>
      <c r="E22" s="43">
        <f>COUNTIFS('📋 DATOS CONSOLIDADOS'!A:A,"Dir. Turismo Neg",'📋 DATOS CONSOLIDADOS'!C:C,"No PAC")</f>
        <v>1</v>
      </c>
      <c r="F22" s="43">
        <f>COUNTIFS('📋 DATOS CONSOLIDADOS'!A:A,"Dir. Turismo Neg",'📋 DATOS CONSOLIDADOS'!E:E,"Contratado")</f>
        <v>2</v>
      </c>
      <c r="G22" s="43">
        <f>COUNTIFS('📋 DATOS CONSOLIDADOS'!A:A,"Dir. Turismo Neg",'📋 DATOS CONSOLIDADOS'!E:E,"A Tiempo")</f>
        <v>0</v>
      </c>
      <c r="H22" s="43">
        <f>COUNTIFS('📋 DATOS CONSOLIDADOS'!A:A,"Dir. Turismo Neg",'📋 DATOS CONSOLIDADOS'!E:E,"Con Retraso")</f>
        <v>2</v>
      </c>
      <c r="I22" s="44">
        <f>SUMIF('📋 DATOS CONSOLIDADOS'!A:A,"Dir. Turismo Neg",'📋 DATOS CONSOLIDADOS'!G:G)</f>
        <v>781770</v>
      </c>
      <c r="J22" s="45">
        <f>IFERROR(AVERAGEIF('📋 DATOS CONSOLIDADOS'!A:A,"Dir. Turismo Neg",'📋 DATOS CONSOLIDADOS'!F:F),0)</f>
        <v>48.5</v>
      </c>
      <c r="L22" t="s">
        <v>202</v>
      </c>
      <c r="M22">
        <f>G37</f>
        <v>11</v>
      </c>
      <c r="N22">
        <f>H37</f>
        <v>11</v>
      </c>
    </row>
    <row r="23" spans="2:14" x14ac:dyDescent="0.25">
      <c r="B23" s="29" t="s">
        <v>104</v>
      </c>
      <c r="C23" s="30">
        <f>COUNTIF('📋 DATOS CONSOLIDADOS'!A:A,"Dir. Servicios")</f>
        <v>6</v>
      </c>
      <c r="D23" s="30">
        <f>COUNTIFS('📋 DATOS CONSOLIDADOS'!A:A,"Dir. Servicios",'📋 DATOS CONSOLIDADOS'!C:C,"PAC")</f>
        <v>4</v>
      </c>
      <c r="E23" s="30">
        <f>COUNTIFS('📋 DATOS CONSOLIDADOS'!A:A,"Dir. Servicios",'📋 DATOS CONSOLIDADOS'!C:C,"No PAC")</f>
        <v>2</v>
      </c>
      <c r="F23" s="30">
        <f>COUNTIFS('📋 DATOS CONSOLIDADOS'!A:A,"Dir. Servicios",'📋 DATOS CONSOLIDADOS'!E:E,"Contratado")</f>
        <v>0</v>
      </c>
      <c r="G23" s="30">
        <f>COUNTIFS('📋 DATOS CONSOLIDADOS'!A:A,"Dir. Servicios",'📋 DATOS CONSOLIDADOS'!E:E,"A Tiempo")</f>
        <v>3</v>
      </c>
      <c r="H23" s="30">
        <f>COUNTIFS('📋 DATOS CONSOLIDADOS'!A:A,"Dir. Servicios",'📋 DATOS CONSOLIDADOS'!E:E,"Con Retraso")</f>
        <v>3</v>
      </c>
      <c r="I23" s="31">
        <f>SUMIF('📋 DATOS CONSOLIDADOS'!A:A,"Dir. Servicios",'📋 DATOS CONSOLIDADOS'!G:G)</f>
        <v>185195.75</v>
      </c>
      <c r="J23" s="46">
        <f>IFERROR(AVERAGEIF('📋 DATOS CONSOLIDADOS'!A:A,"Dir. Servicios",'📋 DATOS CONSOLIDADOS'!F:F),0)</f>
        <v>23</v>
      </c>
      <c r="L23" t="s">
        <v>203</v>
      </c>
      <c r="M23">
        <f>G38</f>
        <v>12</v>
      </c>
      <c r="N23">
        <f>H38</f>
        <v>0</v>
      </c>
    </row>
    <row r="24" spans="2:14" x14ac:dyDescent="0.25">
      <c r="B24" s="42" t="s">
        <v>100</v>
      </c>
      <c r="C24" s="43">
        <f>COUNTIF('📋 DATOS CONSOLIDADOS'!A:A,"Dir. Promoción")</f>
        <v>3</v>
      </c>
      <c r="D24" s="43">
        <f>COUNTIFS('📋 DATOS CONSOLIDADOS'!A:A,"Dir. Promoción",'📋 DATOS CONSOLIDADOS'!C:C,"PAC")</f>
        <v>2</v>
      </c>
      <c r="E24" s="43">
        <f>COUNTIFS('📋 DATOS CONSOLIDADOS'!A:A,"Dir. Promoción",'📋 DATOS CONSOLIDADOS'!C:C,"No PAC")</f>
        <v>1</v>
      </c>
      <c r="F24" s="43">
        <f>COUNTIFS('📋 DATOS CONSOLIDADOS'!A:A,"Dir. Promoción",'📋 DATOS CONSOLIDADOS'!E:E,"Contratado")</f>
        <v>1</v>
      </c>
      <c r="G24" s="43">
        <f>COUNTIFS('📋 DATOS CONSOLIDADOS'!A:A,"Dir. Promoción",'📋 DATOS CONSOLIDADOS'!E:E,"A Tiempo")</f>
        <v>0</v>
      </c>
      <c r="H24" s="43">
        <f>COUNTIFS('📋 DATOS CONSOLIDADOS'!A:A,"Dir. Promoción",'📋 DATOS CONSOLIDADOS'!E:E,"Con Retraso")</f>
        <v>2</v>
      </c>
      <c r="I24" s="44">
        <f>SUMIF('📋 DATOS CONSOLIDADOS'!A:A,"Dir. Promoción",'📋 DATOS CONSOLIDADOS'!G:G)</f>
        <v>1974791.99</v>
      </c>
      <c r="J24" s="45">
        <f>IFERROR(AVERAGEIF('📋 DATOS CONSOLIDADOS'!A:A,"Dir. Promoción",'📋 DATOS CONSOLIDADOS'!F:F),0)</f>
        <v>11</v>
      </c>
    </row>
    <row r="25" spans="2:14" x14ac:dyDescent="0.25">
      <c r="B25" s="29" t="s">
        <v>97</v>
      </c>
      <c r="C25" s="30">
        <f>COUNTIF('📋 DATOS CONSOLIDADOS'!A:A,"Dir. Desarrollo Prod")</f>
        <v>2</v>
      </c>
      <c r="D25" s="30">
        <f>COUNTIFS('📋 DATOS CONSOLIDADOS'!A:A,"Dir. Desarrollo Prod",'📋 DATOS CONSOLIDADOS'!C:C,"PAC")</f>
        <v>2</v>
      </c>
      <c r="E25" s="30">
        <f>COUNTIFS('📋 DATOS CONSOLIDADOS'!A:A,"Dir. Desarrollo Prod",'📋 DATOS CONSOLIDADOS'!C:C,"No PAC")</f>
        <v>0</v>
      </c>
      <c r="F25" s="30">
        <f>COUNTIFS('📋 DATOS CONSOLIDADOS'!A:A,"Dir. Desarrollo Prod",'📋 DATOS CONSOLIDADOS'!E:E,"Contratado")</f>
        <v>1</v>
      </c>
      <c r="G25" s="30">
        <f>COUNTIFS('📋 DATOS CONSOLIDADOS'!A:A,"Dir. Desarrollo Prod",'📋 DATOS CONSOLIDADOS'!E:E,"A Tiempo")</f>
        <v>0</v>
      </c>
      <c r="H25" s="30">
        <f>COUNTIFS('📋 DATOS CONSOLIDADOS'!A:A,"Dir. Desarrollo Prod",'📋 DATOS CONSOLIDADOS'!E:E,"Con Retraso")</f>
        <v>1</v>
      </c>
      <c r="I25" s="31">
        <f>SUMIF('📋 DATOS CONSOLIDADOS'!A:A,"Dir. Desarrollo Prod",'📋 DATOS CONSOLIDADOS'!G:G)</f>
        <v>331612.45999999996</v>
      </c>
      <c r="J25" s="46">
        <f>IFERROR(AVERAGEIF('📋 DATOS CONSOLIDADOS'!A:A,"Dir. Desarrollo Prod",'📋 DATOS CONSOLIDADOS'!F:F),0)</f>
        <v>1</v>
      </c>
      <c r="L25" t="s">
        <v>2</v>
      </c>
      <c r="M25" t="s">
        <v>5</v>
      </c>
    </row>
    <row r="26" spans="2:14" x14ac:dyDescent="0.25">
      <c r="B26" s="42" t="s">
        <v>93</v>
      </c>
      <c r="C26" s="43">
        <f>COUNTIF('📋 DATOS CONSOLIDADOS'!A:A,"Dir. Comunicación")</f>
        <v>3</v>
      </c>
      <c r="D26" s="43">
        <f>COUNTIFS('📋 DATOS CONSOLIDADOS'!A:A,"Dir. Comunicación",'📋 DATOS CONSOLIDADOS'!C:C,"PAC")</f>
        <v>1</v>
      </c>
      <c r="E26" s="43">
        <f>COUNTIFS('📋 DATOS CONSOLIDADOS'!A:A,"Dir. Comunicación",'📋 DATOS CONSOLIDADOS'!C:C,"No PAC")</f>
        <v>2</v>
      </c>
      <c r="F26" s="43">
        <f>COUNTIFS('📋 DATOS CONSOLIDADOS'!A:A,"Dir. Comunicación",'📋 DATOS CONSOLIDADOS'!E:E,"Contratado")</f>
        <v>1</v>
      </c>
      <c r="G26" s="43">
        <f>COUNTIFS('📋 DATOS CONSOLIDADOS'!A:A,"Dir. Comunicación",'📋 DATOS CONSOLIDADOS'!E:E,"A Tiempo")</f>
        <v>0</v>
      </c>
      <c r="H26" s="43">
        <f>COUNTIFS('📋 DATOS CONSOLIDADOS'!A:A,"Dir. Comunicación",'📋 DATOS CONSOLIDADOS'!E:E,"Con Retraso")</f>
        <v>2</v>
      </c>
      <c r="I26" s="44">
        <f>SUMIF('📋 DATOS CONSOLIDADOS'!A:A,"Dir. Comunicación",'📋 DATOS CONSOLIDADOS'!G:G)</f>
        <v>201500</v>
      </c>
      <c r="J26" s="45">
        <f>IFERROR(AVERAGEIF('📋 DATOS CONSOLIDADOS'!A:A,"Dir. Comunicación",'📋 DATOS CONSOLIDADOS'!F:F),0)</f>
        <v>28.5</v>
      </c>
      <c r="L26" t="s">
        <v>201</v>
      </c>
      <c r="M26">
        <f>I36</f>
        <v>3446107.45</v>
      </c>
    </row>
    <row r="27" spans="2:14" x14ac:dyDescent="0.25">
      <c r="B27" s="29" t="s">
        <v>92</v>
      </c>
      <c r="C27" s="30">
        <f>COUNTIF('📋 DATOS CONSOLIDADOS'!A:A,"Dir. Comercialización")</f>
        <v>1</v>
      </c>
      <c r="D27" s="30">
        <f>COUNTIFS('📋 DATOS CONSOLIDADOS'!A:A,"Dir. Comercialización",'📋 DATOS CONSOLIDADOS'!C:C,"PAC")</f>
        <v>0</v>
      </c>
      <c r="E27" s="30">
        <f>COUNTIFS('📋 DATOS CONSOLIDADOS'!A:A,"Dir. Comercialización",'📋 DATOS CONSOLIDADOS'!C:C,"No PAC")</f>
        <v>1</v>
      </c>
      <c r="F27" s="30">
        <f>COUNTIFS('📋 DATOS CONSOLIDADOS'!A:A,"Dir. Comercialización",'📋 DATOS CONSOLIDADOS'!E:E,"Contratado")</f>
        <v>0</v>
      </c>
      <c r="G27" s="30">
        <f>COUNTIFS('📋 DATOS CONSOLIDADOS'!A:A,"Dir. Comercialización",'📋 DATOS CONSOLIDADOS'!E:E,"A Tiempo")</f>
        <v>0</v>
      </c>
      <c r="H27" s="30">
        <f>COUNTIFS('📋 DATOS CONSOLIDADOS'!A:A,"Dir. Comercialización",'📋 DATOS CONSOLIDADOS'!E:E,"Con Retraso")</f>
        <v>1</v>
      </c>
      <c r="I27" s="31">
        <f>SUMIF('📋 DATOS CONSOLIDADOS'!A:A,"Dir. Comercialización",'📋 DATOS CONSOLIDADOS'!G:G)</f>
        <v>6600</v>
      </c>
      <c r="J27" s="46">
        <f>IFERROR(AVERAGEIF('📋 DATOS CONSOLIDADOS'!A:A,"Dir. Comercialización",'📋 DATOS CONSOLIDADOS'!F:F),0)</f>
        <v>22</v>
      </c>
      <c r="L27" t="s">
        <v>202</v>
      </c>
      <c r="M27">
        <f>I37</f>
        <v>422494.19</v>
      </c>
    </row>
    <row r="28" spans="2:14" x14ac:dyDescent="0.25">
      <c r="B28" s="29" t="s">
        <v>87</v>
      </c>
      <c r="C28" s="30">
        <f>COUNTIF('📋 DATOS CONSOLIDADOS'!A:A,"DAF RRHH")</f>
        <v>1</v>
      </c>
      <c r="D28" s="30">
        <f>COUNTIFS('📋 DATOS CONSOLIDADOS'!A:A,"DAF RRHH",'📋 DATOS CONSOLIDADOS'!C:C,"PAC")</f>
        <v>1</v>
      </c>
      <c r="E28" s="30">
        <f>COUNTIFS('📋 DATOS CONSOLIDADOS'!A:A,"DAF RRHH",'📋 DATOS CONSOLIDADOS'!C:C,"No PAC")</f>
        <v>0</v>
      </c>
      <c r="F28" s="30">
        <f>COUNTIFS('📋 DATOS CONSOLIDADOS'!A:A,"DAF RRHH",'📋 DATOS CONSOLIDADOS'!E:E,"Contratado")</f>
        <v>0</v>
      </c>
      <c r="G28" s="30">
        <f>COUNTIFS('📋 DATOS CONSOLIDADOS'!A:A,"DAF RRHH",'📋 DATOS CONSOLIDADOS'!E:E,"A Tiempo")</f>
        <v>1</v>
      </c>
      <c r="H28" s="30">
        <f>COUNTIFS('📋 DATOS CONSOLIDADOS'!A:A,"DAF RRHH",'📋 DATOS CONSOLIDADOS'!E:E,"Con Retraso")</f>
        <v>0</v>
      </c>
      <c r="I28" s="31">
        <f>SUMIF('📋 DATOS CONSOLIDADOS'!A:A,"DAF RRHH",'📋 DATOS CONSOLIDADOS'!G:G)</f>
        <v>676</v>
      </c>
      <c r="J28" s="46">
        <f>IFERROR(AVERAGEIF('📋 DATOS CONSOLIDADOS'!A:A,"DAF RRHH",'📋 DATOS CONSOLIDADOS'!F:F),0)</f>
        <v>0</v>
      </c>
      <c r="L28" t="s">
        <v>203</v>
      </c>
      <c r="M28">
        <f>I38</f>
        <v>111476</v>
      </c>
    </row>
    <row r="29" spans="2:14" x14ac:dyDescent="0.25">
      <c r="B29" s="42" t="s">
        <v>89</v>
      </c>
      <c r="C29" s="43">
        <f>COUNTIF('📋 DATOS CONSOLIDADOS'!A:A,"DAF Financiera")</f>
        <v>2</v>
      </c>
      <c r="D29" s="43">
        <f>COUNTIFS('📋 DATOS CONSOLIDADOS'!A:A,"DAF Financiera",'📋 DATOS CONSOLIDADOS'!C:C,"PAC")</f>
        <v>1</v>
      </c>
      <c r="E29" s="43">
        <f>COUNTIFS('📋 DATOS CONSOLIDADOS'!A:A,"DAF Financiera",'📋 DATOS CONSOLIDADOS'!C:C,"No PAC")</f>
        <v>1</v>
      </c>
      <c r="F29" s="43">
        <f>COUNTIFS('📋 DATOS CONSOLIDADOS'!A:A,"DAF Financiera",'📋 DATOS CONSOLIDADOS'!E:E,"Contratado")</f>
        <v>0</v>
      </c>
      <c r="G29" s="43">
        <f>COUNTIFS('📋 DATOS CONSOLIDADOS'!A:A,"DAF Financiera",'📋 DATOS CONSOLIDADOS'!E:E,"A Tiempo")</f>
        <v>0</v>
      </c>
      <c r="H29" s="43">
        <f>COUNTIFS('📋 DATOS CONSOLIDADOS'!A:A,"DAF Financiera",'📋 DATOS CONSOLIDADOS'!E:E,"Con Retraso")</f>
        <v>2</v>
      </c>
      <c r="I29" s="44">
        <f>SUMIF('📋 DATOS CONSOLIDADOS'!A:A,"DAF Financiera",'📋 DATOS CONSOLIDADOS'!G:G)</f>
        <v>6600</v>
      </c>
      <c r="J29" s="45">
        <f>IFERROR(AVERAGEIF('📋 DATOS CONSOLIDADOS'!A:A,"DAF Financiera",'📋 DATOS CONSOLIDADOS'!F:F),0)</f>
        <v>42.5</v>
      </c>
    </row>
    <row r="30" spans="2:14" x14ac:dyDescent="0.25">
      <c r="B30" s="42" t="s">
        <v>73</v>
      </c>
      <c r="C30" s="43">
        <f>COUNTIF('📋 DATOS CONSOLIDADOS'!A:A,"DAF Admin")</f>
        <v>12</v>
      </c>
      <c r="D30" s="43">
        <f>COUNTIFS('📋 DATOS CONSOLIDADOS'!A:A,"DAF Admin",'📋 DATOS CONSOLIDADOS'!C:C,"PAC")</f>
        <v>6</v>
      </c>
      <c r="E30" s="43">
        <f>COUNTIFS('📋 DATOS CONSOLIDADOS'!A:A,"DAF Admin",'📋 DATOS CONSOLIDADOS'!C:C,"No PAC")</f>
        <v>6</v>
      </c>
      <c r="F30" s="43">
        <f>COUNTIFS('📋 DATOS CONSOLIDADOS'!A:A,"DAF Admin",'📋 DATOS CONSOLIDADOS'!E:E,"Contratado")</f>
        <v>3</v>
      </c>
      <c r="G30" s="43">
        <f>COUNTIFS('📋 DATOS CONSOLIDADOS'!A:A,"DAF Admin",'📋 DATOS CONSOLIDADOS'!E:E,"A Tiempo")</f>
        <v>1</v>
      </c>
      <c r="H30" s="43">
        <f>COUNTIFS('📋 DATOS CONSOLIDADOS'!A:A,"DAF Admin",'📋 DATOS CONSOLIDADOS'!E:E,"Con Retraso")</f>
        <v>8</v>
      </c>
      <c r="I30" s="44">
        <f>SUMIF('📋 DATOS CONSOLIDADOS'!A:A,"DAF Admin",'📋 DATOS CONSOLIDADOS'!G:G)</f>
        <v>169525</v>
      </c>
      <c r="J30" s="45">
        <f>IFERROR(AVERAGEIF('📋 DATOS CONSOLIDADOS'!A:A,"DAF Admin",'📋 DATOS CONSOLIDADOS'!F:F),0)</f>
        <v>26.75</v>
      </c>
    </row>
    <row r="31" spans="2:14" x14ac:dyDescent="0.25">
      <c r="B31" s="47" t="s">
        <v>163</v>
      </c>
      <c r="C31" s="48">
        <f>SUM(C20:C30)</f>
        <v>58</v>
      </c>
      <c r="D31" s="48">
        <f>SUM(D20:D30)</f>
        <v>28</v>
      </c>
      <c r="E31" s="48">
        <f>SUM(E20:E30)</f>
        <v>30</v>
      </c>
      <c r="F31" s="48">
        <f>SUM(F20:F30)</f>
        <v>8</v>
      </c>
      <c r="G31" s="48">
        <f>SUM(G20:G30)</f>
        <v>23</v>
      </c>
      <c r="H31" s="48">
        <f>SUM(H20:H30)</f>
        <v>27</v>
      </c>
      <c r="I31" s="49">
        <f>SUM(I20:I30)</f>
        <v>3980077.6399999997</v>
      </c>
      <c r="J31" s="50">
        <f>AVERAGE(J20:J30)</f>
        <v>22.068181818181817</v>
      </c>
    </row>
    <row r="33" spans="2:10" ht="24.95" customHeight="1" x14ac:dyDescent="0.3">
      <c r="B33" s="63" t="s">
        <v>196</v>
      </c>
      <c r="C33" s="63"/>
      <c r="D33" s="63"/>
      <c r="E33" s="63"/>
      <c r="F33" s="63"/>
      <c r="G33" s="63"/>
      <c r="H33" s="63"/>
      <c r="I33" s="63"/>
      <c r="J33" s="63"/>
    </row>
    <row r="35" spans="2:10" x14ac:dyDescent="0.25">
      <c r="B35" s="55" t="s">
        <v>2</v>
      </c>
      <c r="C35" s="55" t="s">
        <v>160</v>
      </c>
      <c r="D35" s="55" t="s">
        <v>7</v>
      </c>
      <c r="E35" s="55" t="s">
        <v>15</v>
      </c>
      <c r="F35" s="55" t="s">
        <v>16</v>
      </c>
      <c r="G35" s="55" t="s">
        <v>192</v>
      </c>
      <c r="H35" s="55" t="s">
        <v>193</v>
      </c>
      <c r="I35" s="55" t="s">
        <v>161</v>
      </c>
      <c r="J35" s="55" t="s">
        <v>154</v>
      </c>
    </row>
    <row r="36" spans="2:10" x14ac:dyDescent="0.25">
      <c r="B36" s="56" t="s">
        <v>197</v>
      </c>
      <c r="C36" s="56">
        <f>COUNTIF('📋 DATOS CONSOLIDADOS'!D:D,1)</f>
        <v>23</v>
      </c>
      <c r="D36" s="56">
        <f>COUNTIFS('📋 DATOS CONSOLIDADOS'!D:D,1,'📋 DATOS CONSOLIDADOS'!C:C,"PAC")</f>
        <v>13</v>
      </c>
      <c r="E36" s="56">
        <f>COUNTIFS('📋 DATOS CONSOLIDADOS'!D:D,1,'📋 DATOS CONSOLIDADOS'!C:C,"No PAC")</f>
        <v>10</v>
      </c>
      <c r="F36" s="56">
        <f>COUNTIFS('📋 DATOS CONSOLIDADOS'!D:D,1,'📋 DATOS CONSOLIDADOS'!E:E,"Contratado")</f>
        <v>7</v>
      </c>
      <c r="G36" s="56">
        <f>COUNTIFS('📋 DATOS CONSOLIDADOS'!D:D,1,'📋 DATOS CONSOLIDADOS'!E:E,"A Tiempo")</f>
        <v>0</v>
      </c>
      <c r="H36" s="56">
        <f>COUNTIFS('📋 DATOS CONSOLIDADOS'!D:D,1,'📋 DATOS CONSOLIDADOS'!E:E,"Con Retraso")</f>
        <v>16</v>
      </c>
      <c r="I36" s="57">
        <f>SUMIF('📋 DATOS CONSOLIDADOS'!D:D,1,'📋 DATOS CONSOLIDADOS'!G:G)</f>
        <v>3446107.45</v>
      </c>
      <c r="J36" s="59">
        <f>IF(I$39=0,0,I36/I$39)</f>
        <v>0.8658392528242238</v>
      </c>
    </row>
    <row r="37" spans="2:10" x14ac:dyDescent="0.25">
      <c r="B37" s="56" t="s">
        <v>198</v>
      </c>
      <c r="C37" s="56">
        <f>COUNTIF('📋 DATOS CONSOLIDADOS'!D:D,2)</f>
        <v>23</v>
      </c>
      <c r="D37" s="56">
        <f>COUNTIFS('📋 DATOS CONSOLIDADOS'!D:D,2,'📋 DATOS CONSOLIDADOS'!C:C,"PAC")</f>
        <v>11</v>
      </c>
      <c r="E37" s="56">
        <f>COUNTIFS('📋 DATOS CONSOLIDADOS'!D:D,2,'📋 DATOS CONSOLIDADOS'!C:C,"No PAC")</f>
        <v>12</v>
      </c>
      <c r="F37" s="56">
        <f>COUNTIFS('📋 DATOS CONSOLIDADOS'!D:D,2,'📋 DATOS CONSOLIDADOS'!E:E,"Contratado")</f>
        <v>1</v>
      </c>
      <c r="G37" s="56">
        <f>COUNTIFS('📋 DATOS CONSOLIDADOS'!D:D,2,'📋 DATOS CONSOLIDADOS'!E:E,"A Tiempo")</f>
        <v>11</v>
      </c>
      <c r="H37" s="56">
        <f>COUNTIFS('📋 DATOS CONSOLIDADOS'!D:D,2,'📋 DATOS CONSOLIDADOS'!E:E,"Con Retraso")</f>
        <v>11</v>
      </c>
      <c r="I37" s="57">
        <f>SUMIF('📋 DATOS CONSOLIDADOS'!D:D,2,'📋 DATOS CONSOLIDADOS'!G:G)</f>
        <v>422494.19</v>
      </c>
      <c r="J37" s="59">
        <f>IF(I$39=0,0,I37/I$39)</f>
        <v>0.10615224832649245</v>
      </c>
    </row>
    <row r="38" spans="2:10" x14ac:dyDescent="0.25">
      <c r="B38" s="56" t="s">
        <v>199</v>
      </c>
      <c r="C38" s="56">
        <f>COUNTIF('📋 DATOS CONSOLIDADOS'!D:D,3)</f>
        <v>12</v>
      </c>
      <c r="D38" s="56">
        <f>COUNTIFS('📋 DATOS CONSOLIDADOS'!D:D,3,'📋 DATOS CONSOLIDADOS'!C:C,"PAC")</f>
        <v>4</v>
      </c>
      <c r="E38" s="56">
        <f>COUNTIFS('📋 DATOS CONSOLIDADOS'!D:D,3,'📋 DATOS CONSOLIDADOS'!C:C,"No PAC")</f>
        <v>8</v>
      </c>
      <c r="F38" s="56">
        <f>COUNTIFS('📋 DATOS CONSOLIDADOS'!D:D,3,'📋 DATOS CONSOLIDADOS'!E:E,"Contratado")</f>
        <v>0</v>
      </c>
      <c r="G38" s="56">
        <f>COUNTIFS('📋 DATOS CONSOLIDADOS'!D:D,3,'📋 DATOS CONSOLIDADOS'!E:E,"A Tiempo")</f>
        <v>12</v>
      </c>
      <c r="H38" s="56">
        <f>COUNTIFS('📋 DATOS CONSOLIDADOS'!D:D,3,'📋 DATOS CONSOLIDADOS'!E:E,"Con Retraso")</f>
        <v>0</v>
      </c>
      <c r="I38" s="57">
        <f>SUMIF('📋 DATOS CONSOLIDADOS'!D:D,3,'📋 DATOS CONSOLIDADOS'!G:G)</f>
        <v>111476</v>
      </c>
      <c r="J38" s="59">
        <f>IF(I$39=0,0,I38/I$39)</f>
        <v>2.8008498849283754E-2</v>
      </c>
    </row>
    <row r="39" spans="2:10" x14ac:dyDescent="0.25">
      <c r="B39" s="3" t="s">
        <v>200</v>
      </c>
      <c r="C39" s="3">
        <f t="shared" ref="C39:J39" si="0">SUM(C36:C38)</f>
        <v>58</v>
      </c>
      <c r="D39" s="3">
        <f t="shared" si="0"/>
        <v>28</v>
      </c>
      <c r="E39" s="3">
        <f t="shared" si="0"/>
        <v>30</v>
      </c>
      <c r="F39" s="3">
        <f t="shared" si="0"/>
        <v>8</v>
      </c>
      <c r="G39" s="3">
        <f t="shared" si="0"/>
        <v>23</v>
      </c>
      <c r="H39" s="3">
        <f t="shared" si="0"/>
        <v>27</v>
      </c>
      <c r="I39" s="58">
        <f t="shared" si="0"/>
        <v>3980077.64</v>
      </c>
      <c r="J39" s="60">
        <f t="shared" si="0"/>
        <v>1</v>
      </c>
    </row>
    <row r="40" spans="2:10" ht="24.95" customHeight="1" x14ac:dyDescent="0.25"/>
    <row r="41" spans="2:10" ht="24.95" customHeight="1" x14ac:dyDescent="0.3">
      <c r="B41" s="63" t="s">
        <v>167</v>
      </c>
      <c r="C41" s="63"/>
      <c r="D41" s="63"/>
      <c r="E41" s="63"/>
      <c r="F41" s="63"/>
      <c r="G41" s="63"/>
      <c r="H41" s="63"/>
      <c r="I41" s="63"/>
      <c r="J41" s="63"/>
    </row>
    <row r="56" spans="2:10" ht="15.75" x14ac:dyDescent="0.25">
      <c r="B56" s="69" t="s">
        <v>189</v>
      </c>
      <c r="C56" s="70"/>
      <c r="D56" s="70"/>
      <c r="E56" s="70"/>
      <c r="F56" s="70"/>
      <c r="G56" s="70"/>
      <c r="H56" s="70"/>
      <c r="I56" s="70"/>
      <c r="J56" s="70"/>
    </row>
    <row r="58" spans="2:10" ht="30" customHeight="1" x14ac:dyDescent="0.25"/>
    <row r="72" ht="30" customHeight="1" x14ac:dyDescent="0.25"/>
    <row r="81" spans="2:10" ht="24.95" customHeight="1" x14ac:dyDescent="0.25">
      <c r="B81" s="68" t="s">
        <v>204</v>
      </c>
      <c r="C81" s="68"/>
      <c r="D81" s="68"/>
      <c r="E81" s="68"/>
      <c r="F81" s="68"/>
      <c r="G81" s="68"/>
      <c r="H81" s="68"/>
      <c r="I81" s="68"/>
      <c r="J81" s="68"/>
    </row>
    <row r="83" spans="2:10" x14ac:dyDescent="0.25">
      <c r="B83" s="72" t="s">
        <v>155</v>
      </c>
      <c r="C83" s="73"/>
      <c r="D83" s="74"/>
      <c r="E83" s="74"/>
      <c r="F83" s="74"/>
      <c r="G83" s="74"/>
      <c r="H83" s="74"/>
      <c r="I83" s="74"/>
      <c r="J83" s="75"/>
    </row>
    <row r="84" spans="2:10" x14ac:dyDescent="0.25">
      <c r="B84" s="76" t="s">
        <v>194</v>
      </c>
      <c r="C84" s="77"/>
      <c r="D84" s="78"/>
      <c r="E84" s="78"/>
      <c r="F84" s="78"/>
      <c r="G84" s="78"/>
      <c r="H84" s="78"/>
      <c r="I84" s="78"/>
      <c r="J84" s="79"/>
    </row>
    <row r="85" spans="2:10" x14ac:dyDescent="0.25">
      <c r="B85" s="84" t="s">
        <v>195</v>
      </c>
      <c r="C85" s="85"/>
      <c r="D85" s="86"/>
      <c r="E85" s="86"/>
      <c r="F85" s="86"/>
      <c r="G85" s="86"/>
      <c r="H85" s="86"/>
      <c r="I85" s="86"/>
      <c r="J85" s="87"/>
    </row>
    <row r="86" spans="2:10" x14ac:dyDescent="0.25">
      <c r="B86" s="88" t="s">
        <v>205</v>
      </c>
      <c r="C86" s="89"/>
      <c r="D86" s="90"/>
      <c r="E86" s="90"/>
      <c r="F86" s="90"/>
      <c r="G86" s="90"/>
      <c r="H86" s="90"/>
      <c r="I86" s="90"/>
      <c r="J86" s="91"/>
    </row>
    <row r="88" spans="2:10" ht="24.95" customHeight="1" x14ac:dyDescent="0.25">
      <c r="B88" s="92" t="s">
        <v>188</v>
      </c>
      <c r="C88" s="92"/>
      <c r="D88" s="92"/>
      <c r="E88" s="92"/>
      <c r="F88" s="92"/>
      <c r="G88" s="92"/>
      <c r="H88" s="92"/>
      <c r="I88" s="92"/>
      <c r="J88" s="92"/>
    </row>
    <row r="90" spans="2:10" x14ac:dyDescent="0.25">
      <c r="B90" s="71" t="s">
        <v>206</v>
      </c>
      <c r="C90" s="71"/>
      <c r="D90" s="71"/>
      <c r="E90" s="71"/>
      <c r="F90" s="71"/>
      <c r="G90" s="71"/>
      <c r="H90" s="71"/>
      <c r="I90" s="71"/>
      <c r="J90" s="71"/>
    </row>
    <row r="91" spans="2:10" x14ac:dyDescent="0.25">
      <c r="B91" s="80" t="s">
        <v>207</v>
      </c>
      <c r="C91" s="80"/>
      <c r="D91" s="80"/>
      <c r="E91" s="80"/>
      <c r="F91" s="80"/>
      <c r="G91" s="80"/>
      <c r="H91" s="80"/>
      <c r="I91" s="80"/>
      <c r="J91" s="80"/>
    </row>
    <row r="92" spans="2:10" x14ac:dyDescent="0.25">
      <c r="B92" s="81" t="s">
        <v>208</v>
      </c>
      <c r="C92" s="81"/>
      <c r="D92" s="81"/>
      <c r="E92" s="81"/>
      <c r="F92" s="81"/>
      <c r="G92" s="81"/>
      <c r="H92" s="81"/>
      <c r="I92" s="81"/>
      <c r="J92" s="81"/>
    </row>
    <row r="93" spans="2:10" x14ac:dyDescent="0.25">
      <c r="B93" s="82" t="s">
        <v>209</v>
      </c>
      <c r="C93" s="82"/>
      <c r="D93" s="82"/>
      <c r="E93" s="82"/>
      <c r="F93" s="82"/>
      <c r="G93" s="82"/>
      <c r="H93" s="82"/>
      <c r="I93" s="82"/>
      <c r="J93" s="82"/>
    </row>
    <row r="95" spans="2:10" x14ac:dyDescent="0.25">
      <c r="B95" s="83" t="s">
        <v>210</v>
      </c>
      <c r="C95" s="83"/>
      <c r="D95" s="83"/>
      <c r="E95" s="83"/>
      <c r="F95" s="83"/>
      <c r="G95" s="83"/>
      <c r="H95" s="83"/>
      <c r="I95" s="83"/>
      <c r="J95" s="83"/>
    </row>
  </sheetData>
  <sortState xmlns:xlrd2="http://schemas.microsoft.com/office/spreadsheetml/2017/richdata2" ref="B20:J30">
    <sortCondition descending="1" ref="B20:B30"/>
  </sortState>
  <mergeCells count="19">
    <mergeCell ref="B91:J91"/>
    <mergeCell ref="B92:J92"/>
    <mergeCell ref="B93:J93"/>
    <mergeCell ref="B95:J95"/>
    <mergeCell ref="B85:J85"/>
    <mergeCell ref="B86:J86"/>
    <mergeCell ref="B88:J88"/>
    <mergeCell ref="B56:J56"/>
    <mergeCell ref="B41:J41"/>
    <mergeCell ref="B90:J90"/>
    <mergeCell ref="B81:J81"/>
    <mergeCell ref="B83:J83"/>
    <mergeCell ref="B84:J84"/>
    <mergeCell ref="B33:J33"/>
    <mergeCell ref="B2:J2"/>
    <mergeCell ref="B6:J6"/>
    <mergeCell ref="B11:E11"/>
    <mergeCell ref="G11:J11"/>
    <mergeCell ref="B18:J18"/>
  </mergeCells>
  <pageMargins left="0.7" right="0.7" top="0.75" bottom="0.75" header="0.3" footer="0.3"/>
  <pageSetup paperSize="0" scale="0" orientation="landscape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91FD-F264-49E4-AE8C-629C2BC18554}">
  <dimension ref="A1:H60"/>
  <sheetViews>
    <sheetView workbookViewId="0">
      <selection activeCell="G60" sqref="G60"/>
    </sheetView>
  </sheetViews>
  <sheetFormatPr baseColWidth="10" defaultRowHeight="15" x14ac:dyDescent="0.25"/>
  <cols>
    <col min="1" max="1" width="23.5703125" customWidth="1"/>
    <col min="2" max="2" width="50.85546875" customWidth="1"/>
    <col min="3" max="3" width="14.5703125" customWidth="1"/>
    <col min="4" max="5" width="16.42578125" customWidth="1"/>
    <col min="6" max="6" width="14.5703125" customWidth="1"/>
    <col min="7" max="7" width="18.140625" customWidth="1"/>
    <col min="8" max="8" width="23.5703125" customWidth="1"/>
  </cols>
  <sheetData>
    <row r="1" spans="1:8" ht="24.95" customHeight="1" x14ac:dyDescent="0.25">
      <c r="A1" s="4" t="s">
        <v>71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72</v>
      </c>
    </row>
    <row r="2" spans="1:8" x14ac:dyDescent="0.25">
      <c r="A2" s="5" t="s">
        <v>73</v>
      </c>
      <c r="B2" s="5" t="s">
        <v>74</v>
      </c>
      <c r="C2" s="5" t="s">
        <v>7</v>
      </c>
      <c r="D2" s="5">
        <v>2</v>
      </c>
      <c r="E2" s="5" t="s">
        <v>193</v>
      </c>
      <c r="F2" s="5">
        <v>26</v>
      </c>
      <c r="G2" s="6">
        <v>18812</v>
      </c>
      <c r="H2" s="5" t="s">
        <v>75</v>
      </c>
    </row>
    <row r="3" spans="1:8" x14ac:dyDescent="0.25">
      <c r="A3" s="5" t="s">
        <v>73</v>
      </c>
      <c r="B3" s="5" t="s">
        <v>76</v>
      </c>
      <c r="C3" s="5" t="s">
        <v>7</v>
      </c>
      <c r="D3" s="5">
        <v>3</v>
      </c>
      <c r="E3" s="5" t="s">
        <v>192</v>
      </c>
      <c r="F3" s="5"/>
      <c r="G3" s="6">
        <v>10000</v>
      </c>
      <c r="H3" s="5" t="s">
        <v>75</v>
      </c>
    </row>
    <row r="4" spans="1:8" x14ac:dyDescent="0.25">
      <c r="A4" s="5" t="s">
        <v>73</v>
      </c>
      <c r="B4" s="5" t="s">
        <v>77</v>
      </c>
      <c r="C4" s="5" t="s">
        <v>7</v>
      </c>
      <c r="D4" s="5">
        <v>1</v>
      </c>
      <c r="E4" s="5" t="s">
        <v>193</v>
      </c>
      <c r="F4" s="5">
        <v>26</v>
      </c>
      <c r="G4" s="6">
        <v>39850</v>
      </c>
      <c r="H4" s="5" t="s">
        <v>75</v>
      </c>
    </row>
    <row r="5" spans="1:8" hidden="1" x14ac:dyDescent="0.25">
      <c r="A5" s="5" t="s">
        <v>73</v>
      </c>
      <c r="B5" s="5" t="s">
        <v>78</v>
      </c>
      <c r="C5" s="5" t="s">
        <v>15</v>
      </c>
      <c r="D5" s="5">
        <v>1</v>
      </c>
      <c r="E5" s="5" t="s">
        <v>16</v>
      </c>
      <c r="F5" s="5"/>
      <c r="G5" s="6">
        <v>9500</v>
      </c>
      <c r="H5" s="5" t="s">
        <v>75</v>
      </c>
    </row>
    <row r="6" spans="1:8" hidden="1" x14ac:dyDescent="0.25">
      <c r="A6" s="5" t="s">
        <v>73</v>
      </c>
      <c r="B6" s="5" t="s">
        <v>79</v>
      </c>
      <c r="C6" s="5" t="s">
        <v>15</v>
      </c>
      <c r="D6" s="5">
        <v>1</v>
      </c>
      <c r="E6" s="5" t="s">
        <v>16</v>
      </c>
      <c r="F6" s="5"/>
      <c r="G6" s="6">
        <v>500</v>
      </c>
      <c r="H6" s="5" t="s">
        <v>75</v>
      </c>
    </row>
    <row r="7" spans="1:8" hidden="1" x14ac:dyDescent="0.25">
      <c r="A7" s="5" t="s">
        <v>73</v>
      </c>
      <c r="B7" s="5" t="s">
        <v>80</v>
      </c>
      <c r="C7" s="5" t="s">
        <v>15</v>
      </c>
      <c r="D7" s="5">
        <v>1</v>
      </c>
      <c r="E7" s="5" t="s">
        <v>16</v>
      </c>
      <c r="F7" s="5"/>
      <c r="G7" s="6">
        <v>1600</v>
      </c>
      <c r="H7" s="5" t="s">
        <v>75</v>
      </c>
    </row>
    <row r="8" spans="1:8" hidden="1" x14ac:dyDescent="0.25">
      <c r="A8" s="5" t="s">
        <v>73</v>
      </c>
      <c r="B8" s="5" t="s">
        <v>81</v>
      </c>
      <c r="C8" s="5" t="s">
        <v>15</v>
      </c>
      <c r="D8" s="5">
        <v>1</v>
      </c>
      <c r="E8" s="5" t="s">
        <v>193</v>
      </c>
      <c r="F8" s="5">
        <v>30</v>
      </c>
      <c r="G8" s="6">
        <v>1000</v>
      </c>
      <c r="H8" s="5" t="s">
        <v>75</v>
      </c>
    </row>
    <row r="9" spans="1:8" x14ac:dyDescent="0.25">
      <c r="A9" s="5" t="s">
        <v>73</v>
      </c>
      <c r="B9" s="5" t="s">
        <v>82</v>
      </c>
      <c r="C9" s="5" t="s">
        <v>7</v>
      </c>
      <c r="D9" s="5">
        <v>1</v>
      </c>
      <c r="E9" s="5" t="s">
        <v>193</v>
      </c>
      <c r="F9" s="5">
        <v>14</v>
      </c>
      <c r="G9" s="6">
        <v>10000</v>
      </c>
      <c r="H9" s="5" t="s">
        <v>75</v>
      </c>
    </row>
    <row r="10" spans="1:8" x14ac:dyDescent="0.25">
      <c r="A10" s="5" t="s">
        <v>73</v>
      </c>
      <c r="B10" s="5" t="s">
        <v>83</v>
      </c>
      <c r="C10" s="5" t="s">
        <v>7</v>
      </c>
      <c r="D10" s="5">
        <v>2</v>
      </c>
      <c r="E10" s="5" t="s">
        <v>193</v>
      </c>
      <c r="F10" s="5">
        <v>30</v>
      </c>
      <c r="G10" s="6">
        <v>0</v>
      </c>
      <c r="H10" s="5" t="s">
        <v>84</v>
      </c>
    </row>
    <row r="11" spans="1:8" hidden="1" x14ac:dyDescent="0.25">
      <c r="A11" s="5" t="s">
        <v>73</v>
      </c>
      <c r="B11" s="5" t="s">
        <v>22</v>
      </c>
      <c r="C11" s="5" t="s">
        <v>15</v>
      </c>
      <c r="D11" s="5">
        <v>2</v>
      </c>
      <c r="E11" s="5" t="s">
        <v>193</v>
      </c>
      <c r="F11" s="5">
        <v>28</v>
      </c>
      <c r="G11" s="6">
        <v>1000</v>
      </c>
      <c r="H11" s="5" t="s">
        <v>75</v>
      </c>
    </row>
    <row r="12" spans="1:8" hidden="1" x14ac:dyDescent="0.25">
      <c r="A12" s="5" t="s">
        <v>73</v>
      </c>
      <c r="B12" s="5" t="s">
        <v>85</v>
      </c>
      <c r="C12" s="5" t="s">
        <v>15</v>
      </c>
      <c r="D12" s="5">
        <v>1</v>
      </c>
      <c r="E12" s="5" t="s">
        <v>193</v>
      </c>
      <c r="F12" s="5">
        <v>30</v>
      </c>
      <c r="G12" s="6">
        <v>283</v>
      </c>
      <c r="H12" s="5" t="s">
        <v>75</v>
      </c>
    </row>
    <row r="13" spans="1:8" x14ac:dyDescent="0.25">
      <c r="A13" s="5" t="s">
        <v>73</v>
      </c>
      <c r="B13" s="5" t="s">
        <v>86</v>
      </c>
      <c r="C13" s="5" t="s">
        <v>7</v>
      </c>
      <c r="D13" s="5">
        <v>2</v>
      </c>
      <c r="E13" s="5" t="s">
        <v>193</v>
      </c>
      <c r="F13" s="5">
        <v>30</v>
      </c>
      <c r="G13" s="6">
        <v>76980</v>
      </c>
      <c r="H13" s="5" t="s">
        <v>75</v>
      </c>
    </row>
    <row r="14" spans="1:8" x14ac:dyDescent="0.25">
      <c r="A14" s="5" t="s">
        <v>87</v>
      </c>
      <c r="B14" s="5" t="s">
        <v>88</v>
      </c>
      <c r="C14" s="5" t="s">
        <v>7</v>
      </c>
      <c r="D14" s="5">
        <v>3</v>
      </c>
      <c r="E14" s="5" t="s">
        <v>192</v>
      </c>
      <c r="F14" s="5"/>
      <c r="G14" s="6">
        <v>676</v>
      </c>
      <c r="H14" s="5" t="s">
        <v>75</v>
      </c>
    </row>
    <row r="15" spans="1:8" hidden="1" x14ac:dyDescent="0.25">
      <c r="A15" s="5" t="s">
        <v>89</v>
      </c>
      <c r="B15" s="5" t="s">
        <v>90</v>
      </c>
      <c r="C15" s="5" t="s">
        <v>15</v>
      </c>
      <c r="D15" s="5">
        <v>2</v>
      </c>
      <c r="E15" s="5" t="s">
        <v>193</v>
      </c>
      <c r="F15" s="5">
        <v>27</v>
      </c>
      <c r="G15" s="6">
        <v>6600</v>
      </c>
      <c r="H15" s="5" t="s">
        <v>75</v>
      </c>
    </row>
    <row r="16" spans="1:8" x14ac:dyDescent="0.25">
      <c r="A16" s="5" t="s">
        <v>89</v>
      </c>
      <c r="B16" s="5" t="s">
        <v>91</v>
      </c>
      <c r="C16" s="5" t="s">
        <v>7</v>
      </c>
      <c r="D16" s="5">
        <v>1</v>
      </c>
      <c r="E16" s="5" t="s">
        <v>193</v>
      </c>
      <c r="F16" s="5">
        <v>58</v>
      </c>
      <c r="G16" s="6">
        <v>0</v>
      </c>
      <c r="H16" s="5" t="s">
        <v>84</v>
      </c>
    </row>
    <row r="17" spans="1:8" hidden="1" x14ac:dyDescent="0.25">
      <c r="A17" s="5" t="s">
        <v>92</v>
      </c>
      <c r="B17" s="5" t="s">
        <v>28</v>
      </c>
      <c r="C17" s="5" t="s">
        <v>15</v>
      </c>
      <c r="D17" s="5">
        <v>1</v>
      </c>
      <c r="E17" s="5" t="s">
        <v>193</v>
      </c>
      <c r="F17" s="5">
        <v>22</v>
      </c>
      <c r="G17" s="6">
        <v>6600</v>
      </c>
      <c r="H17" s="5" t="s">
        <v>75</v>
      </c>
    </row>
    <row r="18" spans="1:8" hidden="1" x14ac:dyDescent="0.25">
      <c r="A18" s="5" t="s">
        <v>93</v>
      </c>
      <c r="B18" s="5" t="s">
        <v>94</v>
      </c>
      <c r="C18" s="5" t="s">
        <v>15</v>
      </c>
      <c r="D18" s="5">
        <v>2</v>
      </c>
      <c r="E18" s="5" t="s">
        <v>193</v>
      </c>
      <c r="F18" s="5">
        <v>49</v>
      </c>
      <c r="G18" s="6">
        <v>3000</v>
      </c>
      <c r="H18" s="5" t="s">
        <v>75</v>
      </c>
    </row>
    <row r="19" spans="1:8" x14ac:dyDescent="0.25">
      <c r="A19" s="5" t="s">
        <v>93</v>
      </c>
      <c r="B19" s="5" t="s">
        <v>95</v>
      </c>
      <c r="C19" s="5" t="s">
        <v>7</v>
      </c>
      <c r="D19" s="5">
        <v>1</v>
      </c>
      <c r="E19" s="5" t="s">
        <v>193</v>
      </c>
      <c r="F19" s="5">
        <v>8</v>
      </c>
      <c r="G19" s="6">
        <v>195000</v>
      </c>
      <c r="H19" s="5" t="s">
        <v>75</v>
      </c>
    </row>
    <row r="20" spans="1:8" hidden="1" x14ac:dyDescent="0.25">
      <c r="A20" s="5" t="s">
        <v>93</v>
      </c>
      <c r="B20" s="5" t="s">
        <v>96</v>
      </c>
      <c r="C20" s="5" t="s">
        <v>15</v>
      </c>
      <c r="D20" s="5">
        <v>2</v>
      </c>
      <c r="E20" s="5" t="s">
        <v>16</v>
      </c>
      <c r="F20" s="5"/>
      <c r="G20" s="6">
        <v>3500</v>
      </c>
      <c r="H20" s="5" t="s">
        <v>75</v>
      </c>
    </row>
    <row r="21" spans="1:8" x14ac:dyDescent="0.25">
      <c r="A21" s="5" t="s">
        <v>97</v>
      </c>
      <c r="B21" s="5" t="s">
        <v>98</v>
      </c>
      <c r="C21" s="5" t="s">
        <v>7</v>
      </c>
      <c r="D21" s="5">
        <v>1</v>
      </c>
      <c r="E21" s="5" t="s">
        <v>193</v>
      </c>
      <c r="F21" s="5">
        <v>1</v>
      </c>
      <c r="G21" s="6">
        <v>184612.46</v>
      </c>
      <c r="H21" s="5" t="s">
        <v>75</v>
      </c>
    </row>
    <row r="22" spans="1:8" x14ac:dyDescent="0.25">
      <c r="A22" s="5" t="s">
        <v>97</v>
      </c>
      <c r="B22" s="5" t="s">
        <v>99</v>
      </c>
      <c r="C22" s="5" t="s">
        <v>7</v>
      </c>
      <c r="D22" s="5">
        <v>1</v>
      </c>
      <c r="E22" s="5" t="s">
        <v>16</v>
      </c>
      <c r="F22" s="5"/>
      <c r="G22" s="6">
        <v>147000</v>
      </c>
      <c r="H22" s="5" t="s">
        <v>75</v>
      </c>
    </row>
    <row r="23" spans="1:8" x14ac:dyDescent="0.25">
      <c r="A23" s="5" t="s">
        <v>100</v>
      </c>
      <c r="B23" s="5" t="s">
        <v>101</v>
      </c>
      <c r="C23" s="5" t="s">
        <v>7</v>
      </c>
      <c r="D23" s="5">
        <v>1</v>
      </c>
      <c r="E23" s="5" t="s">
        <v>193</v>
      </c>
      <c r="F23" s="5">
        <v>16</v>
      </c>
      <c r="G23" s="6">
        <v>1357791.99</v>
      </c>
      <c r="H23" s="5" t="s">
        <v>75</v>
      </c>
    </row>
    <row r="24" spans="1:8" x14ac:dyDescent="0.25">
      <c r="A24" s="5" t="s">
        <v>100</v>
      </c>
      <c r="B24" s="5" t="s">
        <v>102</v>
      </c>
      <c r="C24" s="5" t="s">
        <v>7</v>
      </c>
      <c r="D24" s="5">
        <v>1</v>
      </c>
      <c r="E24" s="5" t="s">
        <v>193</v>
      </c>
      <c r="F24" s="5">
        <v>6</v>
      </c>
      <c r="G24" s="6">
        <v>88500</v>
      </c>
      <c r="H24" s="5" t="s">
        <v>75</v>
      </c>
    </row>
    <row r="25" spans="1:8" hidden="1" x14ac:dyDescent="0.25">
      <c r="A25" s="5" t="s">
        <v>100</v>
      </c>
      <c r="B25" s="5" t="s">
        <v>103</v>
      </c>
      <c r="C25" s="5" t="s">
        <v>15</v>
      </c>
      <c r="D25" s="5">
        <v>1</v>
      </c>
      <c r="E25" s="5" t="s">
        <v>16</v>
      </c>
      <c r="F25" s="5"/>
      <c r="G25" s="6">
        <v>528500</v>
      </c>
      <c r="H25" s="5" t="s">
        <v>75</v>
      </c>
    </row>
    <row r="26" spans="1:8" x14ac:dyDescent="0.25">
      <c r="A26" s="5" t="s">
        <v>104</v>
      </c>
      <c r="B26" s="5" t="s">
        <v>105</v>
      </c>
      <c r="C26" s="5" t="s">
        <v>7</v>
      </c>
      <c r="D26" s="5">
        <v>1</v>
      </c>
      <c r="E26" s="5" t="s">
        <v>193</v>
      </c>
      <c r="F26" s="5">
        <v>22</v>
      </c>
      <c r="G26" s="6">
        <v>85000</v>
      </c>
      <c r="H26" s="5" t="s">
        <v>75</v>
      </c>
    </row>
    <row r="27" spans="1:8" x14ac:dyDescent="0.25">
      <c r="A27" s="5" t="s">
        <v>104</v>
      </c>
      <c r="B27" s="5" t="s">
        <v>106</v>
      </c>
      <c r="C27" s="5" t="s">
        <v>7</v>
      </c>
      <c r="D27" s="5">
        <v>2</v>
      </c>
      <c r="E27" s="5" t="s">
        <v>193</v>
      </c>
      <c r="F27" s="5">
        <v>20</v>
      </c>
      <c r="G27" s="6">
        <v>87195.75</v>
      </c>
      <c r="H27" s="5" t="s">
        <v>75</v>
      </c>
    </row>
    <row r="28" spans="1:8" hidden="1" x14ac:dyDescent="0.25">
      <c r="A28" s="5" t="s">
        <v>104</v>
      </c>
      <c r="B28" s="5" t="s">
        <v>107</v>
      </c>
      <c r="C28" s="5" t="s">
        <v>15</v>
      </c>
      <c r="D28" s="5">
        <v>2</v>
      </c>
      <c r="E28" s="5" t="s">
        <v>192</v>
      </c>
      <c r="F28" s="5"/>
      <c r="G28" s="6">
        <v>9000</v>
      </c>
      <c r="H28" s="5" t="s">
        <v>75</v>
      </c>
    </row>
    <row r="29" spans="1:8" hidden="1" x14ac:dyDescent="0.25">
      <c r="A29" s="5" t="s">
        <v>104</v>
      </c>
      <c r="B29" s="5" t="s">
        <v>108</v>
      </c>
      <c r="C29" s="5" t="s">
        <v>15</v>
      </c>
      <c r="D29" s="5">
        <v>2</v>
      </c>
      <c r="E29" s="5" t="s">
        <v>192</v>
      </c>
      <c r="F29" s="5"/>
      <c r="G29" s="6">
        <v>4000</v>
      </c>
      <c r="H29" s="5" t="s">
        <v>75</v>
      </c>
    </row>
    <row r="30" spans="1:8" x14ac:dyDescent="0.25">
      <c r="A30" s="5" t="s">
        <v>104</v>
      </c>
      <c r="B30" s="5" t="s">
        <v>109</v>
      </c>
      <c r="C30" s="5" t="s">
        <v>7</v>
      </c>
      <c r="D30" s="5">
        <v>2</v>
      </c>
      <c r="E30" s="5" t="s">
        <v>193</v>
      </c>
      <c r="F30" s="5">
        <v>27</v>
      </c>
      <c r="G30" s="6">
        <v>0</v>
      </c>
      <c r="H30" s="5" t="s">
        <v>84</v>
      </c>
    </row>
    <row r="31" spans="1:8" x14ac:dyDescent="0.25">
      <c r="A31" s="5" t="s">
        <v>104</v>
      </c>
      <c r="B31" s="5" t="s">
        <v>110</v>
      </c>
      <c r="C31" s="5" t="s">
        <v>7</v>
      </c>
      <c r="D31" s="5">
        <v>2</v>
      </c>
      <c r="E31" s="5" t="s">
        <v>192</v>
      </c>
      <c r="F31" s="5"/>
      <c r="G31" s="6">
        <v>0</v>
      </c>
      <c r="H31" s="5" t="s">
        <v>84</v>
      </c>
    </row>
    <row r="32" spans="1:8" x14ac:dyDescent="0.25">
      <c r="A32" s="5" t="s">
        <v>111</v>
      </c>
      <c r="B32" s="5" t="s">
        <v>112</v>
      </c>
      <c r="C32" s="5" t="s">
        <v>7</v>
      </c>
      <c r="D32" s="5">
        <v>1</v>
      </c>
      <c r="E32" s="5" t="s">
        <v>193</v>
      </c>
      <c r="F32" s="5">
        <v>61</v>
      </c>
      <c r="G32" s="6">
        <v>27795</v>
      </c>
      <c r="H32" s="5" t="s">
        <v>75</v>
      </c>
    </row>
    <row r="33" spans="1:8" x14ac:dyDescent="0.25">
      <c r="A33" s="5" t="s">
        <v>111</v>
      </c>
      <c r="B33" s="5" t="s">
        <v>113</v>
      </c>
      <c r="C33" s="5" t="s">
        <v>7</v>
      </c>
      <c r="D33" s="5">
        <v>1</v>
      </c>
      <c r="E33" s="5" t="s">
        <v>193</v>
      </c>
      <c r="F33" s="5">
        <v>36</v>
      </c>
      <c r="G33" s="6">
        <v>40000</v>
      </c>
      <c r="H33" s="5" t="s">
        <v>75</v>
      </c>
    </row>
    <row r="34" spans="1:8" x14ac:dyDescent="0.25">
      <c r="A34" s="5" t="s">
        <v>111</v>
      </c>
      <c r="B34" s="5" t="s">
        <v>114</v>
      </c>
      <c r="C34" s="5" t="s">
        <v>7</v>
      </c>
      <c r="D34" s="5">
        <v>1</v>
      </c>
      <c r="E34" s="5" t="s">
        <v>16</v>
      </c>
      <c r="F34" s="5"/>
      <c r="G34" s="6">
        <v>150000</v>
      </c>
      <c r="H34" s="5" t="s">
        <v>75</v>
      </c>
    </row>
    <row r="35" spans="1:8" hidden="1" x14ac:dyDescent="0.25">
      <c r="A35" s="5" t="s">
        <v>111</v>
      </c>
      <c r="B35" s="5" t="s">
        <v>115</v>
      </c>
      <c r="C35" s="5" t="s">
        <v>15</v>
      </c>
      <c r="D35" s="5">
        <v>1</v>
      </c>
      <c r="E35" s="5" t="s">
        <v>16</v>
      </c>
      <c r="F35" s="5"/>
      <c r="G35" s="6">
        <v>563975</v>
      </c>
      <c r="H35" s="5" t="s">
        <v>75</v>
      </c>
    </row>
    <row r="36" spans="1:8" x14ac:dyDescent="0.25">
      <c r="A36" s="5" t="s">
        <v>116</v>
      </c>
      <c r="B36" s="5" t="s">
        <v>117</v>
      </c>
      <c r="C36" s="5" t="s">
        <v>7</v>
      </c>
      <c r="D36" s="5">
        <v>2</v>
      </c>
      <c r="E36" s="5" t="s">
        <v>192</v>
      </c>
      <c r="F36" s="5"/>
      <c r="G36" s="6">
        <v>39246.51</v>
      </c>
      <c r="H36" s="5" t="s">
        <v>75</v>
      </c>
    </row>
    <row r="37" spans="1:8" x14ac:dyDescent="0.25">
      <c r="A37" s="5" t="s">
        <v>118</v>
      </c>
      <c r="B37" s="5" t="s">
        <v>119</v>
      </c>
      <c r="C37" s="5" t="s">
        <v>7</v>
      </c>
      <c r="D37" s="5">
        <v>3</v>
      </c>
      <c r="E37" s="5" t="s">
        <v>192</v>
      </c>
      <c r="F37" s="5"/>
      <c r="G37" s="6">
        <v>42000</v>
      </c>
      <c r="H37" s="5" t="s">
        <v>75</v>
      </c>
    </row>
    <row r="38" spans="1:8" x14ac:dyDescent="0.25">
      <c r="A38" s="5" t="s">
        <v>118</v>
      </c>
      <c r="B38" s="5" t="s">
        <v>49</v>
      </c>
      <c r="C38" s="5" t="s">
        <v>7</v>
      </c>
      <c r="D38" s="5">
        <v>1</v>
      </c>
      <c r="E38" s="5" t="s">
        <v>193</v>
      </c>
      <c r="F38" s="5">
        <v>51</v>
      </c>
      <c r="G38" s="6">
        <v>0</v>
      </c>
      <c r="H38" s="5" t="s">
        <v>84</v>
      </c>
    </row>
    <row r="39" spans="1:8" x14ac:dyDescent="0.25">
      <c r="A39" s="5" t="s">
        <v>118</v>
      </c>
      <c r="B39" s="5" t="s">
        <v>120</v>
      </c>
      <c r="C39" s="5" t="s">
        <v>7</v>
      </c>
      <c r="D39" s="5">
        <v>2</v>
      </c>
      <c r="E39" s="5" t="s">
        <v>192</v>
      </c>
      <c r="F39" s="5"/>
      <c r="G39" s="6">
        <v>2000</v>
      </c>
      <c r="H39" s="5" t="s">
        <v>75</v>
      </c>
    </row>
    <row r="40" spans="1:8" hidden="1" x14ac:dyDescent="0.25">
      <c r="A40" s="5" t="s">
        <v>118</v>
      </c>
      <c r="B40" s="5" t="s">
        <v>121</v>
      </c>
      <c r="C40" s="5" t="s">
        <v>15</v>
      </c>
      <c r="D40" s="5">
        <v>2</v>
      </c>
      <c r="E40" s="5" t="s">
        <v>192</v>
      </c>
      <c r="F40" s="5"/>
      <c r="G40" s="6">
        <v>1000</v>
      </c>
      <c r="H40" s="5" t="s">
        <v>75</v>
      </c>
    </row>
    <row r="41" spans="1:8" x14ac:dyDescent="0.25">
      <c r="A41" s="5" t="s">
        <v>118</v>
      </c>
      <c r="B41" s="5" t="s">
        <v>122</v>
      </c>
      <c r="C41" s="5" t="s">
        <v>7</v>
      </c>
      <c r="D41" s="5">
        <v>2</v>
      </c>
      <c r="E41" s="5" t="s">
        <v>192</v>
      </c>
      <c r="F41" s="5"/>
      <c r="G41" s="6">
        <v>60000</v>
      </c>
      <c r="H41" s="5" t="s">
        <v>75</v>
      </c>
    </row>
    <row r="42" spans="1:8" hidden="1" x14ac:dyDescent="0.25">
      <c r="A42" s="5" t="s">
        <v>118</v>
      </c>
      <c r="B42" s="5" t="s">
        <v>123</v>
      </c>
      <c r="C42" s="5" t="s">
        <v>15</v>
      </c>
      <c r="D42" s="5">
        <v>3</v>
      </c>
      <c r="E42" s="5" t="s">
        <v>192</v>
      </c>
      <c r="F42" s="5"/>
      <c r="G42" s="6">
        <v>3500</v>
      </c>
      <c r="H42" s="5" t="s">
        <v>75</v>
      </c>
    </row>
    <row r="43" spans="1:8" hidden="1" x14ac:dyDescent="0.25">
      <c r="A43" s="5" t="s">
        <v>118</v>
      </c>
      <c r="B43" s="5" t="s">
        <v>124</v>
      </c>
      <c r="C43" s="5" t="s">
        <v>15</v>
      </c>
      <c r="D43" s="5">
        <v>1</v>
      </c>
      <c r="E43" s="5" t="s">
        <v>193</v>
      </c>
      <c r="F43" s="5">
        <v>65</v>
      </c>
      <c r="G43" s="6">
        <v>2000</v>
      </c>
      <c r="H43" s="5" t="s">
        <v>75</v>
      </c>
    </row>
    <row r="44" spans="1:8" hidden="1" x14ac:dyDescent="0.25">
      <c r="A44" s="5" t="s">
        <v>118</v>
      </c>
      <c r="B44" s="5" t="s">
        <v>125</v>
      </c>
      <c r="C44" s="5" t="s">
        <v>15</v>
      </c>
      <c r="D44" s="5">
        <v>1</v>
      </c>
      <c r="E44" s="5" t="s">
        <v>193</v>
      </c>
      <c r="F44" s="5">
        <v>61</v>
      </c>
      <c r="G44" s="6">
        <v>6600</v>
      </c>
      <c r="H44" s="5" t="s">
        <v>75</v>
      </c>
    </row>
    <row r="45" spans="1:8" hidden="1" x14ac:dyDescent="0.25">
      <c r="A45" s="5" t="s">
        <v>118</v>
      </c>
      <c r="B45" s="5" t="s">
        <v>126</v>
      </c>
      <c r="C45" s="5" t="s">
        <v>15</v>
      </c>
      <c r="D45" s="5">
        <v>2</v>
      </c>
      <c r="E45" s="5" t="s">
        <v>192</v>
      </c>
      <c r="F45" s="5"/>
      <c r="G45" s="6">
        <v>7000</v>
      </c>
      <c r="H45" s="5" t="s">
        <v>75</v>
      </c>
    </row>
    <row r="46" spans="1:8" hidden="1" x14ac:dyDescent="0.25">
      <c r="A46" s="5" t="s">
        <v>118</v>
      </c>
      <c r="B46" s="5" t="s">
        <v>127</v>
      </c>
      <c r="C46" s="5" t="s">
        <v>15</v>
      </c>
      <c r="D46" s="5">
        <v>3</v>
      </c>
      <c r="E46" s="5" t="s">
        <v>192</v>
      </c>
      <c r="F46" s="5"/>
      <c r="G46" s="6">
        <v>7200</v>
      </c>
      <c r="H46" s="5" t="s">
        <v>75</v>
      </c>
    </row>
    <row r="47" spans="1:8" hidden="1" x14ac:dyDescent="0.25">
      <c r="A47" s="5" t="s">
        <v>118</v>
      </c>
      <c r="B47" s="5" t="s">
        <v>128</v>
      </c>
      <c r="C47" s="5" t="s">
        <v>15</v>
      </c>
      <c r="D47" s="5">
        <v>2</v>
      </c>
      <c r="E47" s="5" t="s">
        <v>193</v>
      </c>
      <c r="F47" s="5">
        <v>26</v>
      </c>
      <c r="G47" s="6">
        <v>8000</v>
      </c>
      <c r="H47" s="5" t="s">
        <v>75</v>
      </c>
    </row>
    <row r="48" spans="1:8" hidden="1" x14ac:dyDescent="0.25">
      <c r="A48" s="5" t="s">
        <v>118</v>
      </c>
      <c r="B48" s="5" t="s">
        <v>129</v>
      </c>
      <c r="C48" s="5" t="s">
        <v>15</v>
      </c>
      <c r="D48" s="5">
        <v>2</v>
      </c>
      <c r="E48" s="5" t="s">
        <v>192</v>
      </c>
      <c r="F48" s="5"/>
      <c r="G48" s="6">
        <v>7000</v>
      </c>
      <c r="H48" s="5" t="s">
        <v>75</v>
      </c>
    </row>
    <row r="49" spans="1:8" hidden="1" x14ac:dyDescent="0.25">
      <c r="A49" s="5" t="s">
        <v>118</v>
      </c>
      <c r="B49" s="5" t="s">
        <v>130</v>
      </c>
      <c r="C49" s="5" t="s">
        <v>15</v>
      </c>
      <c r="D49" s="5">
        <v>3</v>
      </c>
      <c r="E49" s="5" t="s">
        <v>192</v>
      </c>
      <c r="F49" s="5"/>
      <c r="G49" s="6">
        <v>7000</v>
      </c>
      <c r="H49" s="5" t="s">
        <v>75</v>
      </c>
    </row>
    <row r="50" spans="1:8" hidden="1" x14ac:dyDescent="0.25">
      <c r="A50" s="5" t="s">
        <v>118</v>
      </c>
      <c r="B50" s="5" t="s">
        <v>131</v>
      </c>
      <c r="C50" s="5" t="s">
        <v>15</v>
      </c>
      <c r="D50" s="5">
        <v>2</v>
      </c>
      <c r="E50" s="5" t="s">
        <v>193</v>
      </c>
      <c r="F50" s="5">
        <v>26</v>
      </c>
      <c r="G50" s="6">
        <v>1400</v>
      </c>
      <c r="H50" s="5" t="s">
        <v>75</v>
      </c>
    </row>
    <row r="51" spans="1:8" x14ac:dyDescent="0.25">
      <c r="A51" s="5" t="s">
        <v>118</v>
      </c>
      <c r="B51" s="5" t="s">
        <v>132</v>
      </c>
      <c r="C51" s="5" t="s">
        <v>7</v>
      </c>
      <c r="D51" s="5">
        <v>2</v>
      </c>
      <c r="E51" s="5" t="s">
        <v>193</v>
      </c>
      <c r="F51" s="5">
        <v>8</v>
      </c>
      <c r="G51" s="6">
        <v>12500</v>
      </c>
      <c r="H51" s="5" t="s">
        <v>75</v>
      </c>
    </row>
    <row r="52" spans="1:8" hidden="1" x14ac:dyDescent="0.25">
      <c r="A52" s="5" t="s">
        <v>118</v>
      </c>
      <c r="B52" s="5" t="s">
        <v>133</v>
      </c>
      <c r="C52" s="5" t="s">
        <v>15</v>
      </c>
      <c r="D52" s="5">
        <v>3</v>
      </c>
      <c r="E52" s="5" t="s">
        <v>192</v>
      </c>
      <c r="F52" s="5"/>
      <c r="G52" s="6">
        <v>1000</v>
      </c>
      <c r="H52" s="5" t="s">
        <v>75</v>
      </c>
    </row>
    <row r="53" spans="1:8" hidden="1" x14ac:dyDescent="0.25">
      <c r="A53" s="5" t="s">
        <v>118</v>
      </c>
      <c r="B53" s="5" t="s">
        <v>134</v>
      </c>
      <c r="C53" s="5" t="s">
        <v>15</v>
      </c>
      <c r="D53" s="5">
        <v>3</v>
      </c>
      <c r="E53" s="5" t="s">
        <v>192</v>
      </c>
      <c r="F53" s="5"/>
      <c r="G53" s="6">
        <v>2000</v>
      </c>
      <c r="H53" s="5" t="s">
        <v>75</v>
      </c>
    </row>
    <row r="54" spans="1:8" hidden="1" x14ac:dyDescent="0.25">
      <c r="A54" s="5" t="s">
        <v>118</v>
      </c>
      <c r="B54" s="5" t="s">
        <v>135</v>
      </c>
      <c r="C54" s="5" t="s">
        <v>15</v>
      </c>
      <c r="D54" s="5">
        <v>3</v>
      </c>
      <c r="E54" s="5" t="s">
        <v>192</v>
      </c>
      <c r="F54" s="5"/>
      <c r="G54" s="6">
        <v>1000</v>
      </c>
      <c r="H54" s="5" t="s">
        <v>75</v>
      </c>
    </row>
    <row r="55" spans="1:8" hidden="1" x14ac:dyDescent="0.25">
      <c r="A55" s="5" t="s">
        <v>118</v>
      </c>
      <c r="B55" s="5" t="s">
        <v>136</v>
      </c>
      <c r="C55" s="5" t="s">
        <v>15</v>
      </c>
      <c r="D55" s="5">
        <v>3</v>
      </c>
      <c r="E55" s="5" t="s">
        <v>192</v>
      </c>
      <c r="F55" s="5"/>
      <c r="G55" s="6">
        <v>1100</v>
      </c>
      <c r="H55" s="5" t="s">
        <v>75</v>
      </c>
    </row>
    <row r="56" spans="1:8" hidden="1" x14ac:dyDescent="0.25">
      <c r="A56" s="5" t="s">
        <v>118</v>
      </c>
      <c r="B56" s="5" t="s">
        <v>137</v>
      </c>
      <c r="C56" s="5" t="s">
        <v>15</v>
      </c>
      <c r="D56" s="5">
        <v>3</v>
      </c>
      <c r="E56" s="5" t="s">
        <v>192</v>
      </c>
      <c r="F56" s="5"/>
      <c r="G56" s="6">
        <v>10000</v>
      </c>
      <c r="H56" s="5" t="s">
        <v>75</v>
      </c>
    </row>
    <row r="57" spans="1:8" hidden="1" x14ac:dyDescent="0.25">
      <c r="A57" s="5" t="s">
        <v>118</v>
      </c>
      <c r="B57" s="5" t="s">
        <v>138</v>
      </c>
      <c r="C57" s="5" t="s">
        <v>15</v>
      </c>
      <c r="D57" s="5">
        <v>2</v>
      </c>
      <c r="E57" s="5" t="s">
        <v>192</v>
      </c>
      <c r="F57" s="5"/>
      <c r="G57" s="6">
        <v>9259.93</v>
      </c>
      <c r="H57" s="5" t="s">
        <v>75</v>
      </c>
    </row>
    <row r="58" spans="1:8" x14ac:dyDescent="0.25">
      <c r="A58" s="5" t="s">
        <v>118</v>
      </c>
      <c r="B58" s="5" t="s">
        <v>139</v>
      </c>
      <c r="C58" s="5" t="s">
        <v>7</v>
      </c>
      <c r="D58" s="5">
        <v>2</v>
      </c>
      <c r="E58" s="5" t="s">
        <v>192</v>
      </c>
      <c r="F58" s="5"/>
      <c r="G58" s="6">
        <v>65000</v>
      </c>
      <c r="H58" s="5" t="s">
        <v>75</v>
      </c>
    </row>
    <row r="59" spans="1:8" x14ac:dyDescent="0.25">
      <c r="A59" s="5" t="s">
        <v>118</v>
      </c>
      <c r="B59" s="5" t="s">
        <v>140</v>
      </c>
      <c r="C59" s="5" t="s">
        <v>7</v>
      </c>
      <c r="D59" s="5">
        <v>3</v>
      </c>
      <c r="E59" s="5" t="s">
        <v>192</v>
      </c>
      <c r="F59" s="5"/>
      <c r="G59" s="6">
        <v>26000</v>
      </c>
      <c r="H59" s="5" t="s">
        <v>75</v>
      </c>
    </row>
    <row r="60" spans="1:8" x14ac:dyDescent="0.25">
      <c r="A60" s="5"/>
      <c r="B60" s="5"/>
      <c r="C60" s="5"/>
      <c r="D60" s="5"/>
      <c r="E60" s="5"/>
      <c r="F60" s="5"/>
      <c r="G60" s="6">
        <f>SUBTOTAL(9,G2:G59)</f>
        <v>2765959.71</v>
      </c>
      <c r="H60" s="5"/>
    </row>
  </sheetData>
  <conditionalFormatting sqref="E2:E59">
    <cfRule type="cellIs" priority="2" operator="between"/>
  </conditionalFormatting>
  <conditionalFormatting sqref="E2:E60">
    <cfRule type="containsText" priority="1" operator="containsText" text="Text">
      <formula>NOT(ISERROR(SEARCH("Text",E2)))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E28" sqref="E28"/>
    </sheetView>
  </sheetViews>
  <sheetFormatPr baseColWidth="10" defaultColWidth="8.7109375" defaultRowHeight="15" x14ac:dyDescent="0.25"/>
  <cols>
    <col min="1" max="1" width="140" bestFit="1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35">
      <c r="A1" s="61" t="s">
        <v>168</v>
      </c>
      <c r="B1" s="62"/>
      <c r="C1" s="62"/>
      <c r="D1" s="62"/>
      <c r="E1" s="62"/>
      <c r="F1" s="62"/>
    </row>
    <row r="3" spans="1:6" x14ac:dyDescent="0.25">
      <c r="A3" s="51" t="s">
        <v>169</v>
      </c>
      <c r="B3" s="51" t="s">
        <v>170</v>
      </c>
      <c r="D3" s="51" t="s">
        <v>174</v>
      </c>
      <c r="E3" s="51" t="s">
        <v>175</v>
      </c>
    </row>
    <row r="4" spans="1:6" x14ac:dyDescent="0.25">
      <c r="A4" s="29" t="s">
        <v>171</v>
      </c>
      <c r="B4" s="29">
        <f>COUNTA(A10:A21)</f>
        <v>12</v>
      </c>
      <c r="D4" s="29" t="s">
        <v>176</v>
      </c>
      <c r="E4" s="29">
        <f>COUNTIF(D10:D21,"Contratado")</f>
        <v>3</v>
      </c>
    </row>
    <row r="5" spans="1:6" x14ac:dyDescent="0.25">
      <c r="A5" s="29" t="s">
        <v>172</v>
      </c>
      <c r="B5" s="29">
        <f>COUNTIF(B10:B21,"PAC")</f>
        <v>6</v>
      </c>
      <c r="D5" s="29" t="s">
        <v>194</v>
      </c>
      <c r="E5" s="29">
        <f>COUNTIF(D10:D21,"En progreso")</f>
        <v>0</v>
      </c>
    </row>
    <row r="6" spans="1:6" x14ac:dyDescent="0.25">
      <c r="A6" s="29" t="s">
        <v>173</v>
      </c>
      <c r="B6" s="29">
        <f>COUNTIF(B10:B21,"*No PAC*")+COUNTIF(B10:B21,"NO PAC")</f>
        <v>12</v>
      </c>
      <c r="D6" s="29" t="s">
        <v>195</v>
      </c>
      <c r="E6" s="29">
        <f>COUNTIF(D10:D21,"Pendiente")</f>
        <v>0</v>
      </c>
    </row>
    <row r="7" spans="1:6" x14ac:dyDescent="0.25">
      <c r="A7" s="29" t="s">
        <v>161</v>
      </c>
      <c r="B7" s="52">
        <f>SUM(F10:F21)</f>
        <v>169525</v>
      </c>
      <c r="D7" s="29" t="s">
        <v>177</v>
      </c>
      <c r="E7" s="29">
        <f>COUNTIF(F10:F21,0)</f>
        <v>1</v>
      </c>
    </row>
    <row r="9" spans="1:6" s="2" customFormat="1" x14ac:dyDescent="0.25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54" t="s">
        <v>5</v>
      </c>
    </row>
    <row r="10" spans="1:6" x14ac:dyDescent="0.25">
      <c r="A10" t="s">
        <v>6</v>
      </c>
      <c r="B10" t="s">
        <v>7</v>
      </c>
      <c r="C10" t="s">
        <v>8</v>
      </c>
      <c r="D10" t="s">
        <v>193</v>
      </c>
      <c r="E10">
        <v>26</v>
      </c>
      <c r="F10" s="1">
        <v>18812</v>
      </c>
    </row>
    <row r="11" spans="1:6" x14ac:dyDescent="0.25">
      <c r="A11" t="s">
        <v>9</v>
      </c>
      <c r="B11" t="s">
        <v>7</v>
      </c>
      <c r="C11" t="s">
        <v>10</v>
      </c>
      <c r="D11" t="s">
        <v>192</v>
      </c>
      <c r="E11" t="s">
        <v>11</v>
      </c>
      <c r="F11" s="1">
        <v>10000</v>
      </c>
    </row>
    <row r="12" spans="1:6" x14ac:dyDescent="0.25">
      <c r="A12" t="s">
        <v>12</v>
      </c>
      <c r="B12" t="s">
        <v>7</v>
      </c>
      <c r="C12" t="s">
        <v>13</v>
      </c>
      <c r="D12" t="s">
        <v>193</v>
      </c>
      <c r="E12">
        <v>26</v>
      </c>
      <c r="F12" s="1">
        <v>39850</v>
      </c>
    </row>
    <row r="13" spans="1:6" x14ac:dyDescent="0.25">
      <c r="A13" t="s">
        <v>14</v>
      </c>
      <c r="B13" t="s">
        <v>15</v>
      </c>
      <c r="C13" t="s">
        <v>13</v>
      </c>
      <c r="D13" t="s">
        <v>16</v>
      </c>
      <c r="E13" t="s">
        <v>11</v>
      </c>
      <c r="F13" s="1">
        <v>9500</v>
      </c>
    </row>
    <row r="14" spans="1:6" x14ac:dyDescent="0.25">
      <c r="A14" t="s">
        <v>14</v>
      </c>
      <c r="B14" t="s">
        <v>15</v>
      </c>
      <c r="C14" t="s">
        <v>13</v>
      </c>
      <c r="D14" t="s">
        <v>16</v>
      </c>
      <c r="E14" t="s">
        <v>11</v>
      </c>
      <c r="F14" s="1">
        <v>500</v>
      </c>
    </row>
    <row r="15" spans="1:6" x14ac:dyDescent="0.25">
      <c r="A15" t="s">
        <v>17</v>
      </c>
      <c r="B15" t="s">
        <v>18</v>
      </c>
      <c r="C15" t="s">
        <v>13</v>
      </c>
      <c r="D15" t="s">
        <v>16</v>
      </c>
      <c r="E15" t="s">
        <v>11</v>
      </c>
      <c r="F15" s="1">
        <v>1600</v>
      </c>
    </row>
    <row r="16" spans="1:6" x14ac:dyDescent="0.25">
      <c r="A16" t="s">
        <v>19</v>
      </c>
      <c r="B16" t="s">
        <v>18</v>
      </c>
      <c r="C16" t="s">
        <v>13</v>
      </c>
      <c r="D16" t="s">
        <v>193</v>
      </c>
      <c r="E16">
        <v>30</v>
      </c>
      <c r="F16" s="1">
        <v>1000</v>
      </c>
    </row>
    <row r="17" spans="1:6" x14ac:dyDescent="0.25">
      <c r="A17" t="s">
        <v>20</v>
      </c>
      <c r="B17" t="s">
        <v>7</v>
      </c>
      <c r="C17" t="s">
        <v>13</v>
      </c>
      <c r="D17" t="s">
        <v>193</v>
      </c>
      <c r="E17">
        <v>14</v>
      </c>
      <c r="F17" s="1">
        <v>10000</v>
      </c>
    </row>
    <row r="18" spans="1:6" x14ac:dyDescent="0.25">
      <c r="A18" t="s">
        <v>21</v>
      </c>
      <c r="B18" t="s">
        <v>7</v>
      </c>
      <c r="C18" t="s">
        <v>8</v>
      </c>
      <c r="D18" t="s">
        <v>193</v>
      </c>
      <c r="E18">
        <v>30</v>
      </c>
      <c r="F18" s="1">
        <v>0</v>
      </c>
    </row>
    <row r="19" spans="1:6" x14ac:dyDescent="0.25">
      <c r="A19" t="s">
        <v>22</v>
      </c>
      <c r="B19" t="s">
        <v>18</v>
      </c>
      <c r="C19" t="s">
        <v>8</v>
      </c>
      <c r="D19" t="s">
        <v>193</v>
      </c>
      <c r="E19">
        <v>28</v>
      </c>
      <c r="F19" s="1">
        <v>1000</v>
      </c>
    </row>
    <row r="20" spans="1:6" x14ac:dyDescent="0.25">
      <c r="A20" t="s">
        <v>23</v>
      </c>
      <c r="B20" t="s">
        <v>18</v>
      </c>
      <c r="C20" t="s">
        <v>13</v>
      </c>
      <c r="D20" t="s">
        <v>193</v>
      </c>
      <c r="E20">
        <v>30</v>
      </c>
      <c r="F20" s="1">
        <v>283</v>
      </c>
    </row>
    <row r="21" spans="1:6" x14ac:dyDescent="0.25">
      <c r="A21" t="s">
        <v>24</v>
      </c>
      <c r="B21" t="s">
        <v>7</v>
      </c>
      <c r="C21" t="s">
        <v>8</v>
      </c>
      <c r="D21" t="s">
        <v>193</v>
      </c>
      <c r="E21">
        <v>30</v>
      </c>
      <c r="F21" s="1">
        <v>76980</v>
      </c>
    </row>
  </sheetData>
  <autoFilter ref="A9:F21" xr:uid="{00000000-0009-0000-0000-000000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F15" sqref="F15"/>
    </sheetView>
  </sheetViews>
  <sheetFormatPr baseColWidth="10" defaultColWidth="8.7109375" defaultRowHeight="15" x14ac:dyDescent="0.2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35">
      <c r="A1" s="61" t="s">
        <v>178</v>
      </c>
      <c r="B1" s="62"/>
      <c r="C1" s="62"/>
      <c r="D1" s="62"/>
      <c r="E1" s="62"/>
      <c r="F1" s="62"/>
    </row>
    <row r="3" spans="1:6" x14ac:dyDescent="0.25">
      <c r="A3" s="51" t="s">
        <v>169</v>
      </c>
      <c r="B3" s="51" t="s">
        <v>170</v>
      </c>
      <c r="D3" s="51" t="s">
        <v>174</v>
      </c>
      <c r="E3" s="51" t="s">
        <v>175</v>
      </c>
    </row>
    <row r="4" spans="1:6" x14ac:dyDescent="0.25">
      <c r="A4" s="29" t="s">
        <v>171</v>
      </c>
      <c r="B4" s="29">
        <f>COUNTA(A10:A10)</f>
        <v>1</v>
      </c>
      <c r="D4" s="29" t="s">
        <v>176</v>
      </c>
      <c r="E4" s="29">
        <f>COUNTIF(D10:D10,"Contratado")</f>
        <v>0</v>
      </c>
    </row>
    <row r="5" spans="1:6" x14ac:dyDescent="0.25">
      <c r="A5" s="29" t="s">
        <v>172</v>
      </c>
      <c r="B5" s="29">
        <f>COUNTIF(B10:B10,"PAC")</f>
        <v>1</v>
      </c>
      <c r="D5" s="29" t="s">
        <v>194</v>
      </c>
      <c r="E5" s="29">
        <v>1</v>
      </c>
    </row>
    <row r="6" spans="1:6" x14ac:dyDescent="0.25">
      <c r="A6" s="29" t="s">
        <v>173</v>
      </c>
      <c r="B6" s="29">
        <f>COUNTIF(B10:B10,"*No PAC*")+COUNTIF(B10:B10,"NO PAC")</f>
        <v>0</v>
      </c>
      <c r="D6" s="29" t="s">
        <v>195</v>
      </c>
      <c r="E6" s="29">
        <f>COUNTIF(D10:D10,"Pendiente")</f>
        <v>0</v>
      </c>
    </row>
    <row r="7" spans="1:6" x14ac:dyDescent="0.25">
      <c r="A7" s="29" t="s">
        <v>161</v>
      </c>
      <c r="B7" s="52">
        <f>SUM(F10:F10)</f>
        <v>676</v>
      </c>
      <c r="D7" s="29" t="s">
        <v>177</v>
      </c>
      <c r="E7" s="29">
        <f>COUNTIF(F10:F10,0)</f>
        <v>0</v>
      </c>
    </row>
    <row r="9" spans="1:6" s="2" customFormat="1" x14ac:dyDescent="0.25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54" t="s">
        <v>5</v>
      </c>
    </row>
    <row r="10" spans="1:6" x14ac:dyDescent="0.25">
      <c r="A10" t="s">
        <v>25</v>
      </c>
      <c r="B10" t="s">
        <v>7</v>
      </c>
      <c r="C10" t="s">
        <v>10</v>
      </c>
      <c r="D10" t="s">
        <v>192</v>
      </c>
      <c r="E10" t="s">
        <v>11</v>
      </c>
      <c r="F10" s="1">
        <v>676</v>
      </c>
    </row>
  </sheetData>
  <autoFilter ref="A9:F10" xr:uid="{00000000-0009-0000-0000-000001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D12" sqref="D12"/>
    </sheetView>
  </sheetViews>
  <sheetFormatPr baseColWidth="10" defaultColWidth="8.7109375" defaultRowHeight="15" x14ac:dyDescent="0.2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35">
      <c r="A1" s="61" t="s">
        <v>179</v>
      </c>
      <c r="B1" s="62"/>
      <c r="C1" s="62"/>
      <c r="D1" s="62"/>
      <c r="E1" s="62"/>
      <c r="F1" s="62"/>
    </row>
    <row r="3" spans="1:6" x14ac:dyDescent="0.25">
      <c r="A3" s="51" t="s">
        <v>169</v>
      </c>
      <c r="B3" s="51" t="s">
        <v>170</v>
      </c>
      <c r="D3" s="51" t="s">
        <v>174</v>
      </c>
      <c r="E3" s="51" t="s">
        <v>175</v>
      </c>
    </row>
    <row r="4" spans="1:6" x14ac:dyDescent="0.25">
      <c r="A4" s="29" t="s">
        <v>171</v>
      </c>
      <c r="B4" s="29">
        <f>COUNTA(A10:A11)</f>
        <v>2</v>
      </c>
      <c r="D4" s="29" t="s">
        <v>176</v>
      </c>
      <c r="E4" s="29">
        <f>COUNTIF(D10:D11,"Contratado")</f>
        <v>0</v>
      </c>
    </row>
    <row r="5" spans="1:6" x14ac:dyDescent="0.25">
      <c r="A5" s="29" t="s">
        <v>172</v>
      </c>
      <c r="B5" s="29">
        <f>COUNTIF(B10:B11,"PAC")</f>
        <v>1</v>
      </c>
      <c r="D5" s="29" t="s">
        <v>194</v>
      </c>
      <c r="E5" s="29">
        <f>COUNTIF(D10:D11,"En progreso")</f>
        <v>0</v>
      </c>
    </row>
    <row r="6" spans="1:6" x14ac:dyDescent="0.25">
      <c r="A6" s="29" t="s">
        <v>173</v>
      </c>
      <c r="B6" s="29">
        <f>COUNTIF(B10:B11,"*No PAC*")+COUNTIF(B10:B11,"NO PAC")</f>
        <v>2</v>
      </c>
      <c r="D6" s="29" t="s">
        <v>195</v>
      </c>
      <c r="E6" s="29">
        <f>COUNTIF(D10:D11,"Pendiente")</f>
        <v>0</v>
      </c>
    </row>
    <row r="7" spans="1:6" x14ac:dyDescent="0.25">
      <c r="A7" s="29" t="s">
        <v>161</v>
      </c>
      <c r="B7" s="52">
        <f>SUM(F10:F11)</f>
        <v>6600</v>
      </c>
      <c r="D7" s="29" t="s">
        <v>177</v>
      </c>
      <c r="E7" s="29">
        <f>COUNTIF(F10:F11,0)</f>
        <v>1</v>
      </c>
    </row>
    <row r="9" spans="1:6" s="2" customFormat="1" x14ac:dyDescent="0.25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54" t="s">
        <v>5</v>
      </c>
    </row>
    <row r="10" spans="1:6" x14ac:dyDescent="0.25">
      <c r="A10" t="s">
        <v>26</v>
      </c>
      <c r="B10" t="s">
        <v>18</v>
      </c>
      <c r="C10" t="s">
        <v>8</v>
      </c>
      <c r="D10" t="s">
        <v>193</v>
      </c>
      <c r="E10">
        <v>27</v>
      </c>
      <c r="F10" s="1">
        <v>6600</v>
      </c>
    </row>
    <row r="11" spans="1:6" x14ac:dyDescent="0.25">
      <c r="A11" t="s">
        <v>27</v>
      </c>
      <c r="B11" t="s">
        <v>7</v>
      </c>
      <c r="C11" t="s">
        <v>13</v>
      </c>
      <c r="D11" t="s">
        <v>193</v>
      </c>
      <c r="E11">
        <v>58</v>
      </c>
      <c r="F11" s="1">
        <v>0</v>
      </c>
    </row>
  </sheetData>
  <autoFilter ref="A9:F11" xr:uid="{00000000-0009-0000-0000-000002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topLeftCell="A2" workbookViewId="0">
      <selection sqref="A1:F1"/>
    </sheetView>
  </sheetViews>
  <sheetFormatPr baseColWidth="10" defaultColWidth="8.7109375" defaultRowHeight="15" x14ac:dyDescent="0.2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35">
      <c r="A1" s="61" t="s">
        <v>180</v>
      </c>
      <c r="B1" s="62"/>
      <c r="C1" s="62"/>
      <c r="D1" s="62"/>
      <c r="E1" s="62"/>
      <c r="F1" s="62"/>
    </row>
    <row r="3" spans="1:6" x14ac:dyDescent="0.25">
      <c r="A3" s="51" t="s">
        <v>169</v>
      </c>
      <c r="B3" s="51" t="s">
        <v>170</v>
      </c>
      <c r="D3" s="51" t="s">
        <v>174</v>
      </c>
      <c r="E3" s="51" t="s">
        <v>175</v>
      </c>
    </row>
    <row r="4" spans="1:6" x14ac:dyDescent="0.25">
      <c r="A4" s="29" t="s">
        <v>171</v>
      </c>
      <c r="B4" s="29">
        <f>COUNTA(A10:A10)</f>
        <v>1</v>
      </c>
      <c r="D4" s="29" t="s">
        <v>176</v>
      </c>
      <c r="E4" s="29">
        <f>COUNTIF(D10:D10,"Contratado")</f>
        <v>0</v>
      </c>
    </row>
    <row r="5" spans="1:6" x14ac:dyDescent="0.25">
      <c r="A5" s="29" t="s">
        <v>172</v>
      </c>
      <c r="B5" s="29">
        <f>COUNTIF(B10:B10,"PAC")</f>
        <v>0</v>
      </c>
      <c r="D5" s="29" t="s">
        <v>194</v>
      </c>
      <c r="E5" s="29">
        <f>COUNTIF(D10:D10,"En progreso")</f>
        <v>0</v>
      </c>
    </row>
    <row r="6" spans="1:6" x14ac:dyDescent="0.25">
      <c r="A6" s="29" t="s">
        <v>173</v>
      </c>
      <c r="B6" s="29">
        <f>COUNTIF(B10:B10,"*No PAC*")+COUNTIF(B10:B10,"NO PAC")</f>
        <v>2</v>
      </c>
      <c r="D6" s="29" t="s">
        <v>195</v>
      </c>
      <c r="E6" s="29">
        <f>COUNTIF(D10:D10,"Pendiente")</f>
        <v>0</v>
      </c>
    </row>
    <row r="7" spans="1:6" x14ac:dyDescent="0.25">
      <c r="A7" s="29" t="s">
        <v>161</v>
      </c>
      <c r="B7" s="52">
        <f>SUM(F10:F10)</f>
        <v>6600</v>
      </c>
      <c r="D7" s="29" t="s">
        <v>177</v>
      </c>
      <c r="E7" s="29">
        <f>COUNTIF(F10:F10,0)</f>
        <v>0</v>
      </c>
    </row>
    <row r="9" spans="1:6" s="2" customFormat="1" x14ac:dyDescent="0.25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54" t="s">
        <v>5</v>
      </c>
    </row>
    <row r="10" spans="1:6" x14ac:dyDescent="0.25">
      <c r="A10" t="s">
        <v>28</v>
      </c>
      <c r="B10" t="s">
        <v>18</v>
      </c>
      <c r="C10" t="s">
        <v>13</v>
      </c>
      <c r="D10" t="s">
        <v>193</v>
      </c>
      <c r="E10">
        <v>22</v>
      </c>
      <c r="F10" s="1">
        <v>6600</v>
      </c>
    </row>
  </sheetData>
  <autoFilter ref="A9:F10" xr:uid="{00000000-0009-0000-0000-000003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sqref="A1:F1"/>
    </sheetView>
  </sheetViews>
  <sheetFormatPr baseColWidth="10" defaultColWidth="8.7109375" defaultRowHeight="15" x14ac:dyDescent="0.2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35">
      <c r="A1" s="61" t="s">
        <v>181</v>
      </c>
      <c r="B1" s="62"/>
      <c r="C1" s="62"/>
      <c r="D1" s="62"/>
      <c r="E1" s="62"/>
      <c r="F1" s="62"/>
    </row>
    <row r="3" spans="1:6" x14ac:dyDescent="0.25">
      <c r="A3" s="51" t="s">
        <v>169</v>
      </c>
      <c r="B3" s="51" t="s">
        <v>170</v>
      </c>
      <c r="D3" s="51" t="s">
        <v>174</v>
      </c>
      <c r="E3" s="51" t="s">
        <v>175</v>
      </c>
    </row>
    <row r="4" spans="1:6" x14ac:dyDescent="0.25">
      <c r="A4" s="29" t="s">
        <v>171</v>
      </c>
      <c r="B4" s="29">
        <f>COUNTA(A10:A12)</f>
        <v>3</v>
      </c>
      <c r="D4" s="29" t="s">
        <v>176</v>
      </c>
      <c r="E4" s="29">
        <f>COUNTIF(D10:D12,"Contratado")</f>
        <v>1</v>
      </c>
    </row>
    <row r="5" spans="1:6" x14ac:dyDescent="0.25">
      <c r="A5" s="29" t="s">
        <v>172</v>
      </c>
      <c r="B5" s="29">
        <f>COUNTIF(B10:B12,"PAC")</f>
        <v>1</v>
      </c>
      <c r="D5" s="29" t="s">
        <v>194</v>
      </c>
      <c r="E5" s="29">
        <f>COUNTIF(D10:D12,"En progreso")</f>
        <v>0</v>
      </c>
    </row>
    <row r="6" spans="1:6" x14ac:dyDescent="0.25">
      <c r="A6" s="29" t="s">
        <v>173</v>
      </c>
      <c r="B6" s="29">
        <f>COUNTIF(B10:B12,"*No PAC*")+COUNTIF(B10:B12,"NO PAC")</f>
        <v>4</v>
      </c>
      <c r="D6" s="29" t="s">
        <v>195</v>
      </c>
      <c r="E6" s="29">
        <f>COUNTIF(D10:D12,"Pendiente")</f>
        <v>0</v>
      </c>
    </row>
    <row r="7" spans="1:6" x14ac:dyDescent="0.25">
      <c r="A7" s="29" t="s">
        <v>161</v>
      </c>
      <c r="B7" s="52">
        <f>SUM(F10:F12)</f>
        <v>201500</v>
      </c>
      <c r="D7" s="29" t="s">
        <v>177</v>
      </c>
      <c r="E7" s="29">
        <f>COUNTIF(F10:F12,0)</f>
        <v>0</v>
      </c>
    </row>
    <row r="9" spans="1:6" s="2" customFormat="1" x14ac:dyDescent="0.25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54" t="s">
        <v>5</v>
      </c>
    </row>
    <row r="10" spans="1:6" x14ac:dyDescent="0.25">
      <c r="A10" t="s">
        <v>29</v>
      </c>
      <c r="B10" t="s">
        <v>18</v>
      </c>
      <c r="C10" t="s">
        <v>8</v>
      </c>
      <c r="D10" t="s">
        <v>193</v>
      </c>
      <c r="E10">
        <v>49</v>
      </c>
      <c r="F10" s="1">
        <v>3000</v>
      </c>
    </row>
    <row r="11" spans="1:6" x14ac:dyDescent="0.25">
      <c r="A11" t="s">
        <v>30</v>
      </c>
      <c r="B11" t="s">
        <v>7</v>
      </c>
      <c r="C11" t="s">
        <v>13</v>
      </c>
      <c r="D11" t="s">
        <v>193</v>
      </c>
      <c r="E11">
        <v>8</v>
      </c>
      <c r="F11" s="1">
        <v>195000</v>
      </c>
    </row>
    <row r="12" spans="1:6" x14ac:dyDescent="0.25">
      <c r="A12" t="s">
        <v>31</v>
      </c>
      <c r="B12" t="s">
        <v>18</v>
      </c>
      <c r="C12" t="s">
        <v>8</v>
      </c>
      <c r="D12" t="s">
        <v>16</v>
      </c>
      <c r="E12" t="s">
        <v>11</v>
      </c>
      <c r="F12" s="1">
        <v>3500</v>
      </c>
    </row>
  </sheetData>
  <autoFilter ref="A9:F12" xr:uid="{00000000-0009-0000-0000-000004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sqref="A1:F1"/>
    </sheetView>
  </sheetViews>
  <sheetFormatPr baseColWidth="10" defaultColWidth="8.7109375" defaultRowHeight="15" x14ac:dyDescent="0.2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35">
      <c r="A1" s="61" t="s">
        <v>182</v>
      </c>
      <c r="B1" s="62"/>
      <c r="C1" s="62"/>
      <c r="D1" s="62"/>
      <c r="E1" s="62"/>
      <c r="F1" s="62"/>
    </row>
    <row r="3" spans="1:6" x14ac:dyDescent="0.25">
      <c r="A3" s="51" t="s">
        <v>169</v>
      </c>
      <c r="B3" s="51" t="s">
        <v>170</v>
      </c>
      <c r="D3" s="51" t="s">
        <v>174</v>
      </c>
      <c r="E3" s="51" t="s">
        <v>175</v>
      </c>
    </row>
    <row r="4" spans="1:6" x14ac:dyDescent="0.25">
      <c r="A4" s="29" t="s">
        <v>171</v>
      </c>
      <c r="B4" s="29">
        <f>COUNTA(A10:A11)</f>
        <v>2</v>
      </c>
      <c r="D4" s="29" t="s">
        <v>176</v>
      </c>
      <c r="E4" s="29">
        <f>COUNTIF(D10:D11,"Contratado")</f>
        <v>1</v>
      </c>
    </row>
    <row r="5" spans="1:6" x14ac:dyDescent="0.25">
      <c r="A5" s="29" t="s">
        <v>172</v>
      </c>
      <c r="B5" s="29">
        <f>COUNTIF(B10:B11,"PAC")</f>
        <v>2</v>
      </c>
      <c r="D5" s="29" t="s">
        <v>194</v>
      </c>
      <c r="E5" s="29">
        <f>COUNTIF(D10:D11,"En progreso")</f>
        <v>0</v>
      </c>
    </row>
    <row r="6" spans="1:6" x14ac:dyDescent="0.25">
      <c r="A6" s="29" t="s">
        <v>173</v>
      </c>
      <c r="B6" s="29">
        <f>COUNTIF(B10:B11,"*No PAC*")+COUNTIF(B10:B11,"NO PAC")</f>
        <v>0</v>
      </c>
      <c r="D6" s="29" t="s">
        <v>195</v>
      </c>
      <c r="E6" s="29">
        <f>COUNTIF(D10:D11,"Pendiente")</f>
        <v>0</v>
      </c>
    </row>
    <row r="7" spans="1:6" x14ac:dyDescent="0.25">
      <c r="A7" s="29" t="s">
        <v>161</v>
      </c>
      <c r="B7" s="52">
        <f>SUM(F10:F11)</f>
        <v>331612.45999999996</v>
      </c>
      <c r="D7" s="29" t="s">
        <v>177</v>
      </c>
      <c r="E7" s="29">
        <f>COUNTIF(F10:F11,0)</f>
        <v>0</v>
      </c>
    </row>
    <row r="9" spans="1:6" s="2" customFormat="1" x14ac:dyDescent="0.25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54" t="s">
        <v>5</v>
      </c>
    </row>
    <row r="10" spans="1:6" x14ac:dyDescent="0.25">
      <c r="A10" t="s">
        <v>32</v>
      </c>
      <c r="B10" t="s">
        <v>7</v>
      </c>
      <c r="C10" t="s">
        <v>11</v>
      </c>
      <c r="D10" t="s">
        <v>193</v>
      </c>
      <c r="E10">
        <v>1</v>
      </c>
      <c r="F10" s="1">
        <v>184612.46</v>
      </c>
    </row>
    <row r="11" spans="1:6" x14ac:dyDescent="0.25">
      <c r="A11" t="s">
        <v>33</v>
      </c>
      <c r="B11" t="s">
        <v>7</v>
      </c>
      <c r="C11" t="s">
        <v>13</v>
      </c>
      <c r="D11" t="s">
        <v>16</v>
      </c>
      <c r="E11" t="s">
        <v>11</v>
      </c>
      <c r="F11" s="1">
        <v>147000</v>
      </c>
    </row>
  </sheetData>
  <autoFilter ref="A9:F11" xr:uid="{00000000-0009-0000-0000-000005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selection activeCell="A11" sqref="A11"/>
    </sheetView>
  </sheetViews>
  <sheetFormatPr baseColWidth="10" defaultColWidth="8.7109375" defaultRowHeight="15" x14ac:dyDescent="0.2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35">
      <c r="A1" s="61" t="s">
        <v>183</v>
      </c>
      <c r="B1" s="62"/>
      <c r="C1" s="62"/>
      <c r="D1" s="62"/>
      <c r="E1" s="62"/>
      <c r="F1" s="62"/>
    </row>
    <row r="3" spans="1:6" x14ac:dyDescent="0.25">
      <c r="A3" s="51" t="s">
        <v>169</v>
      </c>
      <c r="B3" s="51" t="s">
        <v>170</v>
      </c>
      <c r="D3" s="51" t="s">
        <v>174</v>
      </c>
      <c r="E3" s="51" t="s">
        <v>175</v>
      </c>
    </row>
    <row r="4" spans="1:6" x14ac:dyDescent="0.25">
      <c r="A4" s="29" t="s">
        <v>171</v>
      </c>
      <c r="B4" s="29">
        <f>COUNTA(A10:A12)</f>
        <v>3</v>
      </c>
      <c r="D4" s="29" t="s">
        <v>176</v>
      </c>
      <c r="E4" s="29">
        <f>COUNTIF(D10:D12,"Contratado")</f>
        <v>1</v>
      </c>
    </row>
    <row r="5" spans="1:6" x14ac:dyDescent="0.25">
      <c r="A5" s="29" t="s">
        <v>172</v>
      </c>
      <c r="B5" s="29">
        <f>COUNTIF(B10:B12,"PAC")</f>
        <v>2</v>
      </c>
      <c r="D5" s="29" t="s">
        <v>194</v>
      </c>
      <c r="E5" s="29">
        <f>COUNTIF(D10:D12,"En progreso")</f>
        <v>0</v>
      </c>
    </row>
    <row r="6" spans="1:6" x14ac:dyDescent="0.25">
      <c r="A6" s="29" t="s">
        <v>173</v>
      </c>
      <c r="B6" s="29">
        <f>COUNTIF(B10:B12,"*No PAC*")+COUNTIF(B10:B12,"NO PAC")</f>
        <v>2</v>
      </c>
      <c r="D6" s="29" t="s">
        <v>195</v>
      </c>
      <c r="E6" s="29">
        <f>COUNTIF(D10:D12,"Pendiente")</f>
        <v>0</v>
      </c>
    </row>
    <row r="7" spans="1:6" x14ac:dyDescent="0.25">
      <c r="A7" s="29" t="s">
        <v>161</v>
      </c>
      <c r="B7" s="52">
        <f>SUM(F10:F12)</f>
        <v>1974791.99</v>
      </c>
      <c r="D7" s="29" t="s">
        <v>177</v>
      </c>
      <c r="E7" s="29">
        <f>COUNTIF(F10:F12,0)</f>
        <v>0</v>
      </c>
    </row>
    <row r="9" spans="1:6" s="2" customFormat="1" x14ac:dyDescent="0.25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54" t="s">
        <v>5</v>
      </c>
    </row>
    <row r="10" spans="1:6" x14ac:dyDescent="0.25">
      <c r="A10" t="s">
        <v>34</v>
      </c>
      <c r="B10" t="s">
        <v>7</v>
      </c>
      <c r="C10" t="s">
        <v>13</v>
      </c>
      <c r="D10" t="s">
        <v>193</v>
      </c>
      <c r="E10">
        <v>16</v>
      </c>
      <c r="F10" s="1">
        <v>1357791.99</v>
      </c>
    </row>
    <row r="11" spans="1:6" x14ac:dyDescent="0.25">
      <c r="A11" t="s">
        <v>35</v>
      </c>
      <c r="B11" t="s">
        <v>7</v>
      </c>
      <c r="C11" t="s">
        <v>13</v>
      </c>
      <c r="D11" t="s">
        <v>193</v>
      </c>
      <c r="E11">
        <v>6</v>
      </c>
      <c r="F11" s="1">
        <v>88500</v>
      </c>
    </row>
    <row r="12" spans="1:6" x14ac:dyDescent="0.25">
      <c r="A12" t="s">
        <v>36</v>
      </c>
      <c r="B12" t="s">
        <v>18</v>
      </c>
      <c r="C12" t="s">
        <v>13</v>
      </c>
      <c r="D12" t="s">
        <v>16</v>
      </c>
      <c r="E12" t="s">
        <v>11</v>
      </c>
      <c r="F12" s="1">
        <v>528500</v>
      </c>
    </row>
  </sheetData>
  <autoFilter ref="A9:F12" xr:uid="{00000000-0009-0000-0000-000006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selection sqref="A1:F1"/>
    </sheetView>
  </sheetViews>
  <sheetFormatPr baseColWidth="10" defaultColWidth="8.7109375" defaultRowHeight="15" x14ac:dyDescent="0.2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35">
      <c r="A1" s="61" t="s">
        <v>184</v>
      </c>
      <c r="B1" s="62"/>
      <c r="C1" s="62"/>
      <c r="D1" s="62"/>
      <c r="E1" s="62"/>
      <c r="F1" s="62"/>
    </row>
    <row r="3" spans="1:6" x14ac:dyDescent="0.25">
      <c r="A3" s="51" t="s">
        <v>169</v>
      </c>
      <c r="B3" s="51" t="s">
        <v>170</v>
      </c>
      <c r="D3" s="51" t="s">
        <v>174</v>
      </c>
      <c r="E3" s="51" t="s">
        <v>175</v>
      </c>
    </row>
    <row r="4" spans="1:6" x14ac:dyDescent="0.25">
      <c r="A4" s="29" t="s">
        <v>171</v>
      </c>
      <c r="B4" s="29">
        <f>COUNTA(A10:A15)</f>
        <v>6</v>
      </c>
      <c r="D4" s="29" t="s">
        <v>176</v>
      </c>
      <c r="E4" s="29">
        <f>COUNTIF(D10:D15,"Contratado")</f>
        <v>0</v>
      </c>
    </row>
    <row r="5" spans="1:6" x14ac:dyDescent="0.25">
      <c r="A5" s="29" t="s">
        <v>172</v>
      </c>
      <c r="B5" s="29">
        <f>COUNTIF(B10:B15,"PAC")</f>
        <v>4</v>
      </c>
      <c r="D5" s="29" t="s">
        <v>194</v>
      </c>
      <c r="E5" s="29">
        <f>COUNTIF(D10:D15,"En progreso")</f>
        <v>0</v>
      </c>
    </row>
    <row r="6" spans="1:6" x14ac:dyDescent="0.25">
      <c r="A6" s="29" t="s">
        <v>173</v>
      </c>
      <c r="B6" s="29">
        <f>COUNTIF(B10:B15,"*No PAC*")+COUNTIF(B10:B15,"NO PAC")</f>
        <v>4</v>
      </c>
      <c r="D6" s="29" t="s">
        <v>195</v>
      </c>
      <c r="E6" s="29">
        <f>COUNTIF(D10:D15,"Pendiente")</f>
        <v>0</v>
      </c>
    </row>
    <row r="7" spans="1:6" x14ac:dyDescent="0.25">
      <c r="A7" s="29" t="s">
        <v>161</v>
      </c>
      <c r="B7" s="52">
        <f>SUM(F10:F15)</f>
        <v>185195.75</v>
      </c>
      <c r="D7" s="29" t="s">
        <v>177</v>
      </c>
      <c r="E7" s="29">
        <f>COUNTIF(F10:F15,0)</f>
        <v>2</v>
      </c>
    </row>
    <row r="9" spans="1:6" s="2" customFormat="1" x14ac:dyDescent="0.25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54" t="s">
        <v>5</v>
      </c>
    </row>
    <row r="10" spans="1:6" x14ac:dyDescent="0.25">
      <c r="A10" t="s">
        <v>37</v>
      </c>
      <c r="B10" t="s">
        <v>7</v>
      </c>
      <c r="C10" t="s">
        <v>13</v>
      </c>
      <c r="D10" t="s">
        <v>193</v>
      </c>
      <c r="E10">
        <v>22</v>
      </c>
      <c r="F10" s="1">
        <v>85000</v>
      </c>
    </row>
    <row r="11" spans="1:6" x14ac:dyDescent="0.25">
      <c r="A11" t="s">
        <v>38</v>
      </c>
      <c r="B11" t="s">
        <v>7</v>
      </c>
      <c r="C11" t="s">
        <v>8</v>
      </c>
      <c r="D11" t="s">
        <v>193</v>
      </c>
      <c r="E11">
        <v>20</v>
      </c>
      <c r="F11" s="1">
        <v>87195.75</v>
      </c>
    </row>
    <row r="12" spans="1:6" x14ac:dyDescent="0.25">
      <c r="A12" t="s">
        <v>39</v>
      </c>
      <c r="B12" t="s">
        <v>18</v>
      </c>
      <c r="C12" t="s">
        <v>8</v>
      </c>
      <c r="D12" t="s">
        <v>192</v>
      </c>
      <c r="E12" t="s">
        <v>11</v>
      </c>
      <c r="F12" s="1">
        <v>9000</v>
      </c>
    </row>
    <row r="13" spans="1:6" x14ac:dyDescent="0.25">
      <c r="A13" t="s">
        <v>40</v>
      </c>
      <c r="B13" t="s">
        <v>18</v>
      </c>
      <c r="C13" t="s">
        <v>8</v>
      </c>
      <c r="D13" t="s">
        <v>192</v>
      </c>
      <c r="E13" t="s">
        <v>11</v>
      </c>
      <c r="F13" s="1">
        <v>4000</v>
      </c>
    </row>
    <row r="14" spans="1:6" x14ac:dyDescent="0.25">
      <c r="A14" t="s">
        <v>41</v>
      </c>
      <c r="B14" t="s">
        <v>7</v>
      </c>
      <c r="C14" t="s">
        <v>8</v>
      </c>
      <c r="D14" t="s">
        <v>193</v>
      </c>
      <c r="E14">
        <v>27</v>
      </c>
      <c r="F14" s="1">
        <v>0</v>
      </c>
    </row>
    <row r="15" spans="1:6" x14ac:dyDescent="0.25">
      <c r="A15" t="s">
        <v>42</v>
      </c>
      <c r="B15" t="s">
        <v>7</v>
      </c>
      <c r="C15" t="s">
        <v>8</v>
      </c>
      <c r="D15" t="s">
        <v>192</v>
      </c>
      <c r="E15" t="s">
        <v>11</v>
      </c>
      <c r="F15" s="1">
        <v>0</v>
      </c>
    </row>
  </sheetData>
  <autoFilter ref="A9:F15" xr:uid="{00000000-0009-0000-0000-000007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selection sqref="A1:F1"/>
    </sheetView>
  </sheetViews>
  <sheetFormatPr baseColWidth="10" defaultColWidth="8.7109375" defaultRowHeight="15" x14ac:dyDescent="0.2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35">
      <c r="A1" s="61" t="s">
        <v>185</v>
      </c>
      <c r="B1" s="62"/>
      <c r="C1" s="62"/>
      <c r="D1" s="62"/>
      <c r="E1" s="62"/>
      <c r="F1" s="62"/>
    </row>
    <row r="3" spans="1:6" x14ac:dyDescent="0.25">
      <c r="A3" s="51" t="s">
        <v>169</v>
      </c>
      <c r="B3" s="51" t="s">
        <v>170</v>
      </c>
      <c r="D3" s="51" t="s">
        <v>174</v>
      </c>
      <c r="E3" s="51" t="s">
        <v>175</v>
      </c>
    </row>
    <row r="4" spans="1:6" x14ac:dyDescent="0.25">
      <c r="A4" s="29" t="s">
        <v>171</v>
      </c>
      <c r="B4" s="29">
        <f>COUNTA(A10:A13)</f>
        <v>4</v>
      </c>
      <c r="D4" s="29" t="s">
        <v>176</v>
      </c>
      <c r="E4" s="29">
        <f>COUNTIF(D10:D13,"Contratado")</f>
        <v>2</v>
      </c>
    </row>
    <row r="5" spans="1:6" x14ac:dyDescent="0.25">
      <c r="A5" s="29" t="s">
        <v>172</v>
      </c>
      <c r="B5" s="29">
        <f>COUNTIF(B10:B13,"PAC")</f>
        <v>3</v>
      </c>
      <c r="D5" s="29" t="s">
        <v>194</v>
      </c>
      <c r="E5" s="29">
        <f>COUNTIF(D10:D13,"En progreso")</f>
        <v>0</v>
      </c>
    </row>
    <row r="6" spans="1:6" x14ac:dyDescent="0.25">
      <c r="A6" s="29" t="s">
        <v>173</v>
      </c>
      <c r="B6" s="29">
        <f>COUNTIF(B10:B13,"*No PAC*")+COUNTIF(B10:B13,"NO PAC")</f>
        <v>2</v>
      </c>
      <c r="D6" s="29" t="s">
        <v>195</v>
      </c>
      <c r="E6" s="29">
        <f>COUNTIF(D10:D13,"Pendiente")</f>
        <v>0</v>
      </c>
    </row>
    <row r="7" spans="1:6" x14ac:dyDescent="0.25">
      <c r="A7" s="29" t="s">
        <v>161</v>
      </c>
      <c r="B7" s="52">
        <f>SUM(F10:F13)</f>
        <v>781770</v>
      </c>
      <c r="D7" s="29" t="s">
        <v>177</v>
      </c>
      <c r="E7" s="29">
        <f>COUNTIF(F10:F13,0)</f>
        <v>0</v>
      </c>
    </row>
    <row r="9" spans="1:6" s="2" customFormat="1" x14ac:dyDescent="0.25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54" t="s">
        <v>5</v>
      </c>
    </row>
    <row r="10" spans="1:6" x14ac:dyDescent="0.25">
      <c r="A10" t="s">
        <v>43</v>
      </c>
      <c r="B10" t="s">
        <v>7</v>
      </c>
      <c r="C10" t="s">
        <v>13</v>
      </c>
      <c r="D10" t="s">
        <v>193</v>
      </c>
      <c r="E10">
        <v>61</v>
      </c>
      <c r="F10" s="1">
        <v>27795</v>
      </c>
    </row>
    <row r="11" spans="1:6" x14ac:dyDescent="0.25">
      <c r="A11" t="s">
        <v>44</v>
      </c>
      <c r="B11" t="s">
        <v>7</v>
      </c>
      <c r="C11" t="s">
        <v>13</v>
      </c>
      <c r="D11" t="s">
        <v>193</v>
      </c>
      <c r="E11">
        <v>36</v>
      </c>
      <c r="F11" s="1">
        <v>40000</v>
      </c>
    </row>
    <row r="12" spans="1:6" x14ac:dyDescent="0.25">
      <c r="A12" t="s">
        <v>45</v>
      </c>
      <c r="B12" t="s">
        <v>7</v>
      </c>
      <c r="C12" t="s">
        <v>13</v>
      </c>
      <c r="D12" t="s">
        <v>16</v>
      </c>
      <c r="E12" t="s">
        <v>11</v>
      </c>
      <c r="F12" s="1">
        <v>150000</v>
      </c>
    </row>
    <row r="13" spans="1:6" x14ac:dyDescent="0.25">
      <c r="A13" t="s">
        <v>46</v>
      </c>
      <c r="B13" t="s">
        <v>18</v>
      </c>
      <c r="C13" t="s">
        <v>13</v>
      </c>
      <c r="D13" t="s">
        <v>16</v>
      </c>
      <c r="E13" t="s">
        <v>11</v>
      </c>
      <c r="F13" s="1">
        <v>563975</v>
      </c>
    </row>
  </sheetData>
  <autoFilter ref="A9:F13" xr:uid="{00000000-0009-0000-0000-000008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>
      <selection sqref="A1:F1"/>
    </sheetView>
  </sheetViews>
  <sheetFormatPr baseColWidth="10" defaultColWidth="8.7109375" defaultRowHeight="15" x14ac:dyDescent="0.25"/>
  <cols>
    <col min="1" max="1" width="40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35">
      <c r="A1" s="61" t="s">
        <v>186</v>
      </c>
      <c r="B1" s="62"/>
      <c r="C1" s="62"/>
      <c r="D1" s="62"/>
      <c r="E1" s="62"/>
      <c r="F1" s="62"/>
    </row>
    <row r="3" spans="1:6" x14ac:dyDescent="0.25">
      <c r="A3" s="51" t="s">
        <v>169</v>
      </c>
      <c r="B3" s="51" t="s">
        <v>170</v>
      </c>
      <c r="D3" s="51" t="s">
        <v>174</v>
      </c>
      <c r="E3" s="51" t="s">
        <v>175</v>
      </c>
    </row>
    <row r="4" spans="1:6" x14ac:dyDescent="0.25">
      <c r="A4" s="29" t="s">
        <v>171</v>
      </c>
      <c r="B4" s="29">
        <f>COUNTA(A10:A10)</f>
        <v>1</v>
      </c>
      <c r="D4" s="29" t="s">
        <v>176</v>
      </c>
      <c r="E4" s="29">
        <f>COUNTIF(D10:D10,"Contratado")</f>
        <v>0</v>
      </c>
    </row>
    <row r="5" spans="1:6" x14ac:dyDescent="0.25">
      <c r="A5" s="29" t="s">
        <v>172</v>
      </c>
      <c r="B5" s="29">
        <f>COUNTIF(B10:B10,"PAC")</f>
        <v>1</v>
      </c>
      <c r="D5" s="29" t="s">
        <v>194</v>
      </c>
      <c r="E5" s="29">
        <f>COUNTIF(D10:D10,"En progreso")</f>
        <v>0</v>
      </c>
    </row>
    <row r="6" spans="1:6" x14ac:dyDescent="0.25">
      <c r="A6" s="29" t="s">
        <v>173</v>
      </c>
      <c r="B6" s="29">
        <f>COUNTIF(B10:B10,"*No PAC*")+COUNTIF(B10:B10,"NO PAC")</f>
        <v>0</v>
      </c>
      <c r="D6" s="29" t="s">
        <v>195</v>
      </c>
      <c r="E6" s="29">
        <f>COUNTIF(D10:D10,"Pendiente")</f>
        <v>0</v>
      </c>
    </row>
    <row r="7" spans="1:6" x14ac:dyDescent="0.25">
      <c r="A7" s="29" t="s">
        <v>161</v>
      </c>
      <c r="B7" s="52">
        <f>SUM(F10:F10)</f>
        <v>39246.51</v>
      </c>
      <c r="D7" s="29" t="s">
        <v>177</v>
      </c>
      <c r="E7" s="29">
        <f>COUNTIF(F10:F10,0)</f>
        <v>0</v>
      </c>
    </row>
    <row r="9" spans="1:6" s="2" customFormat="1" x14ac:dyDescent="0.25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54" t="s">
        <v>5</v>
      </c>
    </row>
    <row r="10" spans="1:6" x14ac:dyDescent="0.25">
      <c r="A10" t="s">
        <v>47</v>
      </c>
      <c r="B10" t="s">
        <v>7</v>
      </c>
      <c r="C10" t="s">
        <v>8</v>
      </c>
      <c r="D10" t="s">
        <v>192</v>
      </c>
      <c r="E10" t="s">
        <v>11</v>
      </c>
      <c r="F10" s="1">
        <v>39246.51</v>
      </c>
    </row>
  </sheetData>
  <autoFilter ref="A9:F10" xr:uid="{00000000-0009-0000-0000-000009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2"/>
  <sheetViews>
    <sheetView workbookViewId="0">
      <selection activeCell="E6" sqref="E6"/>
    </sheetView>
  </sheetViews>
  <sheetFormatPr baseColWidth="10" defaultColWidth="8.7109375" defaultRowHeight="15" x14ac:dyDescent="0.25"/>
  <cols>
    <col min="1" max="1" width="112.140625" customWidth="1"/>
    <col min="2" max="2" width="12" customWidth="1"/>
    <col min="3" max="4" width="15" customWidth="1"/>
    <col min="5" max="5" width="12" customWidth="1"/>
    <col min="6" max="6" width="15" style="1" customWidth="1"/>
  </cols>
  <sheetData>
    <row r="1" spans="1:6" ht="30" customHeight="1" x14ac:dyDescent="0.35">
      <c r="A1" s="61" t="s">
        <v>187</v>
      </c>
      <c r="B1" s="62"/>
      <c r="C1" s="62"/>
      <c r="D1" s="62"/>
      <c r="E1" s="62"/>
      <c r="F1" s="62"/>
    </row>
    <row r="3" spans="1:6" x14ac:dyDescent="0.25">
      <c r="A3" s="51" t="s">
        <v>169</v>
      </c>
      <c r="B3" s="51" t="s">
        <v>170</v>
      </c>
      <c r="D3" s="51" t="s">
        <v>174</v>
      </c>
      <c r="E3" s="51" t="s">
        <v>175</v>
      </c>
    </row>
    <row r="4" spans="1:6" x14ac:dyDescent="0.25">
      <c r="A4" s="29" t="s">
        <v>171</v>
      </c>
      <c r="B4" s="29">
        <f>COUNTA(A10:A32)</f>
        <v>23</v>
      </c>
      <c r="D4" s="29" t="s">
        <v>176</v>
      </c>
      <c r="E4" s="29">
        <f>COUNTIF(D10:D32,"Contratado")</f>
        <v>0</v>
      </c>
    </row>
    <row r="5" spans="1:6" x14ac:dyDescent="0.25">
      <c r="A5" s="29" t="s">
        <v>172</v>
      </c>
      <c r="B5" s="29">
        <f>COUNTIF(B10:B32,"PAC")</f>
        <v>7</v>
      </c>
      <c r="D5" s="29" t="s">
        <v>194</v>
      </c>
      <c r="E5" s="29">
        <f>COUNTIF(D10:D32,"En progreso")</f>
        <v>0</v>
      </c>
    </row>
    <row r="6" spans="1:6" x14ac:dyDescent="0.25">
      <c r="A6" s="29" t="s">
        <v>173</v>
      </c>
      <c r="B6" s="29">
        <f>COUNTIF(B10:B32,"*No PAC*")+COUNTIF(B10:B32,"NO PAC")</f>
        <v>32</v>
      </c>
      <c r="D6" s="29" t="s">
        <v>195</v>
      </c>
      <c r="E6" s="29">
        <f>COUNTIF(D10:D32,"Pendiente")</f>
        <v>0</v>
      </c>
    </row>
    <row r="7" spans="1:6" x14ac:dyDescent="0.25">
      <c r="A7" s="29" t="s">
        <v>161</v>
      </c>
      <c r="B7" s="52">
        <f>SUM(F10:F32)</f>
        <v>282559.93</v>
      </c>
      <c r="D7" s="29" t="s">
        <v>177</v>
      </c>
      <c r="E7" s="29">
        <f>COUNTIF(F10:F32,0)</f>
        <v>1</v>
      </c>
    </row>
    <row r="9" spans="1:6" s="2" customFormat="1" x14ac:dyDescent="0.25">
      <c r="A9" s="53" t="s">
        <v>0</v>
      </c>
      <c r="B9" s="53" t="s">
        <v>1</v>
      </c>
      <c r="C9" s="53" t="s">
        <v>2</v>
      </c>
      <c r="D9" s="53" t="s">
        <v>3</v>
      </c>
      <c r="E9" s="53" t="s">
        <v>4</v>
      </c>
      <c r="F9" s="54" t="s">
        <v>5</v>
      </c>
    </row>
    <row r="10" spans="1:6" x14ac:dyDescent="0.25">
      <c r="A10" t="s">
        <v>48</v>
      </c>
      <c r="B10" t="s">
        <v>7</v>
      </c>
      <c r="C10" t="s">
        <v>10</v>
      </c>
      <c r="D10" t="s">
        <v>192</v>
      </c>
      <c r="E10" t="s">
        <v>11</v>
      </c>
      <c r="F10" s="1">
        <v>42000</v>
      </c>
    </row>
    <row r="11" spans="1:6" x14ac:dyDescent="0.25">
      <c r="A11" t="s">
        <v>49</v>
      </c>
      <c r="B11" t="s">
        <v>7</v>
      </c>
      <c r="C11" t="s">
        <v>13</v>
      </c>
      <c r="D11" t="s">
        <v>193</v>
      </c>
      <c r="E11">
        <v>51</v>
      </c>
      <c r="F11" s="1">
        <v>0</v>
      </c>
    </row>
    <row r="12" spans="1:6" x14ac:dyDescent="0.25">
      <c r="A12" t="s">
        <v>50</v>
      </c>
      <c r="B12" t="s">
        <v>7</v>
      </c>
      <c r="C12" t="s">
        <v>8</v>
      </c>
      <c r="D12" t="s">
        <v>192</v>
      </c>
      <c r="E12" t="s">
        <v>11</v>
      </c>
      <c r="F12" s="1">
        <v>2000</v>
      </c>
    </row>
    <row r="13" spans="1:6" x14ac:dyDescent="0.25">
      <c r="A13" t="s">
        <v>51</v>
      </c>
      <c r="B13" t="s">
        <v>18</v>
      </c>
      <c r="C13" t="s">
        <v>8</v>
      </c>
      <c r="D13" t="s">
        <v>192</v>
      </c>
      <c r="E13" t="s">
        <v>11</v>
      </c>
      <c r="F13" s="1">
        <v>1000</v>
      </c>
    </row>
    <row r="14" spans="1:6" x14ac:dyDescent="0.25">
      <c r="A14" t="s">
        <v>52</v>
      </c>
      <c r="B14" t="s">
        <v>7</v>
      </c>
      <c r="C14" t="s">
        <v>8</v>
      </c>
      <c r="D14" t="s">
        <v>192</v>
      </c>
      <c r="E14" t="s">
        <v>11</v>
      </c>
      <c r="F14" s="1">
        <v>60000</v>
      </c>
    </row>
    <row r="15" spans="1:6" x14ac:dyDescent="0.25">
      <c r="A15" t="s">
        <v>53</v>
      </c>
      <c r="B15" t="s">
        <v>18</v>
      </c>
      <c r="C15" t="s">
        <v>10</v>
      </c>
      <c r="D15" t="s">
        <v>192</v>
      </c>
      <c r="E15" t="s">
        <v>11</v>
      </c>
      <c r="F15" s="1">
        <v>3500</v>
      </c>
    </row>
    <row r="16" spans="1:6" x14ac:dyDescent="0.25">
      <c r="A16" t="s">
        <v>54</v>
      </c>
      <c r="B16" t="s">
        <v>18</v>
      </c>
      <c r="C16" t="s">
        <v>13</v>
      </c>
      <c r="D16" t="s">
        <v>193</v>
      </c>
      <c r="E16">
        <v>65</v>
      </c>
      <c r="F16" s="1">
        <v>2000</v>
      </c>
    </row>
    <row r="17" spans="1:6" x14ac:dyDescent="0.25">
      <c r="A17" t="s">
        <v>55</v>
      </c>
      <c r="B17" t="s">
        <v>18</v>
      </c>
      <c r="C17" t="s">
        <v>13</v>
      </c>
      <c r="D17" t="s">
        <v>193</v>
      </c>
      <c r="E17">
        <v>61</v>
      </c>
      <c r="F17" s="1">
        <v>6600</v>
      </c>
    </row>
    <row r="18" spans="1:6" x14ac:dyDescent="0.25">
      <c r="A18" t="s">
        <v>56</v>
      </c>
      <c r="B18" t="s">
        <v>18</v>
      </c>
      <c r="C18" t="s">
        <v>8</v>
      </c>
      <c r="D18" t="s">
        <v>192</v>
      </c>
      <c r="E18" t="s">
        <v>11</v>
      </c>
      <c r="F18" s="1">
        <v>7000</v>
      </c>
    </row>
    <row r="19" spans="1:6" x14ac:dyDescent="0.25">
      <c r="A19" t="s">
        <v>57</v>
      </c>
      <c r="B19" t="s">
        <v>18</v>
      </c>
      <c r="C19" t="s">
        <v>10</v>
      </c>
      <c r="D19" t="s">
        <v>192</v>
      </c>
      <c r="E19" t="s">
        <v>11</v>
      </c>
      <c r="F19" s="1">
        <v>7200</v>
      </c>
    </row>
    <row r="20" spans="1:6" x14ac:dyDescent="0.25">
      <c r="A20" t="s">
        <v>58</v>
      </c>
      <c r="B20" t="s">
        <v>18</v>
      </c>
      <c r="C20" t="s">
        <v>8</v>
      </c>
      <c r="D20" t="s">
        <v>193</v>
      </c>
      <c r="E20">
        <v>26</v>
      </c>
      <c r="F20" s="1">
        <v>8000</v>
      </c>
    </row>
    <row r="21" spans="1:6" x14ac:dyDescent="0.25">
      <c r="A21" t="s">
        <v>59</v>
      </c>
      <c r="B21" t="s">
        <v>18</v>
      </c>
      <c r="C21" t="s">
        <v>8</v>
      </c>
      <c r="D21" t="s">
        <v>192</v>
      </c>
      <c r="E21" t="s">
        <v>11</v>
      </c>
      <c r="F21" s="1">
        <v>7000</v>
      </c>
    </row>
    <row r="22" spans="1:6" x14ac:dyDescent="0.25">
      <c r="A22" t="s">
        <v>60</v>
      </c>
      <c r="B22" t="s">
        <v>18</v>
      </c>
      <c r="C22" t="s">
        <v>10</v>
      </c>
      <c r="D22" t="s">
        <v>192</v>
      </c>
      <c r="E22" t="s">
        <v>11</v>
      </c>
      <c r="F22" s="1">
        <v>7000</v>
      </c>
    </row>
    <row r="23" spans="1:6" x14ac:dyDescent="0.25">
      <c r="A23" t="s">
        <v>61</v>
      </c>
      <c r="B23" t="s">
        <v>18</v>
      </c>
      <c r="C23" t="s">
        <v>8</v>
      </c>
      <c r="D23" t="s">
        <v>193</v>
      </c>
      <c r="E23">
        <v>26</v>
      </c>
      <c r="F23" s="1">
        <v>1400</v>
      </c>
    </row>
    <row r="24" spans="1:6" x14ac:dyDescent="0.25">
      <c r="A24" t="s">
        <v>62</v>
      </c>
      <c r="B24" t="s">
        <v>7</v>
      </c>
      <c r="C24" t="s">
        <v>8</v>
      </c>
      <c r="D24" t="s">
        <v>193</v>
      </c>
      <c r="E24">
        <v>8</v>
      </c>
      <c r="F24" s="1">
        <v>12500</v>
      </c>
    </row>
    <row r="25" spans="1:6" x14ac:dyDescent="0.25">
      <c r="A25" t="s">
        <v>63</v>
      </c>
      <c r="B25" t="s">
        <v>18</v>
      </c>
      <c r="C25" t="s">
        <v>10</v>
      </c>
      <c r="D25" t="s">
        <v>192</v>
      </c>
      <c r="E25" t="s">
        <v>11</v>
      </c>
      <c r="F25" s="1">
        <v>1000</v>
      </c>
    </row>
    <row r="26" spans="1:6" x14ac:dyDescent="0.25">
      <c r="A26" t="s">
        <v>64</v>
      </c>
      <c r="B26" t="s">
        <v>18</v>
      </c>
      <c r="C26" t="s">
        <v>10</v>
      </c>
      <c r="D26" t="s">
        <v>192</v>
      </c>
      <c r="E26" t="s">
        <v>11</v>
      </c>
      <c r="F26" s="1">
        <v>2000</v>
      </c>
    </row>
    <row r="27" spans="1:6" x14ac:dyDescent="0.25">
      <c r="A27" t="s">
        <v>65</v>
      </c>
      <c r="B27" t="s">
        <v>18</v>
      </c>
      <c r="C27" t="s">
        <v>10</v>
      </c>
      <c r="D27" t="s">
        <v>192</v>
      </c>
      <c r="E27" t="s">
        <v>11</v>
      </c>
      <c r="F27" s="1">
        <v>1000</v>
      </c>
    </row>
    <row r="28" spans="1:6" x14ac:dyDescent="0.25">
      <c r="A28" t="s">
        <v>66</v>
      </c>
      <c r="B28" t="s">
        <v>18</v>
      </c>
      <c r="C28" t="s">
        <v>10</v>
      </c>
      <c r="D28" t="s">
        <v>192</v>
      </c>
      <c r="E28" t="s">
        <v>11</v>
      </c>
      <c r="F28" s="1">
        <v>1100</v>
      </c>
    </row>
    <row r="29" spans="1:6" x14ac:dyDescent="0.25">
      <c r="A29" t="s">
        <v>67</v>
      </c>
      <c r="B29" t="s">
        <v>18</v>
      </c>
      <c r="C29" t="s">
        <v>10</v>
      </c>
      <c r="D29" t="s">
        <v>192</v>
      </c>
      <c r="E29" t="s">
        <v>11</v>
      </c>
      <c r="F29" s="1">
        <v>10000</v>
      </c>
    </row>
    <row r="30" spans="1:6" x14ac:dyDescent="0.25">
      <c r="A30" t="s">
        <v>68</v>
      </c>
      <c r="B30" t="s">
        <v>18</v>
      </c>
      <c r="C30" t="s">
        <v>8</v>
      </c>
      <c r="D30" t="s">
        <v>192</v>
      </c>
      <c r="E30" t="s">
        <v>11</v>
      </c>
      <c r="F30" s="1">
        <v>9259.93</v>
      </c>
    </row>
    <row r="31" spans="1:6" x14ac:dyDescent="0.25">
      <c r="A31" t="s">
        <v>69</v>
      </c>
      <c r="B31" t="s">
        <v>7</v>
      </c>
      <c r="C31" t="s">
        <v>8</v>
      </c>
      <c r="D31" t="s">
        <v>192</v>
      </c>
      <c r="E31" t="s">
        <v>11</v>
      </c>
      <c r="F31" s="1">
        <v>65000</v>
      </c>
    </row>
    <row r="32" spans="1:6" x14ac:dyDescent="0.25">
      <c r="A32" t="s">
        <v>70</v>
      </c>
      <c r="B32" t="s">
        <v>7</v>
      </c>
      <c r="C32" t="s">
        <v>10</v>
      </c>
      <c r="D32" t="s">
        <v>192</v>
      </c>
      <c r="E32" t="s">
        <v>11</v>
      </c>
      <c r="F32" s="1">
        <v>26000</v>
      </c>
    </row>
  </sheetData>
  <autoFilter ref="A9:F32" xr:uid="{00000000-0009-0000-0000-00000A000000}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📊 DASHBOARD EJECUTIVO</vt:lpstr>
      <vt:lpstr>📋 DATOS CONSOLIDADOS</vt:lpstr>
      <vt:lpstr>DAF - Jefatura Administrativa</vt:lpstr>
      <vt:lpstr>DAF - Jefatura de Talento Human</vt:lpstr>
      <vt:lpstr>DAF - Jefatura Financiera</vt:lpstr>
      <vt:lpstr>Dirección de Comercialización</vt:lpstr>
      <vt:lpstr>Dirección de Comunicación</vt:lpstr>
      <vt:lpstr>Dirección de Desarrollo de Prod</vt:lpstr>
      <vt:lpstr>Dirección de Promoción de Desti</vt:lpstr>
      <vt:lpstr>Dirección de Servicios para la </vt:lpstr>
      <vt:lpstr>Dirección de Turismo de Negocio</vt:lpstr>
      <vt:lpstr>DPEI - Estadística</vt:lpstr>
      <vt:lpstr>DPEI - Jefatura de TICS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2026-05-06T13:45:55Z</dcterms:created>
  <dcterms:modified xsi:type="dcterms:W3CDTF">2026-05-06T15:45:23Z</dcterms:modified>
  <cp:category/>
</cp:coreProperties>
</file>