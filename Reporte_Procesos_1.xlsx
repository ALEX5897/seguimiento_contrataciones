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661" documentId="11_D8C91C510C957612815615A266D28325F50970C5" xr6:coauthVersionLast="47" xr6:coauthVersionMax="47" xr10:uidLastSave="{B8023CF1-B7B4-4D57-A1A2-229FAF63BE3D}"/>
  <bookViews>
    <workbookView xWindow="-120" yWindow="-120" windowWidth="38640" windowHeight="21120" firstSheet="8" activeTab="8" xr2:uid="{00000000-000D-0000-FFFF-FFFF00000000}"/>
  </bookViews>
  <sheets>
    <sheet name="📊 DASHBOARD PRINCIPAL" sheetId="14" r:id="rId1"/>
    <sheet name="DAF - Jefatura Administrativa" sheetId="1" r:id="rId2"/>
    <sheet name="DAF - Jefatura de Talento Human" sheetId="2" r:id="rId3"/>
    <sheet name="DAF - Jefatura Financiera" sheetId="3" r:id="rId4"/>
    <sheet name="Dirección de Comercialización" sheetId="4" r:id="rId5"/>
    <sheet name="Dirección de Comunicación" sheetId="5" r:id="rId6"/>
    <sheet name="Dirección de Desarrollo de Prod" sheetId="6" r:id="rId7"/>
    <sheet name="Dirección de Promoción de Desti" sheetId="7" r:id="rId8"/>
    <sheet name="Dirección de Servicios para la " sheetId="8" r:id="rId9"/>
    <sheet name="Dirección de Turismo de Negocio" sheetId="9" r:id="rId10"/>
    <sheet name="DPEI - Estadística" sheetId="10" r:id="rId11"/>
    <sheet name="DPEI - Jefatura de TICS" sheetId="11" r:id="rId12"/>
  </sheets>
  <definedNames>
    <definedName name="_xlnm._FilterDatabase" localSheetId="11" hidden="1">'DPEI - Jefatura de TICS'!$A$1:$F$24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1" l="1"/>
  <c r="F32" i="11" s="1"/>
  <c r="F30" i="11"/>
  <c r="E32" i="11"/>
  <c r="F9" i="10"/>
  <c r="F14" i="8"/>
  <c r="F15" i="8" s="1"/>
  <c r="F10" i="6"/>
  <c r="F9" i="4"/>
  <c r="F10" i="3"/>
  <c r="F9" i="2"/>
  <c r="F10" i="2" s="1"/>
  <c r="F20" i="1"/>
  <c r="E12" i="7"/>
  <c r="F12" i="7"/>
  <c r="F11" i="7"/>
  <c r="F11" i="5"/>
  <c r="F12" i="5"/>
  <c r="F13" i="9"/>
  <c r="E11" i="9"/>
  <c r="F11" i="9"/>
  <c r="E12" i="9"/>
  <c r="F12" i="9"/>
  <c r="E8" i="10"/>
  <c r="B14" i="10" s="1"/>
  <c r="F8" i="10"/>
  <c r="E9" i="10"/>
  <c r="B17" i="9"/>
  <c r="E13" i="8"/>
  <c r="B19" i="8" s="1"/>
  <c r="F13" i="8"/>
  <c r="E14" i="8"/>
  <c r="E10" i="7"/>
  <c r="B16" i="7" s="1"/>
  <c r="F10" i="7"/>
  <c r="E11" i="7"/>
  <c r="E9" i="6"/>
  <c r="B15" i="6" s="1"/>
  <c r="F9" i="6"/>
  <c r="E10" i="6"/>
  <c r="E10" i="5"/>
  <c r="B16" i="5" s="1"/>
  <c r="F10" i="5"/>
  <c r="E11" i="5"/>
  <c r="E8" i="4"/>
  <c r="B14" i="4" s="1"/>
  <c r="F8" i="4"/>
  <c r="E9" i="4"/>
  <c r="E9" i="3"/>
  <c r="B15" i="3" s="1"/>
  <c r="F9" i="3"/>
  <c r="E10" i="3"/>
  <c r="E8" i="2"/>
  <c r="B14" i="2" s="1"/>
  <c r="F8" i="2"/>
  <c r="E9" i="2"/>
  <c r="E19" i="1"/>
  <c r="B25" i="1" s="1"/>
  <c r="F19" i="1"/>
  <c r="E20" i="1"/>
  <c r="B41" i="11"/>
  <c r="C41" i="11"/>
  <c r="B42" i="11"/>
  <c r="C42" i="11"/>
  <c r="B34" i="11"/>
  <c r="B35" i="11"/>
  <c r="B36" i="11"/>
  <c r="C7" i="14"/>
  <c r="C29" i="14"/>
  <c r="C28" i="14"/>
  <c r="C27" i="14"/>
  <c r="C26" i="14"/>
  <c r="C25" i="14"/>
  <c r="C24" i="14"/>
  <c r="C23" i="14"/>
  <c r="C22" i="14"/>
  <c r="C21" i="14"/>
  <c r="C20" i="14"/>
  <c r="C19" i="14"/>
  <c r="B29" i="14"/>
  <c r="B28" i="14"/>
  <c r="B27" i="14"/>
  <c r="B26" i="14"/>
  <c r="B25" i="14"/>
  <c r="B24" i="14"/>
  <c r="B23" i="14"/>
  <c r="B22" i="14"/>
  <c r="B21" i="14"/>
  <c r="B20" i="14"/>
  <c r="B19" i="14"/>
  <c r="A7" i="14"/>
  <c r="B13" i="10"/>
  <c r="B12" i="10"/>
  <c r="C8" i="10"/>
  <c r="B8" i="10"/>
  <c r="A8" i="10"/>
  <c r="B16" i="9"/>
  <c r="B15" i="9"/>
  <c r="F27" i="14"/>
  <c r="C11" i="9"/>
  <c r="B11" i="9"/>
  <c r="A11" i="9"/>
  <c r="B18" i="8"/>
  <c r="B17" i="8"/>
  <c r="C13" i="8"/>
  <c r="B13" i="8"/>
  <c r="A13" i="8"/>
  <c r="B15" i="7"/>
  <c r="B14" i="7"/>
  <c r="C10" i="7"/>
  <c r="B10" i="7"/>
  <c r="A10" i="7"/>
  <c r="B14" i="6"/>
  <c r="B13" i="6"/>
  <c r="F24" i="14"/>
  <c r="C9" i="6"/>
  <c r="B9" i="6"/>
  <c r="A9" i="6"/>
  <c r="B15" i="5"/>
  <c r="B14" i="5"/>
  <c r="C10" i="5"/>
  <c r="B10" i="5"/>
  <c r="A10" i="5"/>
  <c r="B13" i="4"/>
  <c r="B12" i="4"/>
  <c r="C8" i="4"/>
  <c r="B8" i="4"/>
  <c r="A8" i="4"/>
  <c r="B14" i="3"/>
  <c r="B13" i="3"/>
  <c r="C9" i="3"/>
  <c r="B9" i="3"/>
  <c r="A9" i="3"/>
  <c r="B13" i="2"/>
  <c r="B12" i="2"/>
  <c r="F20" i="14"/>
  <c r="C8" i="2"/>
  <c r="B8" i="2"/>
  <c r="A8" i="2"/>
  <c r="B24" i="1"/>
  <c r="B23" i="1"/>
  <c r="C19" i="1"/>
  <c r="B19" i="1"/>
  <c r="A19" i="1"/>
  <c r="K21" i="14"/>
  <c r="D28" i="14"/>
  <c r="E27" i="14"/>
  <c r="D27" i="14"/>
  <c r="F25" i="14"/>
  <c r="E25" i="14"/>
  <c r="D25" i="14"/>
  <c r="E24" i="14"/>
  <c r="D24" i="14"/>
  <c r="F23" i="14"/>
  <c r="E23" i="14"/>
  <c r="D23" i="14"/>
  <c r="F21" i="14"/>
  <c r="E21" i="14"/>
  <c r="D21" i="14"/>
  <c r="E20" i="14"/>
  <c r="D20" i="14"/>
  <c r="D19" i="14"/>
  <c r="J12" i="14" l="1"/>
  <c r="J20" i="14"/>
  <c r="F29" i="14"/>
  <c r="G29" i="14" s="1"/>
  <c r="E29" i="14"/>
  <c r="D29" i="14"/>
  <c r="F28" i="14"/>
  <c r="G28" i="14" s="1"/>
  <c r="E28" i="14"/>
  <c r="K19" i="14"/>
  <c r="G27" i="14"/>
  <c r="F26" i="14"/>
  <c r="G26" i="14" s="1"/>
  <c r="E26" i="14"/>
  <c r="D26" i="14"/>
  <c r="G25" i="14"/>
  <c r="G24" i="14"/>
  <c r="G23" i="14"/>
  <c r="F22" i="14"/>
  <c r="G22" i="14" s="1"/>
  <c r="E7" i="14"/>
  <c r="B12" i="14" s="1"/>
  <c r="D22" i="14"/>
  <c r="E22" i="14"/>
  <c r="G7" i="14"/>
  <c r="B13" i="14" s="1"/>
  <c r="I7" i="14"/>
  <c r="B14" i="14" s="1"/>
  <c r="C30" i="14"/>
  <c r="K7" i="14"/>
  <c r="J19" i="14"/>
  <c r="J21" i="14"/>
  <c r="K20" i="14"/>
  <c r="G21" i="14"/>
  <c r="K12" i="14"/>
  <c r="G20" i="14"/>
  <c r="F19" i="14"/>
  <c r="E19" i="14"/>
  <c r="B30" i="14"/>
  <c r="E30" i="14" l="1"/>
  <c r="D30" i="14"/>
  <c r="K13" i="14"/>
  <c r="K14" i="14" s="1"/>
  <c r="J13" i="14"/>
  <c r="J14" i="14" s="1"/>
  <c r="M7" i="14"/>
  <c r="C13" i="14"/>
  <c r="C12" i="14"/>
  <c r="C14" i="14"/>
  <c r="F30" i="14"/>
  <c r="G30" i="14" s="1"/>
  <c r="G19" i="14"/>
</calcChain>
</file>

<file path=xl/sharedStrings.xml><?xml version="1.0" encoding="utf-8"?>
<sst xmlns="http://schemas.openxmlformats.org/spreadsheetml/2006/main" count="556" uniqueCount="128">
  <si>
    <t>Nombre del Proceso</t>
  </si>
  <si>
    <t>PAC/No PAC</t>
  </si>
  <si>
    <t>Cuatrimestre</t>
  </si>
  <si>
    <t>Estado</t>
  </si>
  <si>
    <t>Días Tarde</t>
  </si>
  <si>
    <t>Monto</t>
  </si>
  <si>
    <t>Adquisición de suministros de impresión (toners) para la EPMGDT</t>
  </si>
  <si>
    <t>PAC</t>
  </si>
  <si>
    <t>2</t>
  </si>
  <si>
    <t>Pendiente</t>
  </si>
  <si>
    <t>Adquisición suministros de oficina para la EPMGDT</t>
  </si>
  <si>
    <t>3</t>
  </si>
  <si>
    <t>En progreso</t>
  </si>
  <si>
    <t/>
  </si>
  <si>
    <t>Contratación de póliza de seguro para los bienes muebles e inmuebles pertenecientes a la Empresa Pública Metropolitana de Gestión de Destino Turístico</t>
  </si>
  <si>
    <t>1</t>
  </si>
  <si>
    <t>Contratación del servicio de agencias de viajes para la provisión de pasajes a�?reos nacionales e internacionales para los servidores de la EPMGDT</t>
  </si>
  <si>
    <t>No PAC</t>
  </si>
  <si>
    <t>Contratado</t>
  </si>
  <si>
    <t>Contratación del servicio de fumigación y desratización de las instalaciones de la EPMGDT y sus dependencias</t>
  </si>
  <si>
    <t>NO PAC</t>
  </si>
  <si>
    <t>Contratación del servicio de mantenimiento preventivo y correctivo de cámaras de seguridad de la EPMGDT y sus dependencias</t>
  </si>
  <si>
    <t>Contratación del servicio de mantenimiento preventivo y correctivo para el parque automotor de la EPMGDT</t>
  </si>
  <si>
    <t>Mantenimiento de edificios de la EPMGDT (fase 2)</t>
  </si>
  <si>
    <t>Material de construcción</t>
  </si>
  <si>
    <t>Servicio de rastreo satelital para los vehículos y motocicleta de la EPMGDT</t>
  </si>
  <si>
    <t>Servicio de seguridad y vigilancia para las instalaciones de Quito Turismo y sus Dependencias 2026 - 2027</t>
  </si>
  <si>
    <t>Adquisición de ropa de trabajo para el personal de Código de Trabajo de la EPMGDT</t>
  </si>
  <si>
    <t>Consultoría contratación directa servicio de auditoría externa para los estados financieros del periodo cerrado al 31 de diciembre de 2025</t>
  </si>
  <si>
    <t>Consultoría para la verificación de recaudación de Tasa de Facilidades y Servicios Turísticos 2025.</t>
  </si>
  <si>
    <t>Servicio de Auditoría CCMQ</t>
  </si>
  <si>
    <t>Gestiónar la contratación para el mantenimiento de equipos para producción audiovisual</t>
  </si>
  <si>
    <t>Servicio de agencia de Publicidad especializada en pauta para difundir las acciones de Quito Turismo a nivel nacional, local e internacional 2026 - 2027</t>
  </si>
  <si>
    <t>Servicio Monitoreo de Medios de Comunicación para Determinar el Impacto de la Información Generada por Quito Servicio de Monitoreo de Información Televisión, Radio, Prensa Turismo 2026 - 2027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</si>
  <si>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</si>
  <si>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</si>
  <si>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</si>
  <si>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PromociónAL DEL DESTINO QUITO</t>
  </si>
  <si>
    <t>Servicio de relaciones públicas y representación en el exterior para la Promoción del destino Quito para los mercados de Europa y resto del mundo para los años 2026 y 2027</t>
  </si>
  <si>
    <t>Servicio de Asesoría y asistencia t�?cnica,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</si>
  <si>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</si>
  <si>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</si>
  <si>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</si>
  <si>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Servicio de transporte para verificadores</t>
  </si>
  <si>
    <t>SERVICIOS DE CONSULTORÍA PARA IMPLEMENTACIÓN DE LA NORMA ISO 37001:2016 SISTEMAS DE Gestión ANTISOBORNO</t>
  </si>
  <si>
    <t>Adquisición de Material POP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</si>
  <si>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</si>
  <si>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</si>
  <si>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Servicio de relaciones públicas y representación en el exterior para la Promoción del destino Quito para los mercados de Am�?rica para los años 2026 y 2027</t>
  </si>
  <si>
    <t>Suscripción al servicio de provisión de datos en línea para la Gestión de servicios de inteligencia Turística</t>
  </si>
  <si>
    <t>Adquisición de infraestructura tecnológica y suscripción de herramientas de respaldos y virtualización</t>
  </si>
  <si>
    <t>Adquisición de UPS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</si>
  <si>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</si>
  <si>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</si>
  <si>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</si>
  <si>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</si>
  <si>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</si>
  <si>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</si>
  <si>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</si>
  <si>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 diseño 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</si>
  <si>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</si>
  <si>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</si>
  <si>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</si>
  <si>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</si>
  <si>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Internet y Enlace de Datos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</si>
  <si>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</si>
  <si>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</si>
  <si>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</si>
  <si>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</si>
  <si>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</si>
  <si>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</si>
  <si>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</si>
  <si>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</si>
  <si>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Análisis Consolidado de Todos los Departamentos | Actualizado: Mayo 2026</t>
  </si>
  <si>
    <t>TOTAL PROCESOS</t>
  </si>
  <si>
    <t>MONTO TOTAL</t>
  </si>
  <si>
    <t>EN PROGRESO</t>
  </si>
  <si>
    <t>CONTRATADOS</t>
  </si>
  <si>
    <t>PROM. DÍAS TARDE</t>
  </si>
  <si>
    <t>% COMPLETADO</t>
  </si>
  <si>
    <t>📊 DISTRIBUCIÓN POR ESTADO</t>
  </si>
  <si>
    <t>Cantidad</t>
  </si>
  <si>
    <t>Porcentaje</t>
  </si>
  <si>
    <t>📈 PROCESOS POR DEPARTAMENTO</t>
  </si>
  <si>
    <t>Departamento</t>
  </si>
  <si>
    <t>Procesos</t>
  </si>
  <si>
    <t>En Progreso</t>
  </si>
  <si>
    <t>Contratados</t>
  </si>
  <si>
    <t>% Avance</t>
  </si>
  <si>
    <t>DAF - Jef. Administrativa</t>
  </si>
  <si>
    <t>DAF - Jef. Talento Humano</t>
  </si>
  <si>
    <t>DAF - Jef. Financiera</t>
  </si>
  <si>
    <t>Dir. Comercialización</t>
  </si>
  <si>
    <t>Dir. Comunicación</t>
  </si>
  <si>
    <t>Dir. Desarrollo Producto</t>
  </si>
  <si>
    <t>Dir. Promoción Destino</t>
  </si>
  <si>
    <t>Dir. Servicios</t>
  </si>
  <si>
    <t>Dir. Turismo Negocios</t>
  </si>
  <si>
    <t>DPEI - Estadística</t>
  </si>
  <si>
    <t>DPEI - Jef. TICS</t>
  </si>
  <si>
    <t>TOTAL</t>
  </si>
  <si>
    <t>📋 DISTRIBUCIÓN PAC/NO PAC</t>
  </si>
  <si>
    <t>Tipo</t>
  </si>
  <si>
    <t>📅 DISTRIBUCIÓN POR CUATRIMESTRE</t>
  </si>
  <si>
    <t>1er Cuatrimestre</t>
  </si>
  <si>
    <t>2do Cuatrimestre</t>
  </si>
  <si>
    <t>3er Cuatrimestre</t>
  </si>
  <si>
    <t>⚠️ TOP 5 PROCESOS CON MAYOR RETRASO</t>
  </si>
  <si>
    <t>Proceso</t>
  </si>
  <si>
    <t>Días</t>
  </si>
  <si>
    <t>Mantenimiento preventivo solución respaldos</t>
  </si>
  <si>
    <t>DPEI - TICS</t>
  </si>
  <si>
    <t>Dir. Turismo Neg.</t>
  </si>
  <si>
    <t>Consultoría verificación recaudación</t>
  </si>
  <si>
    <t>DAF - Financiera</t>
  </si>
  <si>
    <t>📊 RESUMEN DE INDICADORES</t>
  </si>
  <si>
    <t>MONTO</t>
  </si>
  <si>
    <t>📝 NOTAS IMPORTANTES</t>
  </si>
  <si>
    <t>• Los datos se actualizan dinámicamente desde cada hoja de departamento</t>
  </si>
  <si>
    <t>• Los procesos con más de 30 días de retraso requieren atención inmediata</t>
  </si>
  <si>
    <t>• El porcentaje de avance se calcula como: Procesos Contratados / Total de Procesos</t>
  </si>
  <si>
    <t>• PAC = Plan Anual de Contrataciones | NO PAC = Procesos fuera del plan</t>
  </si>
  <si>
    <t>CON RETRASO</t>
  </si>
  <si>
    <t>Con Retraso</t>
  </si>
  <si>
    <t>GESTIÓN DE PROCESOS EPMGDT</t>
  </si>
  <si>
    <t>📈 INDICADORES CLAVE</t>
  </si>
  <si>
    <t>TOTAL: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</si>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</sst>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\$#,##0.00"/>
    <numFmt numFmtId="165" formatCode="&quot;$&quot;#,##0.00"/>
    <numFmt numFmtId="166" formatCode="0.0%"/>
    <numFmt numFmtId="167" formatCode="&quot;$&quot;#,##0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8"/>
      <color rgb="FF4472C4"/>
      <name val="Calibri"/>
      <family val="2"/>
      <scheme val="minor"/>
    </font>
    <font>
      <b/>
      <sz val="18"/>
      <color rgb="FF70AD47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28"/>
      <color rgb="FFFFC000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28"/>
      <color rgb="FF7030A0"/>
      <name val="Calibri"/>
      <family val="2"/>
      <scheme val="minor"/>
    </font>
    <font>
      <b/>
      <sz val="28"/>
      <color rgb="FF20386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22"/>
      <color rgb="FFFFC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44546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4472C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167" fontId="0" fillId="0" borderId="2" xfId="0" applyNumberFormat="1" applyBorder="1"/>
    <xf numFmtId="0" fontId="2" fillId="14" borderId="2" xfId="0" applyFont="1" applyFill="1" applyBorder="1" applyAlignment="1">
      <alignment horizontal="center"/>
    </xf>
    <xf numFmtId="9" fontId="0" fillId="0" borderId="2" xfId="0" applyNumberFormat="1" applyBorder="1"/>
    <xf numFmtId="0" fontId="2" fillId="15" borderId="3" xfId="0" applyFont="1" applyFill="1" applyBorder="1"/>
    <xf numFmtId="0" fontId="2" fillId="15" borderId="0" xfId="0" applyFont="1" applyFill="1"/>
    <xf numFmtId="167" fontId="2" fillId="15" borderId="0" xfId="0" applyNumberFormat="1" applyFont="1" applyFill="1"/>
    <xf numFmtId="9" fontId="2" fillId="15" borderId="3" xfId="0" applyNumberFormat="1" applyFont="1" applyFill="1" applyBorder="1"/>
    <xf numFmtId="0" fontId="2" fillId="16" borderId="2" xfId="0" applyFont="1" applyFill="1" applyBorder="1" applyAlignment="1">
      <alignment horizontal="center"/>
    </xf>
    <xf numFmtId="0" fontId="15" fillId="0" borderId="2" xfId="0" applyFont="1" applyBorder="1"/>
    <xf numFmtId="0" fontId="16" fillId="0" borderId="0" xfId="0" applyFont="1" applyAlignment="1">
      <alignment horizontal="center"/>
    </xf>
    <xf numFmtId="167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6" fillId="12" borderId="0" xfId="0" applyNumberFormat="1" applyFont="1" applyFill="1" applyAlignment="1">
      <alignment horizontal="center"/>
    </xf>
    <xf numFmtId="0" fontId="21" fillId="0" borderId="0" xfId="0" applyFont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2" fillId="0" borderId="0" xfId="0" applyFont="1"/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6" fillId="0" borderId="0" xfId="0" applyFont="1" applyAlignment="1">
      <alignment horizontal="center"/>
    </xf>
    <xf numFmtId="44" fontId="17" fillId="0" borderId="0" xfId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6" fillId="8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14" fillId="1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6" fillId="10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6" fillId="11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0" fontId="14" fillId="13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 PRINCIPAL'!$B$11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49-4FDC-B173-3369D64561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49-4FDC-B173-3369D64561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49-4FDC-B173-3369D64561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 PRINCIPAL'!$A$12:$A$14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'📊 DASHBOARD PRINCIPAL'!$B$12:$B$14</c:f>
              <c:numCache>
                <c:formatCode>General</c:formatCode>
                <c:ptCount val="3"/>
                <c:pt idx="0">
                  <c:v>26</c:v>
                </c:pt>
                <c:pt idx="1">
                  <c:v>24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4-4259-9CB8-47F59267C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 vs 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 PRINCIPAL'!$J$11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88-47F0-B2B8-3FBCAA0C01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88-47F0-B2B8-3FBCAA0C01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 PRINCIPAL'!$I$12:$I$13</c:f>
              <c:strCache>
                <c:ptCount val="2"/>
                <c:pt idx="0">
                  <c:v>PAC</c:v>
                </c:pt>
                <c:pt idx="1">
                  <c:v>NO PAC</c:v>
                </c:pt>
              </c:strCache>
            </c:strRef>
          </c:cat>
          <c:val>
            <c:numRef>
              <c:f>'📊 DASHBOARD PRINCIPAL'!$J$12:$J$13</c:f>
              <c:numCache>
                <c:formatCode>General</c:formatCode>
                <c:ptCount val="2"/>
                <c:pt idx="0">
                  <c:v>38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6-4570-99E9-232672A5F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Procesos por Cuatrimestre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 PRINCIPAL'!$J$18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'📊 DASHBOARD PRINCIPAL'!$J$19:$J$21</c:f>
              <c:numCache>
                <c:formatCode>General</c:formatCode>
                <c:ptCount val="3"/>
                <c:pt idx="0">
                  <c:v>23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A-4DB4-89E1-2747094FFDB7}"/>
            </c:ext>
          </c:extLst>
        </c:ser>
        <c:ser>
          <c:idx val="1"/>
          <c:order val="1"/>
          <c:tx>
            <c:strRef>
              <c:f>'📊 DASHBOARD PRINCIPAL'!$K$18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'📊 DASHBOARD PRINCIPAL'!$K$19:$K$21</c:f>
              <c:numCache>
                <c:formatCode>"$"#,##0</c:formatCode>
                <c:ptCount val="3"/>
                <c:pt idx="0">
                  <c:v>3261494.99</c:v>
                </c:pt>
                <c:pt idx="1">
                  <c:v>2281581.1800000002</c:v>
                </c:pt>
                <c:pt idx="2">
                  <c:v>283671.75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A-4DB4-89E1-2747094FF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83872"/>
        <c:axId val="1396584352"/>
      </c:barChart>
      <c:catAx>
        <c:axId val="139658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4352"/>
        <c:crosses val="autoZero"/>
        <c:auto val="1"/>
        <c:lblAlgn val="ctr"/>
        <c:lblOffset val="100"/>
        <c:noMultiLvlLbl val="0"/>
      </c:catAx>
      <c:valAx>
        <c:axId val="13965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 PRINCIPAL'!$B$18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'📊 DASHBOARD PRINCIPAL'!$B$19:$B$29</c:f>
              <c:numCache>
                <c:formatCode>General</c:formatCode>
                <c:ptCount val="11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8-4B39-B1B4-0E1418654743}"/>
            </c:ext>
          </c:extLst>
        </c:ser>
        <c:ser>
          <c:idx val="1"/>
          <c:order val="1"/>
          <c:tx>
            <c:strRef>
              <c:f>'📊 DASHBOARD PRINCIPAL'!$C$18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'📊 DASHBOARD PRINCIPAL'!$C$19:$C$29</c:f>
              <c:numCache>
                <c:formatCode>"$"#,##0</c:formatCode>
                <c:ptCount val="11"/>
                <c:pt idx="0">
                  <c:v>169525</c:v>
                </c:pt>
                <c:pt idx="1">
                  <c:v>676</c:v>
                </c:pt>
                <c:pt idx="2">
                  <c:v>6600</c:v>
                </c:pt>
                <c:pt idx="3">
                  <c:v>6600</c:v>
                </c:pt>
                <c:pt idx="4">
                  <c:v>201500</c:v>
                </c:pt>
                <c:pt idx="5">
                  <c:v>331612.45999999996</c:v>
                </c:pt>
                <c:pt idx="6">
                  <c:v>1974791.99</c:v>
                </c:pt>
                <c:pt idx="7">
                  <c:v>185195.75</c:v>
                </c:pt>
                <c:pt idx="8">
                  <c:v>781770</c:v>
                </c:pt>
                <c:pt idx="9">
                  <c:v>39246.51</c:v>
                </c:pt>
                <c:pt idx="10">
                  <c:v>282559.93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8-4B39-B1B4-0E141865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398000"/>
        <c:axId val="1484396560"/>
      </c:barChart>
      <c:catAx>
        <c:axId val="14843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6560"/>
        <c:crosses val="autoZero"/>
        <c:auto val="1"/>
        <c:lblAlgn val="ctr"/>
        <c:lblOffset val="100"/>
        <c:noMultiLvlLbl val="0"/>
      </c:catAx>
      <c:valAx>
        <c:axId val="148439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Procesos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'📊 DASHBOARD PRINCIPAL'!$D$18</c:f>
              <c:strCache>
                <c:ptCount val="1"/>
                <c:pt idx="0">
                  <c:v>Con Retraso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'📊 DASHBOARD PRINCIPAL'!$D$19:$D$29</c:f>
              <c:numCache>
                <c:formatCode>General</c:formatCode>
                <c:ptCount val="11"/>
                <c:pt idx="0">
                  <c:v>8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C-4AE5-BDF5-5B9B0EB31205}"/>
            </c:ext>
          </c:extLst>
        </c:ser>
        <c:ser>
          <c:idx val="3"/>
          <c:order val="1"/>
          <c:tx>
            <c:strRef>
              <c:f>'📊 DASHBOARD PRINCIPAL'!$E$18</c:f>
              <c:strCache>
                <c:ptCount val="1"/>
                <c:pt idx="0">
                  <c:v>En Progreso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'📊 DASHBOARD PRINCIPAL'!$E$19:$E$29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C-4AE5-BDF5-5B9B0EB31205}"/>
            </c:ext>
          </c:extLst>
        </c:ser>
        <c:ser>
          <c:idx val="4"/>
          <c:order val="2"/>
          <c:tx>
            <c:strRef>
              <c:f>'📊 DASHBOARD PRINCIPAL'!$F$18</c:f>
              <c:strCache>
                <c:ptCount val="1"/>
                <c:pt idx="0">
                  <c:v>Contratados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'📊 DASHBOARD PRINCIPAL'!$F$19:$F$29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8C-4AE5-BDF5-5B9B0EB31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4249072"/>
        <c:axId val="1484248112"/>
      </c:barChart>
      <c:catAx>
        <c:axId val="148424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248112"/>
        <c:crosses val="autoZero"/>
        <c:auto val="1"/>
        <c:lblAlgn val="ctr"/>
        <c:lblOffset val="100"/>
        <c:noMultiLvlLbl val="0"/>
      </c:catAx>
      <c:valAx>
        <c:axId val="14842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2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por Cuatrimestre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 PRINCIPAL'!$J$18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'📊 DASHBOARD PRINCIPAL'!$J$19:$J$21</c:f>
              <c:numCache>
                <c:formatCode>General</c:formatCode>
                <c:ptCount val="3"/>
                <c:pt idx="0">
                  <c:v>23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C-4C09-AF9F-B055DDAF7195}"/>
            </c:ext>
          </c:extLst>
        </c:ser>
        <c:ser>
          <c:idx val="1"/>
          <c:order val="1"/>
          <c:tx>
            <c:strRef>
              <c:f>'📊 DASHBOARD PRINCIPAL'!$K$18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'📊 DASHBOARD PRINCIPAL'!$K$19:$K$21</c:f>
              <c:numCache>
                <c:formatCode>"$"#,##0</c:formatCode>
                <c:ptCount val="3"/>
                <c:pt idx="0">
                  <c:v>3261494.99</c:v>
                </c:pt>
                <c:pt idx="1">
                  <c:v>2281581.1800000002</c:v>
                </c:pt>
                <c:pt idx="2">
                  <c:v>283671.75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C-4C09-AF9F-B055DDAF7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1272208"/>
        <c:axId val="1401274128"/>
      </c:barChart>
      <c:catAx>
        <c:axId val="140127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01274128"/>
        <c:crosses val="autoZero"/>
        <c:auto val="1"/>
        <c:lblAlgn val="ctr"/>
        <c:lblOffset val="100"/>
        <c:noMultiLvlLbl val="0"/>
      </c:catAx>
      <c:valAx>
        <c:axId val="140127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0127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'DAF - Jefatura Administrativa'!$B$22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1-43D4-9329-0E1049BC78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11-43D4-9329-0E1049BC78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11-43D4-9329-0E1049BC78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'DAF - Jefatura Administrativa'!$A$23:$A$25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'DAF - Jefatura Administrativa'!$B$23:$B$25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C-449C-B5A4-893C2E00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'DAF - Jefatura de Talento Human'!$B$11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6-4FF1-B852-C2EC929B1A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6-4FF1-B852-C2EC929B1A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6-4FF1-B852-C2EC929B1A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'DAF - Jefatura de Talento Human'!$A$12:$A$14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'DAF - Jefatura de Talento Human'!$B$12:$B$14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F-464C-9CC4-26EEBAAD0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'DAF - Jefatura Financiera'!$B$12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A8-41F3-B8B4-9ADC23151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A8-41F3-B8B4-9ADC23151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A8-41F3-B8B4-9ADC23151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'DAF - Jefatura Financiera'!$A$13:$A$15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'DAF - Jefatura Financiera'!$B$13:$B$15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E-456D-955E-73B05FAF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Comercialización'!$B$11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01-4AE1-AF1E-6DFED3DDFC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01-4AE1-AF1E-6DFED3DDFC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01-4AE1-AF1E-6DFED3DDF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Comercialización'!$A$12:$A$14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Comercialización'!$B$12:$B$14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3-4D14-A789-AFC58DA3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Comunicación'!$B$13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D0-44D2-9283-B6E7CE2AB6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D0-44D2-9283-B6E7CE2AB6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D0-44D2-9283-B6E7CE2AB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Comunicación'!$A$14:$A$16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Comunicación'!$B$14:$B$16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9-4E05-BBE4-7EB35178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Desarrollo de Prod'!$B$12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0F-4F5C-A620-0B5F3822D9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0F-4F5C-A620-0B5F3822D9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0F-4F5C-A620-0B5F3822D9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Desarrollo de Prod'!$A$13:$A$15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Desarrollo de Prod'!$B$13:$B$15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A-4386-B376-F5F49CE0E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Promoción de Desti'!$B$13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4-413A-AF3E-C083B009DB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4-413A-AF3E-C083B009DB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E4-413A-AF3E-C083B009DB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Promoción de Desti'!$A$14:$A$16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Promoción de Desti'!$B$14:$B$16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7-4F16-880A-D10922171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Servicios para la '!$B$16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5-49BE-A1AE-3A217B257F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5-49BE-A1AE-3A217B257F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35-49BE-A1AE-3A217B257F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Servicios para la '!$A$17:$A$19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Servicios para la '!$B$17:$B$19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1-4050-A70A-6841585A3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'Dirección de Turismo de Negocio'!$B$14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D-4F3D-ABFD-12A0DCDDD8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AD-4F3D-ABFD-12A0DCDDD8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AD-4F3D-ABFD-12A0DCDDD8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'Dirección de Turismo de Negocio'!$A$15:$A$17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'Dirección de Turismo de Negocio'!$B$15:$B$17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9-4246-8F03-D630C95D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'DPEI - Estadística'!$B$11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8A-48F9-94E7-1EC155DC34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8A-48F9-94E7-1EC155DC34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A-48F9-94E7-1EC155DC3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'DPEI - Estadística'!$A$12:$A$14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'DPEI - Estadística'!$B$12:$B$14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1-4EA0-A5B4-BD0E03B8E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'DPEI - Jefatura de TICS'!$B$33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55-4AF8-A0CD-801D95FC0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5-4AF8-A0CD-801D95FC07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55-4AF8-A0CD-801D95FC07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'DPEI - Jefatura de TICS'!$A$34:$A$36</c:f>
              <c:strCache>
                <c:ptCount val="3"/>
                <c:pt idx="0">
                  <c:v>Con Retraso</c:v>
                </c:pt>
                <c:pt idx="1">
                  <c:v>En Progreso</c:v>
                </c:pt>
                <c:pt idx="2">
                  <c:v>Contratado</c:v>
                </c:pt>
              </c:strCache>
            </c:strRef>
          </c:cat>
          <c:val>
            <c:numRef>
              <c:f>'DPEI - Jefatura de TICS'!$B$34:$B$36</c:f>
              <c:numCache>
                <c:formatCode>General</c:formatCode>
                <c:ptCount val="3"/>
                <c:pt idx="0">
                  <c:v>6</c:v>
                </c:pt>
                <c:pt idx="1">
                  <c:v>17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5-4E8C-851F-4A4B66B7D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4</xdr:col>
      <xdr:colOff>0</xdr:colOff>
      <xdr:row>45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887AA0-8657-9C60-4845-B52C3752E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B0F7BD-F765-F70A-3585-01D65733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25611D-62F4-5B3F-9F67-38F1AB917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0</xdr:colOff>
      <xdr:row>62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FC51E-48BD-2C40-74D4-2816A48CF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7FB707A-9385-E8E2-A6F1-ADD6B1AF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295275</xdr:colOff>
      <xdr:row>11</xdr:row>
      <xdr:rowOff>171450</xdr:rowOff>
    </xdr:from>
    <xdr:to>
      <xdr:col>16</xdr:col>
      <xdr:colOff>295275</xdr:colOff>
      <xdr:row>19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C20DA9-C3CF-7B61-B687-22490405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4</xdr:col>
      <xdr:colOff>0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86D3A9-F926-CEEE-086C-72DF68AF7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5E49A3-3517-F711-D10D-11E58A090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5C5FC4-8F7C-7E1A-E927-927036345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B5848C-C8BE-DD2C-B61E-5EA73BD5B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0EAB4-0925-265A-63D2-3206F295A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F05CA7-E9CA-93FE-8BF5-42FAB1A92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5F9A81-F058-B3F8-0793-555A62C4F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59AC16-EEE8-0016-8CE8-DE41CCFCB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C9BCF0-A281-BAEA-8DBD-ED2A26F1F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183280-57F5-ECA3-C46E-D75732068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4</xdr:col>
      <xdr:colOff>0</xdr:colOff>
      <xdr:row>51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7B697F-5EA4-2700-15EC-0CD221323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E5FE-405E-4257-8CF6-7F987B6E9A31}">
  <dimension ref="A1:N68"/>
  <sheetViews>
    <sheetView topLeftCell="A14" workbookViewId="0">
      <selection activeCell="F15" sqref="F15"/>
    </sheetView>
  </sheetViews>
  <sheetFormatPr baseColWidth="10" defaultRowHeight="15" x14ac:dyDescent="0.25"/>
  <cols>
    <col min="1" max="1" width="32.7109375" customWidth="1"/>
    <col min="2" max="2" width="12.7109375" customWidth="1"/>
    <col min="3" max="3" width="18.140625" customWidth="1"/>
    <col min="4" max="6" width="13.5703125" customWidth="1"/>
    <col min="7" max="7" width="12.7109375" customWidth="1"/>
    <col min="8" max="8" width="3.5703125" customWidth="1"/>
    <col min="9" max="9" width="36.42578125" customWidth="1"/>
    <col min="10" max="11" width="14.5703125" customWidth="1"/>
  </cols>
  <sheetData>
    <row r="1" spans="1:14" ht="45" customHeight="1" x14ac:dyDescent="0.45">
      <c r="A1" s="39" t="s">
        <v>124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25">
      <c r="A2" s="40" t="s">
        <v>73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1:14" ht="30" customHeight="1" x14ac:dyDescent="0.3">
      <c r="A4" s="41" t="s">
        <v>125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6" spans="1:14" x14ac:dyDescent="0.25">
      <c r="A6" s="42" t="s">
        <v>74</v>
      </c>
      <c r="B6" s="42"/>
      <c r="C6" s="44" t="s">
        <v>75</v>
      </c>
      <c r="D6" s="44"/>
      <c r="E6" s="46" t="s">
        <v>122</v>
      </c>
      <c r="F6" s="46"/>
      <c r="G6" s="48" t="s">
        <v>76</v>
      </c>
      <c r="H6" s="48"/>
      <c r="I6" s="51" t="s">
        <v>77</v>
      </c>
      <c r="J6" s="51"/>
      <c r="K6" s="53" t="s">
        <v>78</v>
      </c>
      <c r="L6" s="53"/>
      <c r="M6" s="55" t="s">
        <v>79</v>
      </c>
      <c r="N6" s="55"/>
    </row>
    <row r="7" spans="1:14" ht="36.75" thickBot="1" x14ac:dyDescent="0.6">
      <c r="A7" s="43">
        <f>COUNTA('DAF - Jefatura Administrativa'!A2:A13)+COUNTA('DAF - Jefatura de Talento Human'!A2:A2)+COUNTA('DAF - Jefatura Financiera'!A2:A3)+COUNTA('Dirección de Comercialización'!A2:A2)+COUNTA('Dirección de Comunicación'!A2:A4)+COUNTA('Dirección de Desarrollo de Prod'!A2:A3)+COUNTA('Dirección de Promoción de Desti'!A2:A4)+COUNTA('Dirección de Servicios para la '!A2:A7)+COUNTA('Dirección de Turismo de Negocio'!A2:A5)+COUNTA('DPEI - Estadística'!A2:A2)+COUNTA('DPEI - Jefatura de TICS'!A2:A24)</f>
        <v>58</v>
      </c>
      <c r="B7" s="43"/>
      <c r="C7" s="45">
        <f>SUM('DAF - Jefatura Administrativa'!F2:F13,'DAF - Jefatura de Talento Human'!F2:F2,'DAF - Jefatura Financiera'!F2:F3,'Dirección de Comercialización'!F2:F2,'Dirección de Comunicación'!F2:F4,'Dirección de Desarrollo de Prod'!F2:F3,'Dirección de Promoción de Desti'!F2:F4,'Dirección de Servicios para la '!F2:F7,'Dirección de Turismo de Negocio'!F2:F5,'DPEI - Estadística'!F2:F2,'DPEI - Jefatura de TICS'!F2:F24)</f>
        <v>3980077.64</v>
      </c>
      <c r="D7" s="45"/>
      <c r="E7" s="47">
        <f>COUNTIF('DAF - Jefatura Administrativa'!D:D,"Pendiente")+COUNTIF('DAF - Jefatura de Talento Human'!D:D,"Pendiente")+COUNTIF('DAF - Jefatura Financiera'!D:D,"Pendiente")+COUNTIF('Dirección de Comercialización'!D:D,"Pendiente")+COUNTIF('Dirección de Comunicación'!D:D,"Pendiente")+COUNTIF('Dirección de Desarrollo de Prod'!D:D,"Pendiente")+COUNTIF('Dirección de Promoción de Desti'!D:D,"Pendiente")+COUNTIF('Dirección de Servicios para la '!D:D,"Pendiente")+COUNTIF('Dirección de Turismo de Negocio'!D:D,"Pendiente")+COUNTIF('DPEI - Estadística'!D:D,"Pendiente")+COUNTIF('DPEI - Jefatura de TICS'!D:D,"Pendiente")</f>
        <v>26</v>
      </c>
      <c r="F7" s="47"/>
      <c r="G7" s="50">
        <f>COUNTIF('DAF - Jefatura Administrativa'!D:D,"En progreso")+COUNTIF('DAF - Jefatura de Talento Human'!D:D,"En progreso")+COUNTIF('DAF - Jefatura Financiera'!D:D,"En progreso")+COUNTIF('Dirección de Comercialización'!D:D,"En progreso")+COUNTIF('Dirección de Comunicación'!D:D,"En progreso")+COUNTIF('Dirección de Desarrollo de Prod'!D:D,"En progreso")+COUNTIF('Dirección de Promoción de Desti'!D:D,"En progreso")+COUNTIF('Dirección de Servicios para la '!D:D,"En progreso")+COUNTIF('Dirección de Turismo de Negocio'!D:D,"En progreso")+COUNTIF('DPEI - Estadística'!D:D,"En progreso")+COUNTIF('DPEI - Jefatura de TICS'!D:D,"En progreso")</f>
        <v>24</v>
      </c>
      <c r="H7" s="50"/>
      <c r="I7" s="52">
        <f>COUNTIF('DAF - Jefatura Administrativa'!D:D,"Contratado")+COUNTIF('DAF - Jefatura de Talento Human'!D:D,"Contratado")+COUNTIF('DAF - Jefatura Financiera'!D:D,"Contratado")+COUNTIF('Dirección de Comercialización'!D:D,"Contratado")+COUNTIF('Dirección de Comunicación'!D:D,"Contratado")+COUNTIF('Dirección de Desarrollo de Prod'!D:D,"Contratado")+COUNTIF('Dirección de Promoción de Desti'!D:D,"Contratado")+COUNTIF('Dirección de Servicios para la '!D:D,"Contratado")+COUNTIF('Dirección de Turismo de Negocio'!D:D,"Contratado")+COUNTIF('DPEI - Estadística'!D:D,"Contratado")+COUNTIF('DPEI - Jefatura de TICS'!D:D,"Contratado")</f>
        <v>8</v>
      </c>
      <c r="J7" s="52"/>
      <c r="K7" s="54">
        <f>ROUND(AVERAGE('DAF - Jefatura Administrativa'!E2:E100,'DAF - Jefatura Financiera'!E2:E100,'Dirección de Comercialización'!E2:E100,'Dirección de Comunicación'!E2:E100,'Dirección de Promoción de Desti'!E2:E100,'Dirección de Servicios para la '!E2:E100,'Dirección de Turismo de Negocio'!E2:E100,'DPEI - Jefatura de TICS'!E2:E100),0)</f>
        <v>21</v>
      </c>
      <c r="L7" s="54"/>
      <c r="M7" s="56">
        <f>I7/A7</f>
        <v>0.13793103448275862</v>
      </c>
      <c r="N7" s="56"/>
    </row>
    <row r="8" spans="1:14" ht="15.75" thickTop="1" x14ac:dyDescent="0.25"/>
    <row r="10" spans="1:14" ht="15.75" x14ac:dyDescent="0.25">
      <c r="A10" s="57" t="s">
        <v>80</v>
      </c>
      <c r="B10" s="57"/>
      <c r="C10" s="57"/>
      <c r="D10" s="57"/>
      <c r="I10" s="57" t="s">
        <v>101</v>
      </c>
      <c r="J10" s="57"/>
      <c r="K10" s="57"/>
      <c r="L10" s="57"/>
    </row>
    <row r="11" spans="1:14" x14ac:dyDescent="0.25">
      <c r="A11" s="9" t="s">
        <v>3</v>
      </c>
      <c r="B11" s="9" t="s">
        <v>81</v>
      </c>
      <c r="C11" s="9" t="s">
        <v>82</v>
      </c>
      <c r="I11" s="13" t="s">
        <v>102</v>
      </c>
      <c r="J11" s="13" t="s">
        <v>81</v>
      </c>
      <c r="K11" s="13" t="s">
        <v>5</v>
      </c>
    </row>
    <row r="12" spans="1:14" x14ac:dyDescent="0.25">
      <c r="A12" s="10" t="s">
        <v>123</v>
      </c>
      <c r="B12" s="10">
        <f>E7</f>
        <v>26</v>
      </c>
      <c r="C12" s="11">
        <f>B12/A7</f>
        <v>0.44827586206896552</v>
      </c>
      <c r="I12" s="10" t="s">
        <v>7</v>
      </c>
      <c r="J12" s="10">
        <f>COUNTIF('DAF - Jefatura Administrativa'!B:B,"PAC")+COUNTIF('DAF - Jefatura de Talento Human'!B:B,"PAC")+COUNTIF('DAF - Jefatura Financiera'!B:B,"PAC")+COUNTIF('Dirección de Comercialización'!B:B,"PAC")+COUNTIF('Dirección de Comunicación'!B:B,"PAC")+COUNTIF('Dirección de Desarrollo de Prod'!B:B,"PAC")+COUNTIF('Dirección de Promoción de Desti'!B:B,"PAC")+COUNTIF('Dirección de Servicios para la '!B:B,"PAC")+COUNTIF('Dirección de Turismo de Negocio'!B:B,"PAC")+COUNTIF('DPEI - Estadística'!B:B,"PAC")+COUNTIF('DPEI - Jefatura de TICS'!B:B,"PAC")</f>
        <v>38</v>
      </c>
      <c r="K12" s="12">
        <f>SUMIF('DAF - Jefatura Administrativa'!B:B,"PAC",'DAF - Jefatura Administrativa'!F:F)+SUMIF('DAF - Jefatura de Talento Human'!B:B,"PAC",'DAF - Jefatura de Talento Human'!F:F)+SUMIF('DAF - Jefatura Financiera'!B:B,"PAC",'DAF - Jefatura Financiera'!F:F)+SUMIF('Dirección de Comercialización'!B:B,"PAC",'Dirección de Comercialización'!F:F)+SUMIF('Dirección de Comunicación'!B:B,"PAC",'Dirección de Comunicación'!F:F)+SUMIF('Dirección de Desarrollo de Prod'!B:B,"PAC",'Dirección de Desarrollo de Prod'!F:F)+SUMIF('Dirección de Promoción de Desti'!B:B,"PAC",'Dirección de Promoción de Desti'!F:F)+SUMIF('Dirección de Servicios para la '!B:B,"PAC",'Dirección de Servicios para la '!F:F)+SUMIF('Dirección de Turismo de Negocio'!B:B,"PAC",'Dirección de Turismo de Negocio'!F:F)+SUMIF('DPEI - Estadística'!B:B,"PAC",'DPEI - Estadística'!F:F)+SUMIF('DPEI - Jefatura de TICS'!B:B,"PAC",'DPEI - Jefatura de TICS'!F:F)</f>
        <v>2765959.71</v>
      </c>
    </row>
    <row r="13" spans="1:14" x14ac:dyDescent="0.25">
      <c r="A13" s="10" t="s">
        <v>86</v>
      </c>
      <c r="B13" s="10">
        <f>G7</f>
        <v>24</v>
      </c>
      <c r="C13" s="11">
        <f>B13/A7</f>
        <v>0.41379310344827586</v>
      </c>
      <c r="I13" s="10" t="s">
        <v>20</v>
      </c>
      <c r="J13" s="10">
        <f>A7-J12</f>
        <v>20</v>
      </c>
      <c r="K13" s="12">
        <f>C7-K12</f>
        <v>1214117.9300000002</v>
      </c>
    </row>
    <row r="14" spans="1:14" x14ac:dyDescent="0.25">
      <c r="A14" s="10" t="s">
        <v>18</v>
      </c>
      <c r="B14" s="10">
        <f>I7</f>
        <v>8</v>
      </c>
      <c r="C14" s="11">
        <f>B14/A7</f>
        <v>0.13793103448275862</v>
      </c>
      <c r="I14" t="s">
        <v>127</v>
      </c>
      <c r="J14">
        <f>SUM(J12:J13)</f>
        <v>58</v>
      </c>
      <c r="K14" s="33">
        <f>SUM(K12:K13)</f>
        <v>3980077.64</v>
      </c>
    </row>
    <row r="15" spans="1:14" x14ac:dyDescent="0.25">
      <c r="B15">
        <v>58</v>
      </c>
      <c r="C15" s="34">
        <v>1</v>
      </c>
    </row>
    <row r="17" spans="1:14" ht="15.75" x14ac:dyDescent="0.25">
      <c r="A17" s="57" t="s">
        <v>83</v>
      </c>
      <c r="B17" s="57"/>
      <c r="C17" s="57"/>
      <c r="D17" s="57"/>
      <c r="E17" s="57"/>
      <c r="F17" s="57"/>
      <c r="G17" s="57"/>
      <c r="I17" s="57" t="s">
        <v>103</v>
      </c>
      <c r="J17" s="57"/>
      <c r="K17" s="57"/>
      <c r="L17" s="57"/>
    </row>
    <row r="18" spans="1:14" x14ac:dyDescent="0.25">
      <c r="A18" s="13" t="s">
        <v>84</v>
      </c>
      <c r="B18" s="13" t="s">
        <v>85</v>
      </c>
      <c r="C18" s="13" t="s">
        <v>5</v>
      </c>
      <c r="D18" s="13" t="s">
        <v>123</v>
      </c>
      <c r="E18" s="13" t="s">
        <v>86</v>
      </c>
      <c r="F18" s="13" t="s">
        <v>87</v>
      </c>
      <c r="G18" s="13" t="s">
        <v>88</v>
      </c>
      <c r="I18" s="13" t="s">
        <v>2</v>
      </c>
      <c r="J18" s="13" t="s">
        <v>81</v>
      </c>
      <c r="K18" s="13" t="s">
        <v>5</v>
      </c>
    </row>
    <row r="19" spans="1:14" x14ac:dyDescent="0.25">
      <c r="A19" s="10" t="s">
        <v>89</v>
      </c>
      <c r="B19" s="10">
        <f>COUNTA('DAF - Jefatura Administrativa'!A2:A13)</f>
        <v>12</v>
      </c>
      <c r="C19" s="12">
        <f>SUM('DAF - Jefatura Administrativa'!F2:F13)</f>
        <v>169525</v>
      </c>
      <c r="D19" s="10">
        <f>COUNTIF('DAF - Jefatura Administrativa'!D:D,"Pendiente")</f>
        <v>8</v>
      </c>
      <c r="E19" s="10">
        <f>COUNTIF('DAF - Jefatura Administrativa'!D:D,"En progreso")</f>
        <v>1</v>
      </c>
      <c r="F19" s="10">
        <f>COUNTIF('DAF - Jefatura Administrativa'!D:D,"Contratado")</f>
        <v>3</v>
      </c>
      <c r="G19" s="14">
        <f t="shared" ref="G19:G30" si="0">IF(B19&gt;0,F19/B19,0)</f>
        <v>0.25</v>
      </c>
      <c r="I19" s="10" t="s">
        <v>104</v>
      </c>
      <c r="J19" s="10">
        <f>COUNTIF('DAF - Jefatura Administrativa'!C:C,1)+COUNTIF('DAF - Jefatura de Talento Human'!C:C,1)+COUNTIF('DAF - Jefatura Financiera'!C:C,1)+COUNTIF('Dirección de Comercialización'!C:C,1)+COUNTIF('Dirección de Comunicación'!C:C,1)+COUNTIF('Dirección de Desarrollo de Prod'!C:C,1)+COUNTIF('Dirección de Promoción de Desti'!C:C,1)+COUNTIF('Dirección de Servicios para la '!C:C,1)+COUNTIF('Dirección de Turismo de Negocio'!C:C,1)+COUNTIF('DPEI - Estadística'!C:C,1)+COUNTIF('DPEI - Jefatura de TICS'!C:C,1)</f>
        <v>23</v>
      </c>
      <c r="K19" s="12">
        <f>SUMIF('DAF - Jefatura Administrativa'!C:C,1,'DAF - Jefatura Administrativa'!F:F)+SUMIF('DAF - Jefatura de Talento Human'!C:C,1,'DAF - Jefatura de Talento Human'!F:F)+SUMIF('DAF - Jefatura Financiera'!C:C,1,'DAF - Jefatura Financiera'!F:F)+SUMIF('Dirección de Comercialización'!C:C,1,'Dirección de Comercialización'!F:F)+SUMIF('Dirección de Comunicación'!C:C,1,'Dirección de Comunicación'!F:F)+SUMIF('Dirección de Desarrollo de Prod'!C:C,1,'Dirección de Desarrollo de Prod'!F:F)+SUMIF('Dirección de Promoción de Desti'!C:C,1,'Dirección de Promoción de Desti'!F:F)+SUMIF('Dirección de Servicios para la '!C:C,1,'Dirección de Servicios para la '!F:F)+SUMIF('Dirección de Turismo de Negocio'!C:C,1,'Dirección de Turismo de Negocio'!F:F)+SUMIF('DPEI - Estadística'!C:C,1,'DPEI - Estadística'!F:F)+SUMIF('DPEI - Jefatura de TICS'!C:C,1,'DPEI - Jefatura de TICS'!F:F)</f>
        <v>3261494.99</v>
      </c>
    </row>
    <row r="20" spans="1:14" x14ac:dyDescent="0.25">
      <c r="A20" s="10" t="s">
        <v>90</v>
      </c>
      <c r="B20" s="10">
        <f>COUNTA('DAF - Jefatura de Talento Human'!A2:A2)</f>
        <v>1</v>
      </c>
      <c r="C20" s="12">
        <f>SUM('DAF - Jefatura de Talento Human'!F2:F2)</f>
        <v>676</v>
      </c>
      <c r="D20" s="10">
        <f>COUNTIF('DAF - Jefatura de Talento Human'!D:D,"Pendiente")</f>
        <v>0</v>
      </c>
      <c r="E20" s="10">
        <f>COUNTIF('DAF - Jefatura de Talento Human'!D:D,"En progreso")</f>
        <v>1</v>
      </c>
      <c r="F20" s="10">
        <f>COUNTIF('DAF - Jefatura de Talento Human'!D:D,"Contratado")</f>
        <v>0</v>
      </c>
      <c r="G20" s="14">
        <f t="shared" si="0"/>
        <v>0</v>
      </c>
      <c r="I20" s="10" t="s">
        <v>105</v>
      </c>
      <c r="J20" s="10">
        <f>COUNTIF('DAF - Jefatura Administrativa'!C:C,2)+COUNTIF('DAF - Jefatura de Talento Human'!C:C,2)+COUNTIF('DAF - Jefatura Financiera'!C:C,2)+COUNTIF('Dirección de Comercialización'!C:C,2)+COUNTIF('Dirección de Comunicación'!C:C,2)+COUNTIF('Dirección de Desarrollo de Prod'!C:C,2)+COUNTIF('Dirección de Promoción de Desti'!C:C,2)+COUNTIF('Dirección de Servicios para la '!C:C,2)+COUNTIF('Dirección de Turismo de Negocio'!C:C,2)+COUNTIF('DPEI - Estadística'!C:C,2)+COUNTIF('DPEI - Jefatura de TICS'!C:C,2)</f>
        <v>27</v>
      </c>
      <c r="K20" s="12">
        <f>SUMIF('DAF - Jefatura Administrativa'!C:C,2,'DAF - Jefatura Administrativa'!F:F)+SUMIF('DAF - Jefatura de Talento Human'!C:C,2,'DAF - Jefatura de Talento Human'!F:F)+SUMIF('DAF - Jefatura Financiera'!C:C,2,'DAF - Jefatura Financiera'!F:F)+SUMIF('Dirección de Comercialización'!C:C,2,'Dirección de Comercialización'!F:F)+SUMIF('Dirección de Comunicación'!C:C,2,'Dirección de Comunicación'!F:F)+SUMIF('Dirección de Desarrollo de Prod'!C:C,2,'Dirección de Desarrollo de Prod'!F:F)+SUMIF('Dirección de Promoción de Desti'!C:C,2,'Dirección de Promoción de Desti'!F:F)+SUMIF('Dirección de Servicios para la '!C:C,2,'Dirección de Servicios para la '!F:F)+SUMIF('Dirección de Turismo de Negocio'!C:C,2,'Dirección de Turismo de Negocio'!F:F)+SUMIF('DPEI - Estadística'!C:C,2,'DPEI - Estadística'!F:F)+SUMIF('DPEI - Jefatura de TICS'!C:C,2,'DPEI - Jefatura de TICS'!F:F)</f>
        <v>2281581.1800000002</v>
      </c>
    </row>
    <row r="21" spans="1:14" x14ac:dyDescent="0.25">
      <c r="A21" s="10" t="s">
        <v>91</v>
      </c>
      <c r="B21" s="10">
        <f>COUNTA('DAF - Jefatura Financiera'!A2:A3)</f>
        <v>2</v>
      </c>
      <c r="C21" s="12">
        <f>SUM('DAF - Jefatura Financiera'!F2:F3)</f>
        <v>6600</v>
      </c>
      <c r="D21" s="10">
        <f>COUNTIF('DAF - Jefatura Financiera'!D:D,"Pendiente")</f>
        <v>2</v>
      </c>
      <c r="E21" s="10">
        <f>COUNTIF('DAF - Jefatura Financiera'!D:D,"En progreso")</f>
        <v>0</v>
      </c>
      <c r="F21" s="10">
        <f>COUNTIF('DAF - Jefatura Financiera'!D:D,"Contratado")</f>
        <v>0</v>
      </c>
      <c r="G21" s="14">
        <f t="shared" si="0"/>
        <v>0</v>
      </c>
      <c r="I21" s="10" t="s">
        <v>106</v>
      </c>
      <c r="J21" s="10">
        <f>COUNTIF('DAF - Jefatura Administrativa'!C:C,3)+COUNTIF('DAF - Jefatura de Talento Human'!C:C,3)+COUNTIF('DAF - Jefatura Financiera'!C:C,3)+COUNTIF('Dirección de Comercialización'!C:C,3)+COUNTIF('Dirección de Comunicación'!C:C,3)+COUNTIF('Dirección de Desarrollo de Prod'!C:C,3)+COUNTIF('Dirección de Promoción de Desti'!C:C,3)+COUNTIF('Dirección de Servicios para la '!C:C,3)+COUNTIF('Dirección de Turismo de Negocio'!C:C,3)+COUNTIF('DPEI - Estadística'!C:C,3)+COUNTIF('DPEI - Jefatura de TICS'!C:C,3)</f>
        <v>13</v>
      </c>
      <c r="K21" s="12">
        <f>SUMIF('DAF - Jefatura Administrativa'!C:C,3,'DAF - Jefatura Administrativa'!F:F)+SUMIF('DAF - Jefatura de Talento Human'!C:C,3,'DAF - Jefatura de Talento Human'!F:F)+SUMIF('DAF - Jefatura Financiera'!C:C,3,'DAF - Jefatura Financiera'!F:F)+SUMIF('Dirección de Comercialización'!C:C,3,'Dirección de Comercialización'!F:F)+SUMIF('Dirección de Comunicación'!C:C,3,'Dirección de Comunicación'!F:F)+SUMIF('Dirección de Desarrollo de Prod'!C:C,3,'Dirección de Desarrollo de Prod'!F:F)+SUMIF('Dirección de Promoción de Desti'!C:C,3,'Dirección de Promoción de Desti'!F:F)+SUMIF('Dirección de Servicios para la '!C:C,3,'Dirección de Servicios para la '!F:F)+SUMIF('Dirección de Turismo de Negocio'!C:C,3,'Dirección de Turismo de Negocio'!F:F)+SUMIF('DPEI - Estadística'!C:C,3,'DPEI - Estadística'!F:F)+SUMIF('DPEI - Jefatura de TICS'!C:C,3,'DPEI - Jefatura de TICS'!F:F)</f>
        <v>283671.75</v>
      </c>
    </row>
    <row r="22" spans="1:14" x14ac:dyDescent="0.25">
      <c r="A22" s="10" t="s">
        <v>92</v>
      </c>
      <c r="B22" s="10">
        <f>COUNTA('Dirección de Comercialización'!A2:A2)</f>
        <v>1</v>
      </c>
      <c r="C22" s="12">
        <f>SUM('Dirección de Comercialización'!F2:F2)</f>
        <v>6600</v>
      </c>
      <c r="D22" s="10">
        <f>COUNTIF('Dirección de Comercialización'!D:D,"Pendiente")</f>
        <v>1</v>
      </c>
      <c r="E22" s="10">
        <f>COUNTIF('Dirección de Comercialización'!D:D,"En progreso")</f>
        <v>0</v>
      </c>
      <c r="F22" s="10">
        <f>COUNTIF('Dirección de Comercialización'!D:D,"Contratado")</f>
        <v>0</v>
      </c>
      <c r="G22" s="14">
        <f t="shared" si="0"/>
        <v>0</v>
      </c>
    </row>
    <row r="23" spans="1:14" x14ac:dyDescent="0.25">
      <c r="A23" s="10" t="s">
        <v>93</v>
      </c>
      <c r="B23" s="10">
        <f>COUNTA('Dirección de Comunicación'!A2:A4)</f>
        <v>3</v>
      </c>
      <c r="C23" s="12">
        <f>SUM('Dirección de Comunicación'!F2:F4)</f>
        <v>201500</v>
      </c>
      <c r="D23" s="10">
        <f>COUNTIF('Dirección de Comunicación'!D:D,"Pendiente")</f>
        <v>2</v>
      </c>
      <c r="E23" s="10">
        <f>COUNTIF('Dirección de Comunicación'!D:D,"En progreso")</f>
        <v>0</v>
      </c>
      <c r="F23" s="10">
        <f>COUNTIF('Dirección de Comunicación'!D:D,"Contratado")</f>
        <v>1</v>
      </c>
      <c r="G23" s="14">
        <f t="shared" si="0"/>
        <v>0.33333333333333331</v>
      </c>
    </row>
    <row r="24" spans="1:14" ht="15.75" x14ac:dyDescent="0.25">
      <c r="A24" s="10" t="s">
        <v>94</v>
      </c>
      <c r="B24" s="10">
        <f>COUNTA('Dirección de Desarrollo de Prod'!A2:A3)</f>
        <v>2</v>
      </c>
      <c r="C24" s="12">
        <f>SUM('Dirección de Desarrollo de Prod'!F2:F3)</f>
        <v>331612.45999999996</v>
      </c>
      <c r="D24" s="10">
        <f>COUNTIF('Dirección de Desarrollo de Prod'!D:D,"Pendiente")</f>
        <v>0</v>
      </c>
      <c r="E24" s="10">
        <f>COUNTIF('Dirección de Desarrollo de Prod'!D:D,"En progreso")</f>
        <v>1</v>
      </c>
      <c r="F24" s="10">
        <f>COUNTIF('Dirección de Desarrollo de Prod'!D:D,"Contratado")</f>
        <v>1</v>
      </c>
      <c r="G24" s="14">
        <f t="shared" si="0"/>
        <v>0.5</v>
      </c>
      <c r="I24" s="58" t="s">
        <v>107</v>
      </c>
      <c r="J24" s="58"/>
      <c r="K24" s="58"/>
      <c r="L24" s="58"/>
      <c r="M24" s="58"/>
      <c r="N24" s="58"/>
    </row>
    <row r="25" spans="1:14" x14ac:dyDescent="0.25">
      <c r="A25" s="10" t="s">
        <v>95</v>
      </c>
      <c r="B25" s="10">
        <f>COUNTA('Dirección de Promoción de Desti'!A2:A4)</f>
        <v>3</v>
      </c>
      <c r="C25" s="12">
        <f>SUM('Dirección de Promoción de Desti'!F2:F4)</f>
        <v>1974791.99</v>
      </c>
      <c r="D25" s="10">
        <f>COUNTIF('Dirección de Promoción de Desti'!D:D,"Pendiente")</f>
        <v>2</v>
      </c>
      <c r="E25" s="10">
        <f>COUNTIF('Dirección de Promoción de Desti'!D:D,"En progreso")</f>
        <v>0</v>
      </c>
      <c r="F25" s="10">
        <f>COUNTIF('Dirección de Promoción de Desti'!D:D,"Contratado")</f>
        <v>1</v>
      </c>
      <c r="G25" s="14">
        <f t="shared" si="0"/>
        <v>0.33333333333333331</v>
      </c>
      <c r="I25" s="19" t="s">
        <v>108</v>
      </c>
      <c r="J25" s="19" t="s">
        <v>84</v>
      </c>
      <c r="K25" s="19" t="s">
        <v>109</v>
      </c>
    </row>
    <row r="26" spans="1:14" x14ac:dyDescent="0.25">
      <c r="A26" s="10" t="s">
        <v>96</v>
      </c>
      <c r="B26" s="10">
        <f>COUNTA('Dirección de Servicios para la '!A2:A7)</f>
        <v>6</v>
      </c>
      <c r="C26" s="12">
        <f>SUM('Dirección de Servicios para la '!F2:F7)</f>
        <v>185195.75</v>
      </c>
      <c r="D26" s="10">
        <f>COUNTIF('Dirección de Servicios para la '!D:D,"Pendiente")</f>
        <v>3</v>
      </c>
      <c r="E26" s="10">
        <f>COUNTIF('Dirección de Servicios para la '!D:D,"En progreso")</f>
        <v>3</v>
      </c>
      <c r="F26" s="10">
        <f>COUNTIF('Dirección de Servicios para la '!D:D,"Contratado")</f>
        <v>0</v>
      </c>
      <c r="G26" s="14">
        <f t="shared" si="0"/>
        <v>0</v>
      </c>
      <c r="I26" s="10" t="s">
        <v>110</v>
      </c>
      <c r="J26" s="10" t="s">
        <v>111</v>
      </c>
      <c r="K26" s="20">
        <v>70</v>
      </c>
    </row>
    <row r="27" spans="1:14" x14ac:dyDescent="0.25">
      <c r="A27" s="10" t="s">
        <v>97</v>
      </c>
      <c r="B27" s="10">
        <f>COUNTA('Dirección de Turismo de Negocio'!A2:A5)</f>
        <v>4</v>
      </c>
      <c r="C27" s="12">
        <f>SUM('Dirección de Turismo de Negocio'!F2:F5)</f>
        <v>781770</v>
      </c>
      <c r="D27" s="10">
        <f>COUNTIF('Dirección de Turismo de Negocio'!D:D,"Pendiente")</f>
        <v>2</v>
      </c>
      <c r="E27" s="10">
        <f>COUNTIF('Dirección de Turismo de Negocio'!D:D,"En progreso")</f>
        <v>0</v>
      </c>
      <c r="F27" s="10">
        <f>COUNTIF('Dirección de Turismo de Negocio'!D:D,"Contratado")</f>
        <v>2</v>
      </c>
      <c r="G27" s="14">
        <f t="shared" si="0"/>
        <v>0.5</v>
      </c>
      <c r="I27" s="10" t="s">
        <v>45</v>
      </c>
      <c r="J27" s="10" t="s">
        <v>112</v>
      </c>
      <c r="K27" s="20">
        <v>60</v>
      </c>
    </row>
    <row r="28" spans="1:14" x14ac:dyDescent="0.25">
      <c r="A28" s="10" t="s">
        <v>98</v>
      </c>
      <c r="B28" s="10">
        <f>COUNTA('DPEI - Estadística'!A2:A2)</f>
        <v>1</v>
      </c>
      <c r="C28" s="12">
        <f>SUM('DPEI - Estadística'!F2:F2)</f>
        <v>39246.51</v>
      </c>
      <c r="D28" s="10">
        <f>COUNTIF('DPEI - Estadística'!D:D,"Pendiente")</f>
        <v>0</v>
      </c>
      <c r="E28" s="10">
        <f>COUNTIF('DPEI - Estadística'!D:D,"En progreso")</f>
        <v>1</v>
      </c>
      <c r="F28" s="10">
        <f>COUNTIF('DPEI - Estadística'!D:D,"Contratado")</f>
        <v>0</v>
      </c>
      <c r="G28" s="14">
        <f t="shared" si="0"/>
        <v>0</v>
      </c>
      <c r="I28" s="10" t="s">
        <v>57</v>
      </c>
      <c r="J28" s="10" t="s">
        <v>111</v>
      </c>
      <c r="K28" s="20">
        <v>60</v>
      </c>
    </row>
    <row r="29" spans="1:14" x14ac:dyDescent="0.25">
      <c r="A29" s="10" t="s">
        <v>99</v>
      </c>
      <c r="B29" s="10">
        <f>COUNTA('DPEI - Jefatura de TICS'!A2:A24)</f>
        <v>23</v>
      </c>
      <c r="C29" s="12">
        <f>SUM('DPEI - Jefatura de TICS'!F2:F24)</f>
        <v>282559.93</v>
      </c>
      <c r="D29" s="10">
        <f>COUNTIF('DPEI - Jefatura de TICS'!D:D,"Pendiente")</f>
        <v>6</v>
      </c>
      <c r="E29" s="10">
        <f>COUNTIF('DPEI - Jefatura de TICS'!D:D,"En progreso")</f>
        <v>17</v>
      </c>
      <c r="F29" s="10">
        <f>COUNTIF('DPEI - Jefatura de TICS'!D:D,"Contratado")</f>
        <v>0</v>
      </c>
      <c r="G29" s="14">
        <f t="shared" si="0"/>
        <v>0</v>
      </c>
      <c r="I29" s="10" t="s">
        <v>113</v>
      </c>
      <c r="J29" s="10" t="s">
        <v>114</v>
      </c>
      <c r="K29" s="10">
        <v>57</v>
      </c>
    </row>
    <row r="30" spans="1:14" x14ac:dyDescent="0.25">
      <c r="A30" s="15" t="s">
        <v>100</v>
      </c>
      <c r="B30" s="16">
        <f>SUM(B19:B29)</f>
        <v>58</v>
      </c>
      <c r="C30" s="17">
        <f>SUM(C19:C29)</f>
        <v>3980077.64</v>
      </c>
      <c r="D30" s="16">
        <f>SUM(D19:D29)</f>
        <v>26</v>
      </c>
      <c r="E30" s="16">
        <f>SUM(E19:E29)</f>
        <v>24</v>
      </c>
      <c r="F30" s="16">
        <f>SUM(F19:F29)</f>
        <v>8</v>
      </c>
      <c r="G30" s="18">
        <f t="shared" si="0"/>
        <v>0.13793103448275862</v>
      </c>
      <c r="I30" s="10" t="s">
        <v>51</v>
      </c>
      <c r="J30" s="10" t="s">
        <v>111</v>
      </c>
      <c r="K30" s="10">
        <v>50</v>
      </c>
    </row>
    <row r="64" spans="1:14" ht="15.75" x14ac:dyDescent="0.25">
      <c r="A64" s="49" t="s">
        <v>117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spans="1:1" x14ac:dyDescent="0.25">
      <c r="A65" s="27" t="s">
        <v>118</v>
      </c>
    </row>
    <row r="66" spans="1:1" x14ac:dyDescent="0.25">
      <c r="A66" s="27" t="s">
        <v>119</v>
      </c>
    </row>
    <row r="67" spans="1:1" x14ac:dyDescent="0.25">
      <c r="A67" s="27" t="s">
        <v>120</v>
      </c>
    </row>
    <row r="68" spans="1:1" x14ac:dyDescent="0.25">
      <c r="A68" s="27" t="s">
        <v>121</v>
      </c>
    </row>
  </sheetData>
  <mergeCells count="23">
    <mergeCell ref="A64:N64"/>
    <mergeCell ref="G7:H7"/>
    <mergeCell ref="I6:J6"/>
    <mergeCell ref="I7:J7"/>
    <mergeCell ref="K6:L6"/>
    <mergeCell ref="K7:L7"/>
    <mergeCell ref="M6:N6"/>
    <mergeCell ref="M7:N7"/>
    <mergeCell ref="A10:D10"/>
    <mergeCell ref="A17:G17"/>
    <mergeCell ref="I10:L10"/>
    <mergeCell ref="I17:L17"/>
    <mergeCell ref="I24:N24"/>
    <mergeCell ref="A1:N1"/>
    <mergeCell ref="A2:N2"/>
    <mergeCell ref="A4:N4"/>
    <mergeCell ref="A6:B6"/>
    <mergeCell ref="A7:B7"/>
    <mergeCell ref="C6:D6"/>
    <mergeCell ref="C7:D7"/>
    <mergeCell ref="E6:F6"/>
    <mergeCell ref="E7:F7"/>
    <mergeCell ref="G6:H6"/>
  </mergeCells>
  <conditionalFormatting sqref="C19:C29"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{FA1F6EF0-6AC5-41F7-A26A-9C3FCECA4889}</x14:id>
        </ext>
      </extLst>
    </cfRule>
  </conditionalFormatting>
  <conditionalFormatting sqref="G19:G29">
    <cfRule type="cellIs" dxfId="2" priority="1" operator="between">
      <formula>0</formula>
      <formula>0.33</formula>
    </cfRule>
    <cfRule type="cellIs" dxfId="1" priority="2" operator="between">
      <formula>0.33</formula>
      <formula>0.66</formula>
    </cfRule>
    <cfRule type="cellIs" dxfId="0" priority="3" operator="between">
      <formula>0.66</formula>
      <formula>1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1F6EF0-6AC5-41F7-A26A-9C3FCECA4889}">
            <x14:dataBar minLength="0" maxLength="100" border="1" direction="leftToRight" negativeBarColorSameAsPositive="1" axisPosition="none">
              <x14:cfvo type="min"/>
              <x14:cfvo type="max"/>
              <x14:borderColor rgb="FF70AD47"/>
            </x14:dataBar>
          </x14:cfRule>
          <xm:sqref>C19:C29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F19" sqref="F19"/>
    </sheetView>
  </sheetViews>
  <sheetFormatPr baseColWidth="10" defaultColWidth="8.7109375" defaultRowHeight="15" x14ac:dyDescent="0.25"/>
  <cols>
    <col min="1" max="1" width="91.1406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1.57031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25</v>
      </c>
      <c r="F2" s="1">
        <v>18812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 t="s">
        <v>13</v>
      </c>
      <c r="F3" s="1">
        <v>10000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42</v>
      </c>
      <c r="F4" s="1">
        <v>39850</v>
      </c>
    </row>
    <row r="5" spans="1:6" x14ac:dyDescent="0.25">
      <c r="A5" t="s">
        <v>16</v>
      </c>
      <c r="B5" t="s">
        <v>17</v>
      </c>
      <c r="C5" t="s">
        <v>15</v>
      </c>
      <c r="D5" t="s">
        <v>18</v>
      </c>
      <c r="E5" t="s">
        <v>13</v>
      </c>
      <c r="F5" s="1">
        <v>9500</v>
      </c>
    </row>
    <row r="6" spans="1:6" x14ac:dyDescent="0.25">
      <c r="A6" t="s">
        <v>16</v>
      </c>
      <c r="B6" t="s">
        <v>17</v>
      </c>
      <c r="C6" t="s">
        <v>15</v>
      </c>
      <c r="D6" t="s">
        <v>18</v>
      </c>
      <c r="E6" t="s">
        <v>13</v>
      </c>
      <c r="F6" s="1">
        <v>500</v>
      </c>
    </row>
    <row r="7" spans="1:6" x14ac:dyDescent="0.25">
      <c r="A7" t="s">
        <v>19</v>
      </c>
      <c r="B7" t="s">
        <v>20</v>
      </c>
      <c r="C7" t="s">
        <v>15</v>
      </c>
      <c r="D7" t="s">
        <v>18</v>
      </c>
      <c r="E7" t="s">
        <v>13</v>
      </c>
      <c r="F7" s="1">
        <v>1600</v>
      </c>
    </row>
    <row r="8" spans="1:6" x14ac:dyDescent="0.25">
      <c r="A8" t="s">
        <v>21</v>
      </c>
      <c r="B8" t="s">
        <v>20</v>
      </c>
      <c r="C8" t="s">
        <v>15</v>
      </c>
      <c r="D8" t="s">
        <v>9</v>
      </c>
      <c r="E8">
        <v>29</v>
      </c>
      <c r="F8" s="1">
        <v>1000</v>
      </c>
    </row>
    <row r="9" spans="1:6" x14ac:dyDescent="0.25">
      <c r="A9" t="s">
        <v>22</v>
      </c>
      <c r="B9" t="s">
        <v>7</v>
      </c>
      <c r="C9" t="s">
        <v>15</v>
      </c>
      <c r="D9" t="s">
        <v>9</v>
      </c>
      <c r="E9">
        <v>49</v>
      </c>
      <c r="F9" s="1">
        <v>10000</v>
      </c>
    </row>
    <row r="10" spans="1:6" x14ac:dyDescent="0.25">
      <c r="A10" t="s">
        <v>23</v>
      </c>
      <c r="B10" t="s">
        <v>7</v>
      </c>
      <c r="C10" t="s">
        <v>8</v>
      </c>
      <c r="D10" t="s">
        <v>9</v>
      </c>
      <c r="E10">
        <v>29</v>
      </c>
      <c r="F10" s="1">
        <v>0</v>
      </c>
    </row>
    <row r="11" spans="1:6" x14ac:dyDescent="0.25">
      <c r="A11" t="s">
        <v>24</v>
      </c>
      <c r="B11" t="s">
        <v>20</v>
      </c>
      <c r="C11" t="s">
        <v>8</v>
      </c>
      <c r="D11" t="s">
        <v>9</v>
      </c>
      <c r="E11">
        <v>27</v>
      </c>
      <c r="F11" s="1">
        <v>1000</v>
      </c>
    </row>
    <row r="12" spans="1:6" x14ac:dyDescent="0.25">
      <c r="A12" t="s">
        <v>25</v>
      </c>
      <c r="B12" t="s">
        <v>20</v>
      </c>
      <c r="C12" t="s">
        <v>15</v>
      </c>
      <c r="D12" t="s">
        <v>9</v>
      </c>
      <c r="E12">
        <v>29</v>
      </c>
      <c r="F12" s="1">
        <v>283</v>
      </c>
    </row>
    <row r="13" spans="1:6" x14ac:dyDescent="0.25">
      <c r="A13" t="s">
        <v>26</v>
      </c>
      <c r="B13" t="s">
        <v>7</v>
      </c>
      <c r="C13" t="s">
        <v>8</v>
      </c>
      <c r="D13" t="s">
        <v>9</v>
      </c>
      <c r="E13">
        <v>29</v>
      </c>
      <c r="F13" s="1">
        <v>76980</v>
      </c>
    </row>
    <row r="16" spans="1:6" ht="18.75" x14ac:dyDescent="0.3">
      <c r="A16" s="37" t="s">
        <v>115</v>
      </c>
      <c r="B16" s="37"/>
      <c r="C16" s="37"/>
      <c r="D16" s="37"/>
      <c r="E16" s="37"/>
      <c r="F16" s="37"/>
    </row>
    <row r="18" spans="1:6" x14ac:dyDescent="0.25">
      <c r="A18" s="3" t="s">
        <v>100</v>
      </c>
      <c r="B18" s="4" t="s">
        <v>116</v>
      </c>
      <c r="C18" s="5" t="s">
        <v>122</v>
      </c>
      <c r="D18" s="6" t="s">
        <v>102</v>
      </c>
      <c r="E18" s="7" t="s">
        <v>81</v>
      </c>
      <c r="F18" s="26" t="s">
        <v>5</v>
      </c>
    </row>
    <row r="19" spans="1:6" ht="28.5" x14ac:dyDescent="0.45">
      <c r="A19" s="21">
        <f>COUNTA(A2:A13)</f>
        <v>12</v>
      </c>
      <c r="B19" s="22">
        <f>SUM(F2:F13)</f>
        <v>169525</v>
      </c>
      <c r="C19" s="23">
        <f>COUNTIF(D2:D13,"Pendiente")</f>
        <v>8</v>
      </c>
      <c r="D19" s="24" t="s">
        <v>7</v>
      </c>
      <c r="E19" s="25">
        <f>COUNTIF(B2:B13,"PAC")</f>
        <v>6</v>
      </c>
      <c r="F19" s="32">
        <f>SUMIF(B2:B13,"PAC",F2:F13)</f>
        <v>155642</v>
      </c>
    </row>
    <row r="20" spans="1:6" x14ac:dyDescent="0.25">
      <c r="D20" t="s">
        <v>20</v>
      </c>
      <c r="E20">
        <f>COUNTIFS(B2:B13,"&lt;&gt;PAC",B2:B13,"&lt;&gt;")</f>
        <v>6</v>
      </c>
      <c r="F20" s="31">
        <f>SUMIF(B2:B13,"NO PAC",F2:F13)</f>
        <v>13883</v>
      </c>
    </row>
    <row r="22" spans="1:6" x14ac:dyDescent="0.25">
      <c r="A22" s="8" t="s">
        <v>3</v>
      </c>
      <c r="B22" s="8" t="s">
        <v>81</v>
      </c>
    </row>
    <row r="23" spans="1:6" x14ac:dyDescent="0.25">
      <c r="A23" t="s">
        <v>123</v>
      </c>
      <c r="B23">
        <f>C19</f>
        <v>8</v>
      </c>
    </row>
    <row r="24" spans="1:6" x14ac:dyDescent="0.25">
      <c r="A24" t="s">
        <v>86</v>
      </c>
      <c r="B24" t="str">
        <f>D19</f>
        <v>PAC</v>
      </c>
    </row>
    <row r="25" spans="1:6" x14ac:dyDescent="0.25">
      <c r="A25" t="s">
        <v>18</v>
      </c>
      <c r="B25">
        <f>E19</f>
        <v>6</v>
      </c>
    </row>
  </sheetData>
  <autoFilter ref="A1:F13" xr:uid="{00000000-0009-0000-0000-000000000000}"/>
  <mergeCells count="1">
    <mergeCell ref="A16:F16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F10" sqref="F10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18.140625" style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27</v>
      </c>
      <c r="B2" t="s">
        <v>7</v>
      </c>
      <c r="C2" t="s">
        <v>11</v>
      </c>
      <c r="D2" t="s">
        <v>12</v>
      </c>
      <c r="E2" t="s">
        <v>13</v>
      </c>
      <c r="F2" s="1">
        <v>676</v>
      </c>
    </row>
    <row r="5" spans="1:6" ht="18.75" x14ac:dyDescent="0.3">
      <c r="A5" s="37" t="s">
        <v>115</v>
      </c>
      <c r="B5" s="37"/>
      <c r="C5" s="37"/>
      <c r="D5" s="37"/>
      <c r="E5" s="37"/>
      <c r="F5" s="37"/>
    </row>
    <row r="7" spans="1:6" x14ac:dyDescent="0.25">
      <c r="A7" s="3" t="s">
        <v>100</v>
      </c>
      <c r="B7" s="4" t="s">
        <v>116</v>
      </c>
      <c r="C7" s="5" t="s">
        <v>122</v>
      </c>
      <c r="D7" s="6" t="s">
        <v>102</v>
      </c>
      <c r="E7" s="7" t="s">
        <v>81</v>
      </c>
      <c r="F7" s="26" t="s">
        <v>5</v>
      </c>
    </row>
    <row r="8" spans="1:6" ht="28.5" x14ac:dyDescent="0.45">
      <c r="A8" s="21">
        <f>COUNTA(A2:A2)</f>
        <v>1</v>
      </c>
      <c r="B8" s="22">
        <f>SUM(F2:F2)</f>
        <v>676</v>
      </c>
      <c r="C8" s="23">
        <f>COUNTIF(D2:D2,"Pendiente")</f>
        <v>0</v>
      </c>
      <c r="D8" s="24" t="s">
        <v>7</v>
      </c>
      <c r="E8" s="25">
        <f>COUNTIF(B2:B3,"PAC")</f>
        <v>1</v>
      </c>
      <c r="F8" s="32">
        <f>SUMIF(B2:B3,"PAC",F2:F3)</f>
        <v>676</v>
      </c>
    </row>
    <row r="9" spans="1:6" x14ac:dyDescent="0.25">
      <c r="D9" t="s">
        <v>20</v>
      </c>
      <c r="E9">
        <f>COUNTIFS(B2:B3,"&lt;&gt;PAC",B2:B3,"&lt;&gt;")</f>
        <v>0</v>
      </c>
      <c r="F9" s="31">
        <f>SUMIF(B2:B3,"NO PAC",F2:F3)</f>
        <v>0</v>
      </c>
    </row>
    <row r="10" spans="1:6" x14ac:dyDescent="0.25">
      <c r="F10" s="1">
        <f>SUM(F8:F9)</f>
        <v>676</v>
      </c>
    </row>
    <row r="11" spans="1:6" x14ac:dyDescent="0.25">
      <c r="A11" s="8" t="s">
        <v>3</v>
      </c>
      <c r="B11" s="8" t="s">
        <v>81</v>
      </c>
    </row>
    <row r="12" spans="1:6" x14ac:dyDescent="0.25">
      <c r="A12" t="s">
        <v>123</v>
      </c>
      <c r="B12">
        <f>C8</f>
        <v>0</v>
      </c>
    </row>
    <row r="13" spans="1:6" x14ac:dyDescent="0.25">
      <c r="A13" t="s">
        <v>86</v>
      </c>
      <c r="B13" t="str">
        <f>D8</f>
        <v>PAC</v>
      </c>
    </row>
    <row r="14" spans="1:6" x14ac:dyDescent="0.25">
      <c r="A14" t="s">
        <v>18</v>
      </c>
      <c r="B14">
        <f>E8</f>
        <v>1</v>
      </c>
    </row>
  </sheetData>
  <autoFilter ref="A1:F2" xr:uid="{00000000-0009-0000-0000-000001000000}"/>
  <mergeCells count="1">
    <mergeCell ref="A5:F5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F11" sqref="F11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18.140625" style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28</v>
      </c>
      <c r="B2" t="s">
        <v>20</v>
      </c>
      <c r="C2" t="s">
        <v>8</v>
      </c>
      <c r="D2" t="s">
        <v>9</v>
      </c>
      <c r="E2">
        <v>26</v>
      </c>
      <c r="F2" s="1">
        <v>6600</v>
      </c>
    </row>
    <row r="3" spans="1:6" x14ac:dyDescent="0.25">
      <c r="A3" t="s">
        <v>29</v>
      </c>
      <c r="B3" t="s">
        <v>7</v>
      </c>
      <c r="C3" t="s">
        <v>15</v>
      </c>
      <c r="D3" t="s">
        <v>9</v>
      </c>
      <c r="E3">
        <v>57</v>
      </c>
      <c r="F3" s="1">
        <v>0</v>
      </c>
    </row>
    <row r="6" spans="1:6" ht="18.75" x14ac:dyDescent="0.3">
      <c r="A6" s="37" t="s">
        <v>115</v>
      </c>
      <c r="B6" s="37"/>
      <c r="C6" s="37"/>
      <c r="D6" s="37"/>
      <c r="E6" s="37"/>
      <c r="F6" s="37"/>
    </row>
    <row r="8" spans="1:6" x14ac:dyDescent="0.25">
      <c r="A8" s="3" t="s">
        <v>100</v>
      </c>
      <c r="B8" s="4" t="s">
        <v>116</v>
      </c>
      <c r="C8" s="5" t="s">
        <v>122</v>
      </c>
      <c r="D8" s="6" t="s">
        <v>102</v>
      </c>
      <c r="E8" s="7" t="s">
        <v>81</v>
      </c>
      <c r="F8" s="26" t="s">
        <v>5</v>
      </c>
    </row>
    <row r="9" spans="1:6" ht="28.5" x14ac:dyDescent="0.45">
      <c r="A9" s="21">
        <f>COUNTA(A2:A3)</f>
        <v>2</v>
      </c>
      <c r="B9" s="22">
        <f>SUM(F2:F3)</f>
        <v>6600</v>
      </c>
      <c r="C9" s="23">
        <f>COUNTIF(D2:D3,"Pendiente")</f>
        <v>2</v>
      </c>
      <c r="D9" s="24" t="s">
        <v>7</v>
      </c>
      <c r="E9" s="25">
        <f>COUNTIF(B2:B4,"PAC")</f>
        <v>1</v>
      </c>
      <c r="F9" s="32">
        <f>SUMIF(B2:B4,"PAC",F2:F4)</f>
        <v>0</v>
      </c>
    </row>
    <row r="10" spans="1:6" x14ac:dyDescent="0.25">
      <c r="D10" t="s">
        <v>20</v>
      </c>
      <c r="E10">
        <f>COUNTIFS(B2:B4,"&lt;&gt;PAC",B2:B4,"&lt;&gt;")</f>
        <v>1</v>
      </c>
      <c r="F10" s="31">
        <f>SUMIF(B2:B4,"NO PAC",F2:F4)</f>
        <v>6600</v>
      </c>
    </row>
    <row r="12" spans="1:6" x14ac:dyDescent="0.25">
      <c r="A12" s="8" t="s">
        <v>3</v>
      </c>
      <c r="B12" s="8" t="s">
        <v>81</v>
      </c>
    </row>
    <row r="13" spans="1:6" x14ac:dyDescent="0.25">
      <c r="A13" t="s">
        <v>123</v>
      </c>
      <c r="B13">
        <f>C9</f>
        <v>2</v>
      </c>
    </row>
    <row r="14" spans="1:6" x14ac:dyDescent="0.25">
      <c r="A14" t="s">
        <v>86</v>
      </c>
      <c r="B14" t="str">
        <f>D9</f>
        <v>PAC</v>
      </c>
    </row>
    <row r="15" spans="1:6" x14ac:dyDescent="0.25">
      <c r="A15" t="s">
        <v>18</v>
      </c>
      <c r="B15">
        <f>E9</f>
        <v>1</v>
      </c>
    </row>
  </sheetData>
  <autoFilter ref="A1:F3" xr:uid="{00000000-0009-0000-0000-000002000000}"/>
  <mergeCells count="1">
    <mergeCell ref="A6:F6"/>
  </mergeCells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F10" sqref="F10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18.140625" style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30</v>
      </c>
      <c r="B2" t="s">
        <v>20</v>
      </c>
      <c r="C2" t="s">
        <v>15</v>
      </c>
      <c r="D2" t="s">
        <v>9</v>
      </c>
      <c r="E2">
        <v>21</v>
      </c>
      <c r="F2" s="1">
        <v>6600</v>
      </c>
    </row>
    <row r="5" spans="1:6" ht="18.75" x14ac:dyDescent="0.3">
      <c r="A5" s="37" t="s">
        <v>115</v>
      </c>
      <c r="B5" s="37"/>
      <c r="C5" s="37"/>
      <c r="D5" s="37"/>
      <c r="E5" s="37"/>
      <c r="F5" s="37"/>
    </row>
    <row r="7" spans="1:6" x14ac:dyDescent="0.25">
      <c r="A7" s="3" t="s">
        <v>100</v>
      </c>
      <c r="B7" s="4" t="s">
        <v>116</v>
      </c>
      <c r="C7" s="5" t="s">
        <v>122</v>
      </c>
      <c r="D7" s="6" t="s">
        <v>102</v>
      </c>
      <c r="E7" s="7" t="s">
        <v>81</v>
      </c>
      <c r="F7" s="26" t="s">
        <v>5</v>
      </c>
    </row>
    <row r="8" spans="1:6" ht="28.5" x14ac:dyDescent="0.45">
      <c r="A8" s="21">
        <f>COUNTA(A2:A2)</f>
        <v>1</v>
      </c>
      <c r="B8" s="22">
        <f>SUM(F2:F2)</f>
        <v>6600</v>
      </c>
      <c r="C8" s="23">
        <f>COUNTIF(D2:D2,"Pendiente")</f>
        <v>1</v>
      </c>
      <c r="D8" s="24" t="s">
        <v>7</v>
      </c>
      <c r="E8" s="25">
        <f>COUNTIF(B2:B3,"PAC")</f>
        <v>0</v>
      </c>
      <c r="F8" s="32">
        <f>SUMIF(B2:B3,"PAC",F2:F3)</f>
        <v>0</v>
      </c>
    </row>
    <row r="9" spans="1:6" x14ac:dyDescent="0.25">
      <c r="D9" t="s">
        <v>20</v>
      </c>
      <c r="E9">
        <f>COUNTIFS(B2:B3,"&lt;&gt;PAC",B2:B3,"&lt;&gt;")</f>
        <v>1</v>
      </c>
      <c r="F9" s="31">
        <f>SUMIF(B2:B3,"NO PAC",F2:F3)</f>
        <v>6600</v>
      </c>
    </row>
    <row r="11" spans="1:6" x14ac:dyDescent="0.25">
      <c r="A11" s="8" t="s">
        <v>3</v>
      </c>
      <c r="B11" s="8" t="s">
        <v>81</v>
      </c>
    </row>
    <row r="12" spans="1:6" x14ac:dyDescent="0.25">
      <c r="A12" t="s">
        <v>123</v>
      </c>
      <c r="B12">
        <f>C8</f>
        <v>1</v>
      </c>
    </row>
    <row r="13" spans="1:6" x14ac:dyDescent="0.25">
      <c r="A13" t="s">
        <v>86</v>
      </c>
      <c r="B13" t="str">
        <f>D8</f>
        <v>PAC</v>
      </c>
    </row>
    <row r="14" spans="1:6" x14ac:dyDescent="0.25">
      <c r="A14" t="s">
        <v>18</v>
      </c>
      <c r="B14">
        <f>E8</f>
        <v>0</v>
      </c>
    </row>
  </sheetData>
  <autoFilter ref="A1:F2" xr:uid="{00000000-0009-0000-0000-000003000000}"/>
  <mergeCells count="1">
    <mergeCell ref="A5:F5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F11" sqref="F11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1.57031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31</v>
      </c>
      <c r="B2" t="s">
        <v>20</v>
      </c>
      <c r="C2" t="s">
        <v>8</v>
      </c>
      <c r="D2" t="s">
        <v>9</v>
      </c>
      <c r="E2">
        <v>48</v>
      </c>
      <c r="F2" s="1">
        <v>3000</v>
      </c>
    </row>
    <row r="3" spans="1:6" x14ac:dyDescent="0.25">
      <c r="A3" t="s">
        <v>32</v>
      </c>
      <c r="B3" t="s">
        <v>7</v>
      </c>
      <c r="C3" t="s">
        <v>15</v>
      </c>
      <c r="D3" t="s">
        <v>9</v>
      </c>
      <c r="E3">
        <v>34</v>
      </c>
      <c r="F3" s="1">
        <v>195000</v>
      </c>
    </row>
    <row r="4" spans="1:6" x14ac:dyDescent="0.25">
      <c r="A4" t="s">
        <v>33</v>
      </c>
      <c r="B4" t="s">
        <v>20</v>
      </c>
      <c r="C4" t="s">
        <v>8</v>
      </c>
      <c r="D4" t="s">
        <v>18</v>
      </c>
      <c r="E4" t="s">
        <v>13</v>
      </c>
      <c r="F4" s="1">
        <v>3500</v>
      </c>
    </row>
    <row r="7" spans="1:6" ht="18.75" x14ac:dyDescent="0.3">
      <c r="A7" s="37" t="s">
        <v>115</v>
      </c>
      <c r="B7" s="37"/>
      <c r="C7" s="37"/>
      <c r="D7" s="37"/>
      <c r="E7" s="37"/>
      <c r="F7" s="37"/>
    </row>
    <row r="9" spans="1:6" x14ac:dyDescent="0.25">
      <c r="A9" s="3" t="s">
        <v>100</v>
      </c>
      <c r="B9" s="4" t="s">
        <v>116</v>
      </c>
      <c r="C9" s="5" t="s">
        <v>122</v>
      </c>
      <c r="D9" s="6" t="s">
        <v>102</v>
      </c>
      <c r="E9" s="7" t="s">
        <v>81</v>
      </c>
      <c r="F9" s="26" t="s">
        <v>5</v>
      </c>
    </row>
    <row r="10" spans="1:6" ht="28.5" x14ac:dyDescent="0.45">
      <c r="A10" s="21">
        <f>COUNTA(A2:A4)</f>
        <v>3</v>
      </c>
      <c r="B10" s="22">
        <f>SUM(F2:F4)</f>
        <v>201500</v>
      </c>
      <c r="C10" s="23">
        <f>COUNTIF(D2:D4,"Pendiente")</f>
        <v>2</v>
      </c>
      <c r="D10" s="24" t="s">
        <v>7</v>
      </c>
      <c r="E10" s="25">
        <f>COUNTIF(B2:B5,"PAC")</f>
        <v>1</v>
      </c>
      <c r="F10" s="32">
        <f>SUMIF(B2:B5,"PAC",F2:F5)</f>
        <v>195000</v>
      </c>
    </row>
    <row r="11" spans="1:6" x14ac:dyDescent="0.25">
      <c r="D11" t="s">
        <v>20</v>
      </c>
      <c r="E11">
        <f>COUNTIFS(B2:B5,"&lt;&gt;PAC",B2:B5,"&lt;&gt;")</f>
        <v>2</v>
      </c>
      <c r="F11" s="31">
        <f>SUMIF(B2:B5,"NO PAC",F2:F5)</f>
        <v>6500</v>
      </c>
    </row>
    <row r="12" spans="1:6" x14ac:dyDescent="0.25">
      <c r="F12" s="1">
        <f>SUM(F10:F11)</f>
        <v>201500</v>
      </c>
    </row>
    <row r="13" spans="1:6" x14ac:dyDescent="0.25">
      <c r="A13" s="8" t="s">
        <v>3</v>
      </c>
      <c r="B13" s="8" t="s">
        <v>81</v>
      </c>
    </row>
    <row r="14" spans="1:6" x14ac:dyDescent="0.25">
      <c r="A14" t="s">
        <v>123</v>
      </c>
      <c r="B14">
        <f>C10</f>
        <v>2</v>
      </c>
    </row>
    <row r="15" spans="1:6" x14ac:dyDescent="0.25">
      <c r="A15" t="s">
        <v>86</v>
      </c>
      <c r="B15" t="str">
        <f>D10</f>
        <v>PAC</v>
      </c>
    </row>
    <row r="16" spans="1:6" x14ac:dyDescent="0.25">
      <c r="A16" t="s">
        <v>18</v>
      </c>
      <c r="B16">
        <f>E10</f>
        <v>1</v>
      </c>
    </row>
  </sheetData>
  <autoFilter ref="A1:F4" xr:uid="{00000000-0009-0000-0000-000004000000}"/>
  <mergeCells count="1">
    <mergeCell ref="A7:F7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F11" sqref="F11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1.57031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34</v>
      </c>
      <c r="B2" t="s">
        <v>7</v>
      </c>
      <c r="C2" t="s">
        <v>13</v>
      </c>
      <c r="D2" t="s">
        <v>12</v>
      </c>
      <c r="E2" t="s">
        <v>13</v>
      </c>
      <c r="F2" s="1">
        <v>184612.46</v>
      </c>
    </row>
    <row r="3" spans="1:6" x14ac:dyDescent="0.25">
      <c r="A3" t="s">
        <v>35</v>
      </c>
      <c r="B3" t="s">
        <v>7</v>
      </c>
      <c r="C3" t="s">
        <v>15</v>
      </c>
      <c r="D3" t="s">
        <v>18</v>
      </c>
      <c r="E3" t="s">
        <v>13</v>
      </c>
      <c r="F3" s="1">
        <v>147000</v>
      </c>
    </row>
    <row r="6" spans="1:6" ht="18.75" x14ac:dyDescent="0.3">
      <c r="A6" s="37" t="s">
        <v>115</v>
      </c>
      <c r="B6" s="37"/>
      <c r="C6" s="37"/>
      <c r="D6" s="37"/>
      <c r="E6" s="37"/>
      <c r="F6" s="37"/>
    </row>
    <row r="8" spans="1:6" x14ac:dyDescent="0.25">
      <c r="A8" s="3" t="s">
        <v>100</v>
      </c>
      <c r="B8" s="4" t="s">
        <v>116</v>
      </c>
      <c r="C8" s="5" t="s">
        <v>122</v>
      </c>
      <c r="D8" s="6" t="s">
        <v>102</v>
      </c>
      <c r="E8" s="7" t="s">
        <v>81</v>
      </c>
      <c r="F8" s="26" t="s">
        <v>5</v>
      </c>
    </row>
    <row r="9" spans="1:6" ht="28.5" x14ac:dyDescent="0.45">
      <c r="A9" s="21">
        <f>COUNTA(A2:A3)</f>
        <v>2</v>
      </c>
      <c r="B9" s="22">
        <f>SUM(F2:F3)</f>
        <v>331612.45999999996</v>
      </c>
      <c r="C9" s="23">
        <f>COUNTIF(D2:D3,"Pendiente")</f>
        <v>0</v>
      </c>
      <c r="D9" s="24" t="s">
        <v>7</v>
      </c>
      <c r="E9" s="25">
        <f>COUNTIF(B2:B4,"PAC")</f>
        <v>2</v>
      </c>
      <c r="F9" s="32">
        <f>SUMIF(B2:B4,"PAC",F2:F4)</f>
        <v>331612.45999999996</v>
      </c>
    </row>
    <row r="10" spans="1:6" x14ac:dyDescent="0.25">
      <c r="D10" t="s">
        <v>20</v>
      </c>
      <c r="E10">
        <f>COUNTIFS(B2:B4,"&lt;&gt;PAC",B2:B4,"&lt;&gt;")</f>
        <v>0</v>
      </c>
      <c r="F10" s="31">
        <f>SUMIF(B2:B4,"NO PAC",F2:F4)</f>
        <v>0</v>
      </c>
    </row>
    <row r="12" spans="1:6" x14ac:dyDescent="0.25">
      <c r="A12" s="8" t="s">
        <v>3</v>
      </c>
      <c r="B12" s="8" t="s">
        <v>81</v>
      </c>
    </row>
    <row r="13" spans="1:6" x14ac:dyDescent="0.25">
      <c r="A13" t="s">
        <v>123</v>
      </c>
      <c r="B13">
        <f>C9</f>
        <v>0</v>
      </c>
    </row>
    <row r="14" spans="1:6" x14ac:dyDescent="0.25">
      <c r="A14" t="s">
        <v>86</v>
      </c>
      <c r="B14" t="str">
        <f>D9</f>
        <v>PAC</v>
      </c>
    </row>
    <row r="15" spans="1:6" x14ac:dyDescent="0.25">
      <c r="A15" t="s">
        <v>18</v>
      </c>
      <c r="B15">
        <f>E9</f>
        <v>2</v>
      </c>
    </row>
  </sheetData>
  <autoFilter ref="A1:F3" xr:uid="{00000000-0009-0000-0000-000005000000}"/>
  <mergeCells count="1">
    <mergeCell ref="A6:F6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F11" sqref="F11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4.710937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36</v>
      </c>
      <c r="B2" t="s">
        <v>7</v>
      </c>
      <c r="C2" t="s">
        <v>15</v>
      </c>
      <c r="D2" t="s">
        <v>9</v>
      </c>
      <c r="E2">
        <v>15</v>
      </c>
      <c r="F2" s="1">
        <v>1357791.99</v>
      </c>
    </row>
    <row r="3" spans="1:6" x14ac:dyDescent="0.25">
      <c r="A3" t="s">
        <v>37</v>
      </c>
      <c r="B3" t="s">
        <v>7</v>
      </c>
      <c r="C3" t="s">
        <v>15</v>
      </c>
      <c r="D3" t="s">
        <v>9</v>
      </c>
      <c r="E3">
        <v>5</v>
      </c>
      <c r="F3" s="1">
        <v>88500</v>
      </c>
    </row>
    <row r="4" spans="1:6" x14ac:dyDescent="0.25">
      <c r="A4" t="s">
        <v>38</v>
      </c>
      <c r="B4" t="s">
        <v>20</v>
      </c>
      <c r="C4" t="s">
        <v>15</v>
      </c>
      <c r="D4" t="s">
        <v>18</v>
      </c>
      <c r="E4" t="s">
        <v>13</v>
      </c>
      <c r="F4" s="1">
        <v>528500</v>
      </c>
    </row>
    <row r="7" spans="1:6" ht="18.75" x14ac:dyDescent="0.3">
      <c r="A7" s="37" t="s">
        <v>115</v>
      </c>
      <c r="B7" s="37"/>
      <c r="C7" s="37"/>
      <c r="D7" s="37"/>
      <c r="E7" s="37"/>
      <c r="F7" s="37"/>
    </row>
    <row r="9" spans="1:6" x14ac:dyDescent="0.25">
      <c r="A9" s="3" t="s">
        <v>100</v>
      </c>
      <c r="B9" s="4" t="s">
        <v>116</v>
      </c>
      <c r="C9" s="5" t="s">
        <v>122</v>
      </c>
      <c r="D9" s="6" t="s">
        <v>102</v>
      </c>
      <c r="E9" s="7" t="s">
        <v>81</v>
      </c>
      <c r="F9" s="26" t="s">
        <v>5</v>
      </c>
    </row>
    <row r="10" spans="1:6" ht="28.5" x14ac:dyDescent="0.45">
      <c r="A10" s="21">
        <f>COUNTA(A2:A4)</f>
        <v>3</v>
      </c>
      <c r="B10" s="22">
        <f>SUM(F2:F4)</f>
        <v>1974791.99</v>
      </c>
      <c r="C10" s="23">
        <f>COUNTIF(D2:D4,"Pendiente")</f>
        <v>2</v>
      </c>
      <c r="D10" s="24" t="s">
        <v>7</v>
      </c>
      <c r="E10" s="25">
        <f>COUNTIF(B2:B5,"PAC")</f>
        <v>2</v>
      </c>
      <c r="F10" s="32">
        <f>SUMIF(B2:B5,"PAC",F2:F5)</f>
        <v>1446291.99</v>
      </c>
    </row>
    <row r="11" spans="1:6" x14ac:dyDescent="0.25">
      <c r="D11" t="s">
        <v>20</v>
      </c>
      <c r="E11">
        <f>COUNTIFS(B2:B5,"&lt;&gt;PAC",B2:B5,"&lt;&gt;")</f>
        <v>1</v>
      </c>
      <c r="F11" s="31">
        <f>SUMIF(B2:B5,"NO PAC",F2:F5)</f>
        <v>528500</v>
      </c>
    </row>
    <row r="12" spans="1:6" x14ac:dyDescent="0.25">
      <c r="E12">
        <f>SUM(E10:E11)</f>
        <v>3</v>
      </c>
      <c r="F12" s="1">
        <f>SUM(F10:F11)</f>
        <v>1974791.99</v>
      </c>
    </row>
    <row r="13" spans="1:6" x14ac:dyDescent="0.25">
      <c r="A13" s="8" t="s">
        <v>3</v>
      </c>
      <c r="B13" s="8" t="s">
        <v>81</v>
      </c>
    </row>
    <row r="14" spans="1:6" x14ac:dyDescent="0.25">
      <c r="A14" t="s">
        <v>123</v>
      </c>
      <c r="B14">
        <f>C10</f>
        <v>2</v>
      </c>
    </row>
    <row r="15" spans="1:6" x14ac:dyDescent="0.25">
      <c r="A15" t="s">
        <v>86</v>
      </c>
      <c r="B15" t="str">
        <f>D10</f>
        <v>PAC</v>
      </c>
    </row>
    <row r="16" spans="1:6" x14ac:dyDescent="0.25">
      <c r="A16" t="s">
        <v>18</v>
      </c>
      <c r="B16">
        <f>E10</f>
        <v>2</v>
      </c>
    </row>
  </sheetData>
  <autoFilter ref="A1:F4" xr:uid="{00000000-0009-0000-0000-000006000000}"/>
  <mergeCells count="1">
    <mergeCell ref="A7:F7"/>
  </mergeCells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tabSelected="1" workbookViewId="0">
      <selection activeCell="F15" sqref="F15"/>
    </sheetView>
  </sheetViews>
  <sheetFormatPr baseColWidth="10" defaultColWidth="8.7109375" defaultRowHeight="15" x14ac:dyDescent="0.25"/>
  <cols>
    <col min="1" max="1" width="107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3.285156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39</v>
      </c>
      <c r="B2" t="s">
        <v>7</v>
      </c>
      <c r="C2" t="s">
        <v>15</v>
      </c>
      <c r="D2" t="s">
        <v>9</v>
      </c>
      <c r="E2">
        <v>21</v>
      </c>
      <c r="F2" s="1">
        <v>85000</v>
      </c>
    </row>
    <row r="3" spans="1:6" x14ac:dyDescent="0.25">
      <c r="A3" t="s">
        <v>40</v>
      </c>
      <c r="B3" t="s">
        <v>7</v>
      </c>
      <c r="C3" t="s">
        <v>8</v>
      </c>
      <c r="D3" t="s">
        <v>9</v>
      </c>
      <c r="E3">
        <v>19</v>
      </c>
      <c r="F3" s="1">
        <v>87195.75</v>
      </c>
    </row>
    <row r="4" spans="1:6" x14ac:dyDescent="0.25">
      <c r="A4" t="s">
        <v>41</v>
      </c>
      <c r="B4" t="s">
        <v>20</v>
      </c>
      <c r="C4" t="s">
        <v>8</v>
      </c>
      <c r="D4" t="s">
        <v>12</v>
      </c>
      <c r="E4" t="s">
        <v>13</v>
      </c>
      <c r="F4" s="1">
        <v>9000</v>
      </c>
    </row>
    <row r="5" spans="1:6" x14ac:dyDescent="0.25">
      <c r="A5" t="s">
        <v>42</v>
      </c>
      <c r="B5" t="s">
        <v>20</v>
      </c>
      <c r="C5" t="s">
        <v>8</v>
      </c>
      <c r="D5" t="s">
        <v>12</v>
      </c>
      <c r="E5" t="s">
        <v>13</v>
      </c>
      <c r="F5" s="1">
        <v>4000</v>
      </c>
    </row>
    <row r="6" spans="1:6" x14ac:dyDescent="0.25">
      <c r="A6" t="s">
        <v>43</v>
      </c>
      <c r="B6" t="s">
        <v>7</v>
      </c>
      <c r="C6" t="s">
        <v>8</v>
      </c>
      <c r="D6" t="s">
        <v>9</v>
      </c>
      <c r="E6">
        <v>26</v>
      </c>
      <c r="F6" s="1">
        <v>0</v>
      </c>
    </row>
    <row r="7" spans="1:6" x14ac:dyDescent="0.25">
      <c r="A7" t="s">
        <v>44</v>
      </c>
      <c r="B7" t="s">
        <v>7</v>
      </c>
      <c r="C7" t="s">
        <v>8</v>
      </c>
      <c r="D7" t="s">
        <v>12</v>
      </c>
      <c r="E7" t="s">
        <v>13</v>
      </c>
      <c r="F7" s="1">
        <v>0</v>
      </c>
    </row>
    <row r="10" spans="1:6" ht="18.75" x14ac:dyDescent="0.3">
      <c r="A10" s="37" t="s">
        <v>115</v>
      </c>
      <c r="B10" s="37"/>
      <c r="C10" s="37"/>
      <c r="D10" s="37"/>
      <c r="E10" s="37"/>
      <c r="F10" s="37"/>
    </row>
    <row r="12" spans="1:6" x14ac:dyDescent="0.25">
      <c r="A12" s="3" t="s">
        <v>100</v>
      </c>
      <c r="B12" s="4" t="s">
        <v>116</v>
      </c>
      <c r="C12" s="5" t="s">
        <v>122</v>
      </c>
      <c r="D12" s="6" t="s">
        <v>102</v>
      </c>
      <c r="E12" s="7" t="s">
        <v>81</v>
      </c>
      <c r="F12" s="26" t="s">
        <v>5</v>
      </c>
    </row>
    <row r="13" spans="1:6" ht="28.5" x14ac:dyDescent="0.45">
      <c r="A13" s="21">
        <f>COUNTA(A2:A7)</f>
        <v>6</v>
      </c>
      <c r="B13" s="22">
        <f>SUM(F2:F7)</f>
        <v>185195.75</v>
      </c>
      <c r="C13" s="23">
        <f>COUNTIF(D2:D7,"Pendiente")</f>
        <v>3</v>
      </c>
      <c r="D13" s="24" t="s">
        <v>7</v>
      </c>
      <c r="E13" s="25">
        <f>COUNTIF(B2:B8,"PAC")</f>
        <v>4</v>
      </c>
      <c r="F13" s="32">
        <f>SUMIF(B2:B8,"PAC",F2:F8)</f>
        <v>172195.75</v>
      </c>
    </row>
    <row r="14" spans="1:6" x14ac:dyDescent="0.25">
      <c r="D14" t="s">
        <v>20</v>
      </c>
      <c r="E14">
        <f>COUNTIFS(B2:B8,"&lt;&gt;PAC",B2:B8,"&lt;&gt;")</f>
        <v>2</v>
      </c>
      <c r="F14" s="31">
        <f>SUMIF(B2:B8,"NO PAC",F2:F8)</f>
        <v>13000</v>
      </c>
    </row>
    <row r="15" spans="1:6" x14ac:dyDescent="0.25">
      <c r="F15" s="1">
        <f>SUM(F13:F14)</f>
        <v>185195.75</v>
      </c>
    </row>
    <row r="16" spans="1:6" x14ac:dyDescent="0.25">
      <c r="A16" s="8" t="s">
        <v>3</v>
      </c>
      <c r="B16" s="8" t="s">
        <v>81</v>
      </c>
    </row>
    <row r="17" spans="1:2" x14ac:dyDescent="0.25">
      <c r="A17" t="s">
        <v>123</v>
      </c>
      <c r="B17">
        <f>C13</f>
        <v>3</v>
      </c>
    </row>
    <row r="18" spans="1:2" x14ac:dyDescent="0.25">
      <c r="A18" t="s">
        <v>86</v>
      </c>
      <c r="B18" t="str">
        <f>D13</f>
        <v>PAC</v>
      </c>
    </row>
    <row r="19" spans="1:2" x14ac:dyDescent="0.25">
      <c r="A19" t="s">
        <v>18</v>
      </c>
      <c r="B19">
        <f>E13</f>
        <v>4</v>
      </c>
    </row>
  </sheetData>
  <autoFilter ref="A1:F7" xr:uid="{00000000-0009-0000-0000-000007000000}"/>
  <mergeCells count="1">
    <mergeCell ref="A10:F10"/>
  </mergeCells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>
      <selection activeCell="F12" sqref="F12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21.57031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45</v>
      </c>
      <c r="B2" t="s">
        <v>7</v>
      </c>
      <c r="C2" t="s">
        <v>15</v>
      </c>
      <c r="D2" t="s">
        <v>9</v>
      </c>
      <c r="E2">
        <v>60</v>
      </c>
      <c r="F2" s="1">
        <v>27795</v>
      </c>
    </row>
    <row r="3" spans="1:6" x14ac:dyDescent="0.25">
      <c r="A3" t="s">
        <v>46</v>
      </c>
      <c r="B3" t="s">
        <v>7</v>
      </c>
      <c r="C3" t="s">
        <v>15</v>
      </c>
      <c r="D3" t="s">
        <v>9</v>
      </c>
      <c r="E3">
        <v>35</v>
      </c>
      <c r="F3" s="1">
        <v>40000</v>
      </c>
    </row>
    <row r="4" spans="1:6" x14ac:dyDescent="0.25">
      <c r="A4" t="s">
        <v>47</v>
      </c>
      <c r="B4" t="s">
        <v>7</v>
      </c>
      <c r="C4" t="s">
        <v>15</v>
      </c>
      <c r="D4" t="s">
        <v>18</v>
      </c>
      <c r="E4" t="s">
        <v>13</v>
      </c>
      <c r="F4" s="1">
        <v>150000</v>
      </c>
    </row>
    <row r="5" spans="1:6" x14ac:dyDescent="0.25">
      <c r="A5" t="s">
        <v>48</v>
      </c>
      <c r="B5" t="s">
        <v>20</v>
      </c>
      <c r="C5" t="s">
        <v>15</v>
      </c>
      <c r="D5" t="s">
        <v>18</v>
      </c>
      <c r="E5" t="s">
        <v>13</v>
      </c>
      <c r="F5" s="1">
        <v>563975</v>
      </c>
    </row>
    <row r="8" spans="1:6" ht="18.75" x14ac:dyDescent="0.3">
      <c r="A8" s="37" t="s">
        <v>115</v>
      </c>
      <c r="B8" s="37"/>
      <c r="C8" s="37"/>
      <c r="D8" s="37"/>
      <c r="E8" s="37"/>
      <c r="F8" s="37"/>
    </row>
    <row r="10" spans="1:6" x14ac:dyDescent="0.25">
      <c r="A10" s="3" t="s">
        <v>100</v>
      </c>
      <c r="B10" s="4" t="s">
        <v>116</v>
      </c>
      <c r="C10" s="5" t="s">
        <v>122</v>
      </c>
      <c r="D10" s="6" t="s">
        <v>102</v>
      </c>
      <c r="E10" s="7" t="s">
        <v>81</v>
      </c>
      <c r="F10" s="26" t="s">
        <v>5</v>
      </c>
    </row>
    <row r="11" spans="1:6" ht="28.5" x14ac:dyDescent="0.45">
      <c r="A11" s="21">
        <f>COUNTA(A2:A5)</f>
        <v>4</v>
      </c>
      <c r="B11" s="22">
        <f>SUM(F2:F5)</f>
        <v>781770</v>
      </c>
      <c r="C11" s="23">
        <f>COUNTIF(D2:D5,"Pendiente")</f>
        <v>2</v>
      </c>
      <c r="D11" s="24" t="s">
        <v>7</v>
      </c>
      <c r="E11" s="25">
        <f>COUNTIF(B2:B6,"PAC")</f>
        <v>3</v>
      </c>
      <c r="F11" s="32">
        <f>SUMIF(B2:B6,"PAC",F2:F6)</f>
        <v>217795</v>
      </c>
    </row>
    <row r="12" spans="1:6" x14ac:dyDescent="0.25">
      <c r="D12" t="s">
        <v>20</v>
      </c>
      <c r="E12">
        <f>COUNTIF(B2:B6,"NO PAC")</f>
        <v>1</v>
      </c>
      <c r="F12" s="31">
        <f>SUMIF(B2:B6,"NO PAC",F2:F6)</f>
        <v>563975</v>
      </c>
    </row>
    <row r="13" spans="1:6" x14ac:dyDescent="0.25">
      <c r="E13" t="s">
        <v>126</v>
      </c>
      <c r="F13" s="1">
        <f>SUM(F11:F12)</f>
        <v>781770</v>
      </c>
    </row>
    <row r="14" spans="1:6" x14ac:dyDescent="0.25">
      <c r="A14" s="8" t="s">
        <v>3</v>
      </c>
      <c r="B14" s="8" t="s">
        <v>81</v>
      </c>
    </row>
    <row r="15" spans="1:6" x14ac:dyDescent="0.25">
      <c r="A15" t="s">
        <v>123</v>
      </c>
      <c r="B15">
        <f>C11</f>
        <v>2</v>
      </c>
    </row>
    <row r="16" spans="1:6" x14ac:dyDescent="0.25">
      <c r="A16" t="s">
        <v>86</v>
      </c>
      <c r="B16" t="str">
        <f>D11</f>
        <v>PAC</v>
      </c>
    </row>
    <row r="17" spans="1:2" x14ac:dyDescent="0.25">
      <c r="A17" t="s">
        <v>18</v>
      </c>
      <c r="B17">
        <f>E11</f>
        <v>3</v>
      </c>
    </row>
  </sheetData>
  <autoFilter ref="A1:F5" xr:uid="{00000000-0009-0000-0000-000008000000}"/>
  <mergeCells count="1">
    <mergeCell ref="A8:F8"/>
  </mergeCells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F9" sqref="F9"/>
    </sheetView>
  </sheetViews>
  <sheetFormatPr baseColWidth="10" defaultColWidth="8.7109375" defaultRowHeight="15" x14ac:dyDescent="0.25"/>
  <cols>
    <col min="1" max="1" width="63.5703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19.5703125" style="1" bestFit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49</v>
      </c>
      <c r="B2" t="s">
        <v>7</v>
      </c>
      <c r="C2" t="s">
        <v>8</v>
      </c>
      <c r="D2" t="s">
        <v>12</v>
      </c>
      <c r="E2" t="s">
        <v>13</v>
      </c>
      <c r="F2" s="1">
        <v>39246.51</v>
      </c>
    </row>
    <row r="5" spans="1:6" ht="18.75" x14ac:dyDescent="0.3">
      <c r="A5" s="37" t="s">
        <v>115</v>
      </c>
      <c r="B5" s="37"/>
      <c r="C5" s="37"/>
      <c r="D5" s="37"/>
      <c r="E5" s="37"/>
      <c r="F5" s="37"/>
    </row>
    <row r="7" spans="1:6" x14ac:dyDescent="0.25">
      <c r="A7" s="3" t="s">
        <v>100</v>
      </c>
      <c r="B7" s="4" t="s">
        <v>116</v>
      </c>
      <c r="C7" s="5" t="s">
        <v>122</v>
      </c>
      <c r="D7" s="6" t="s">
        <v>102</v>
      </c>
      <c r="E7" s="7" t="s">
        <v>81</v>
      </c>
      <c r="F7" s="26" t="s">
        <v>5</v>
      </c>
    </row>
    <row r="8" spans="1:6" ht="28.5" x14ac:dyDescent="0.45">
      <c r="A8" s="21">
        <f>COUNTA(A2:A2)</f>
        <v>1</v>
      </c>
      <c r="B8" s="22">
        <f>SUM(F2:F2)</f>
        <v>39246.51</v>
      </c>
      <c r="C8" s="23">
        <f>COUNTIF(D2:D2,"Pendiente")</f>
        <v>0</v>
      </c>
      <c r="D8" s="24" t="s">
        <v>7</v>
      </c>
      <c r="E8" s="25">
        <f>COUNTIF(B2:B3,"PAC")</f>
        <v>1</v>
      </c>
      <c r="F8" s="32">
        <f>SUMIF(B2:B3,"PAC",F2:F3)</f>
        <v>39246.51</v>
      </c>
    </row>
    <row r="9" spans="1:6" x14ac:dyDescent="0.25">
      <c r="D9" t="s">
        <v>20</v>
      </c>
      <c r="E9">
        <f>COUNTIFS(B2:B3,"&lt;&gt;PAC",B2:B3,"&lt;&gt;")</f>
        <v>0</v>
      </c>
      <c r="F9" s="31">
        <f>SUMIF(B2:B3,"NO PAC",F2:F3)</f>
        <v>0</v>
      </c>
    </row>
    <row r="11" spans="1:6" x14ac:dyDescent="0.25">
      <c r="A11" s="8" t="s">
        <v>3</v>
      </c>
      <c r="B11" s="8" t="s">
        <v>81</v>
      </c>
    </row>
    <row r="12" spans="1:6" x14ac:dyDescent="0.25">
      <c r="A12" t="s">
        <v>123</v>
      </c>
      <c r="B12">
        <f>C8</f>
        <v>0</v>
      </c>
    </row>
    <row r="13" spans="1:6" x14ac:dyDescent="0.25">
      <c r="A13" t="s">
        <v>86</v>
      </c>
      <c r="B13" t="str">
        <f>D8</f>
        <v>PAC</v>
      </c>
    </row>
    <row r="14" spans="1:6" x14ac:dyDescent="0.25">
      <c r="A14" t="s">
        <v>18</v>
      </c>
      <c r="B14">
        <f>E8</f>
        <v>1</v>
      </c>
    </row>
  </sheetData>
  <autoFilter ref="A1:F2" xr:uid="{00000000-0009-0000-0000-000009000000}"/>
  <mergeCells count="1">
    <mergeCell ref="A5:F5"/>
  </mergeCells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2"/>
  <sheetViews>
    <sheetView workbookViewId="0">
      <selection activeCell="F32" sqref="F32"/>
    </sheetView>
  </sheetViews>
  <sheetFormatPr baseColWidth="10" defaultColWidth="8.7109375" defaultRowHeight="15" x14ac:dyDescent="0.25"/>
  <cols>
    <col min="1" max="1" width="111.42578125" customWidth="1"/>
    <col min="2" max="2" width="14.5703125" customWidth="1"/>
    <col min="3" max="3" width="16.42578125" customWidth="1"/>
    <col min="4" max="4" width="15.42578125" customWidth="1"/>
    <col min="5" max="5" width="13.5703125" customWidth="1"/>
    <col min="6" max="6" width="18.140625" style="1" customWidth="1"/>
  </cols>
  <sheetData>
    <row r="1" spans="1:6" s="2" customFormat="1" ht="30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9" t="s">
        <v>5</v>
      </c>
    </row>
    <row r="2" spans="1:6" x14ac:dyDescent="0.25">
      <c r="A2" t="s">
        <v>50</v>
      </c>
      <c r="B2" t="s">
        <v>7</v>
      </c>
      <c r="C2" t="s">
        <v>11</v>
      </c>
      <c r="D2" t="s">
        <v>12</v>
      </c>
      <c r="E2" t="s">
        <v>13</v>
      </c>
      <c r="F2" s="1">
        <v>42000</v>
      </c>
    </row>
    <row r="3" spans="1:6" x14ac:dyDescent="0.25">
      <c r="A3" t="s">
        <v>51</v>
      </c>
      <c r="B3" t="s">
        <v>7</v>
      </c>
      <c r="C3" t="s">
        <v>15</v>
      </c>
      <c r="D3" t="s">
        <v>9</v>
      </c>
      <c r="E3">
        <v>50</v>
      </c>
      <c r="F3" s="1">
        <v>0</v>
      </c>
    </row>
    <row r="4" spans="1:6" x14ac:dyDescent="0.25">
      <c r="A4" t="s">
        <v>52</v>
      </c>
      <c r="B4" t="s">
        <v>7</v>
      </c>
      <c r="C4" t="s">
        <v>8</v>
      </c>
      <c r="D4" t="s">
        <v>12</v>
      </c>
      <c r="E4" t="s">
        <v>13</v>
      </c>
      <c r="F4" s="1">
        <v>2000</v>
      </c>
    </row>
    <row r="5" spans="1:6" x14ac:dyDescent="0.25">
      <c r="A5" t="s">
        <v>53</v>
      </c>
      <c r="B5" t="s">
        <v>20</v>
      </c>
      <c r="C5" t="s">
        <v>8</v>
      </c>
      <c r="D5" t="s">
        <v>12</v>
      </c>
      <c r="E5" t="s">
        <v>13</v>
      </c>
      <c r="F5" s="1">
        <v>1000</v>
      </c>
    </row>
    <row r="6" spans="1:6" x14ac:dyDescent="0.25">
      <c r="A6" t="s">
        <v>54</v>
      </c>
      <c r="B6" t="s">
        <v>7</v>
      </c>
      <c r="C6" t="s">
        <v>8</v>
      </c>
      <c r="D6" t="s">
        <v>12</v>
      </c>
      <c r="E6" t="s">
        <v>13</v>
      </c>
      <c r="F6" s="1">
        <v>60000</v>
      </c>
    </row>
    <row r="7" spans="1:6" x14ac:dyDescent="0.25">
      <c r="A7" t="s">
        <v>55</v>
      </c>
      <c r="B7" t="s">
        <v>20</v>
      </c>
      <c r="C7" t="s">
        <v>11</v>
      </c>
      <c r="D7" t="s">
        <v>12</v>
      </c>
      <c r="E7" t="s">
        <v>13</v>
      </c>
      <c r="F7" s="1">
        <v>3500</v>
      </c>
    </row>
    <row r="8" spans="1:6" x14ac:dyDescent="0.25">
      <c r="A8" t="s">
        <v>56</v>
      </c>
      <c r="B8" t="s">
        <v>20</v>
      </c>
      <c r="C8" t="s">
        <v>15</v>
      </c>
      <c r="D8" t="s">
        <v>9</v>
      </c>
      <c r="E8">
        <v>70</v>
      </c>
      <c r="F8" s="1">
        <v>2000</v>
      </c>
    </row>
    <row r="9" spans="1:6" x14ac:dyDescent="0.25">
      <c r="A9" t="s">
        <v>57</v>
      </c>
      <c r="B9" t="s">
        <v>20</v>
      </c>
      <c r="C9" t="s">
        <v>15</v>
      </c>
      <c r="D9" t="s">
        <v>9</v>
      </c>
      <c r="E9">
        <v>60</v>
      </c>
      <c r="F9" s="1">
        <v>6600</v>
      </c>
    </row>
    <row r="10" spans="1:6" x14ac:dyDescent="0.25">
      <c r="A10" t="s">
        <v>58</v>
      </c>
      <c r="B10" t="s">
        <v>20</v>
      </c>
      <c r="C10" t="s">
        <v>8</v>
      </c>
      <c r="D10" t="s">
        <v>12</v>
      </c>
      <c r="E10" t="s">
        <v>13</v>
      </c>
      <c r="F10" s="1">
        <v>7000</v>
      </c>
    </row>
    <row r="11" spans="1:6" x14ac:dyDescent="0.25">
      <c r="A11" t="s">
        <v>59</v>
      </c>
      <c r="B11" t="s">
        <v>20</v>
      </c>
      <c r="C11" t="s">
        <v>11</v>
      </c>
      <c r="D11" t="s">
        <v>12</v>
      </c>
      <c r="E11" t="s">
        <v>13</v>
      </c>
      <c r="F11" s="1">
        <v>7200</v>
      </c>
    </row>
    <row r="12" spans="1:6" x14ac:dyDescent="0.25">
      <c r="A12" t="s">
        <v>60</v>
      </c>
      <c r="B12" t="s">
        <v>20</v>
      </c>
      <c r="C12" t="s">
        <v>8</v>
      </c>
      <c r="D12" t="s">
        <v>9</v>
      </c>
      <c r="E12">
        <v>25</v>
      </c>
      <c r="F12" s="1">
        <v>8000</v>
      </c>
    </row>
    <row r="13" spans="1:6" x14ac:dyDescent="0.25">
      <c r="A13" t="s">
        <v>61</v>
      </c>
      <c r="B13" t="s">
        <v>20</v>
      </c>
      <c r="C13" t="s">
        <v>8</v>
      </c>
      <c r="D13" t="s">
        <v>12</v>
      </c>
      <c r="E13" t="s">
        <v>13</v>
      </c>
      <c r="F13" s="1">
        <v>7000</v>
      </c>
    </row>
    <row r="14" spans="1:6" x14ac:dyDescent="0.25">
      <c r="A14" t="s">
        <v>62</v>
      </c>
      <c r="B14" t="s">
        <v>20</v>
      </c>
      <c r="C14" t="s">
        <v>11</v>
      </c>
      <c r="D14" t="s">
        <v>12</v>
      </c>
      <c r="E14" t="s">
        <v>13</v>
      </c>
      <c r="F14" s="1">
        <v>7000</v>
      </c>
    </row>
    <row r="15" spans="1:6" x14ac:dyDescent="0.25">
      <c r="A15" t="s">
        <v>63</v>
      </c>
      <c r="B15" t="s">
        <v>20</v>
      </c>
      <c r="C15" t="s">
        <v>8</v>
      </c>
      <c r="D15" t="s">
        <v>9</v>
      </c>
      <c r="E15">
        <v>25</v>
      </c>
      <c r="F15" s="1">
        <v>1400</v>
      </c>
    </row>
    <row r="16" spans="1:6" x14ac:dyDescent="0.25">
      <c r="A16" t="s">
        <v>64</v>
      </c>
      <c r="B16" t="s">
        <v>7</v>
      </c>
      <c r="C16" t="s">
        <v>8</v>
      </c>
      <c r="D16" t="s">
        <v>9</v>
      </c>
      <c r="E16">
        <v>7</v>
      </c>
      <c r="F16" s="1">
        <v>12500</v>
      </c>
    </row>
    <row r="17" spans="1:6" x14ac:dyDescent="0.25">
      <c r="A17" t="s">
        <v>65</v>
      </c>
      <c r="B17" t="s">
        <v>20</v>
      </c>
      <c r="C17" t="s">
        <v>11</v>
      </c>
      <c r="D17" t="s">
        <v>12</v>
      </c>
      <c r="E17" t="s">
        <v>13</v>
      </c>
      <c r="F17" s="1">
        <v>1000</v>
      </c>
    </row>
    <row r="18" spans="1:6" x14ac:dyDescent="0.25">
      <c r="A18" t="s">
        <v>66</v>
      </c>
      <c r="B18" t="s">
        <v>20</v>
      </c>
      <c r="C18" t="s">
        <v>11</v>
      </c>
      <c r="D18" t="s">
        <v>12</v>
      </c>
      <c r="E18" t="s">
        <v>13</v>
      </c>
      <c r="F18" s="1">
        <v>2000</v>
      </c>
    </row>
    <row r="19" spans="1:6" x14ac:dyDescent="0.25">
      <c r="A19" t="s">
        <v>67</v>
      </c>
      <c r="B19" t="s">
        <v>20</v>
      </c>
      <c r="C19" t="s">
        <v>11</v>
      </c>
      <c r="D19" t="s">
        <v>12</v>
      </c>
      <c r="E19" t="s">
        <v>13</v>
      </c>
      <c r="F19" s="1">
        <v>1000</v>
      </c>
    </row>
    <row r="20" spans="1:6" x14ac:dyDescent="0.25">
      <c r="A20" t="s">
        <v>68</v>
      </c>
      <c r="B20" t="s">
        <v>20</v>
      </c>
      <c r="C20" t="s">
        <v>11</v>
      </c>
      <c r="D20" t="s">
        <v>12</v>
      </c>
      <c r="E20" t="s">
        <v>13</v>
      </c>
      <c r="F20" s="1">
        <v>1100</v>
      </c>
    </row>
    <row r="21" spans="1:6" x14ac:dyDescent="0.25">
      <c r="A21" t="s">
        <v>69</v>
      </c>
      <c r="B21" t="s">
        <v>20</v>
      </c>
      <c r="C21" t="s">
        <v>11</v>
      </c>
      <c r="D21" t="s">
        <v>12</v>
      </c>
      <c r="E21" t="s">
        <v>13</v>
      </c>
      <c r="F21" s="1">
        <v>10000</v>
      </c>
    </row>
    <row r="22" spans="1:6" x14ac:dyDescent="0.25">
      <c r="A22" t="s">
        <v>70</v>
      </c>
      <c r="B22" t="s">
        <v>20</v>
      </c>
      <c r="C22" t="s">
        <v>8</v>
      </c>
      <c r="D22" t="s">
        <v>12</v>
      </c>
      <c r="E22" t="s">
        <v>13</v>
      </c>
      <c r="F22" s="1">
        <v>9259.93</v>
      </c>
    </row>
    <row r="23" spans="1:6" x14ac:dyDescent="0.25">
      <c r="A23" t="s">
        <v>71</v>
      </c>
      <c r="B23" t="s">
        <v>7</v>
      </c>
      <c r="C23" t="s">
        <v>8</v>
      </c>
      <c r="D23" t="s">
        <v>12</v>
      </c>
      <c r="E23" t="s">
        <v>13</v>
      </c>
      <c r="F23" s="1">
        <v>65000</v>
      </c>
    </row>
    <row r="24" spans="1:6" x14ac:dyDescent="0.25">
      <c r="A24" t="s">
        <v>72</v>
      </c>
      <c r="B24" t="s">
        <v>7</v>
      </c>
      <c r="C24" t="s">
        <v>11</v>
      </c>
      <c r="D24" t="s">
        <v>12</v>
      </c>
      <c r="E24" t="s">
        <v>13</v>
      </c>
      <c r="F24" s="1">
        <v>26000</v>
      </c>
    </row>
    <row r="27" spans="1:6" ht="18.75" x14ac:dyDescent="0.3">
      <c r="A27" s="37" t="s">
        <v>115</v>
      </c>
      <c r="B27" s="37"/>
      <c r="C27" s="37"/>
      <c r="D27" s="37"/>
      <c r="E27" s="37"/>
      <c r="F27" s="37"/>
    </row>
    <row r="29" spans="1:6" x14ac:dyDescent="0.25">
      <c r="A29" s="35"/>
      <c r="C29" s="35"/>
      <c r="D29" s="35"/>
      <c r="F29" s="35" t="s">
        <v>116</v>
      </c>
    </row>
    <row r="30" spans="1:6" ht="28.5" x14ac:dyDescent="0.45">
      <c r="A30" s="21"/>
      <c r="C30" s="23"/>
      <c r="D30" s="35" t="s">
        <v>7</v>
      </c>
      <c r="E30" s="25">
        <v>7</v>
      </c>
      <c r="F30" s="36">
        <f>SUMIF(B2:B24,"PAC",F2:F24)</f>
        <v>207500</v>
      </c>
    </row>
    <row r="31" spans="1:6" x14ac:dyDescent="0.25">
      <c r="D31" t="s">
        <v>20</v>
      </c>
      <c r="E31">
        <v>16</v>
      </c>
      <c r="F31" s="1">
        <f>SUMIF(B2:B24,"NO PAC",F2:F24)</f>
        <v>75059.929999999993</v>
      </c>
    </row>
    <row r="32" spans="1:6" x14ac:dyDescent="0.25">
      <c r="E32">
        <f>SUBTOTAL(9,E30:E31)</f>
        <v>23</v>
      </c>
      <c r="F32" s="1">
        <f>SUBTOTAL(9,F30:F31)</f>
        <v>282559.93</v>
      </c>
    </row>
    <row r="33" spans="1:3" x14ac:dyDescent="0.25">
      <c r="A33" s="8" t="s">
        <v>3</v>
      </c>
      <c r="B33" s="8" t="s">
        <v>81</v>
      </c>
    </row>
    <row r="34" spans="1:3" x14ac:dyDescent="0.25">
      <c r="A34" t="s">
        <v>123</v>
      </c>
      <c r="B34">
        <f>COUNTIF(D2:D24,"Pendiente")</f>
        <v>6</v>
      </c>
    </row>
    <row r="35" spans="1:3" x14ac:dyDescent="0.25">
      <c r="A35" t="s">
        <v>86</v>
      </c>
      <c r="B35">
        <f>COUNTIF(D2:D24,"En progreso")</f>
        <v>17</v>
      </c>
    </row>
    <row r="36" spans="1:3" x14ac:dyDescent="0.25">
      <c r="A36" t="s">
        <v>18</v>
      </c>
      <c r="B36">
        <f>COUNTIF(D2:D24,"Contratado")</f>
        <v>0</v>
      </c>
    </row>
    <row r="38" spans="1:3" x14ac:dyDescent="0.25">
      <c r="A38" s="38" t="s">
        <v>101</v>
      </c>
      <c r="B38" s="38"/>
      <c r="C38" s="38"/>
    </row>
    <row r="40" spans="1:3" x14ac:dyDescent="0.25">
      <c r="A40" s="30" t="s">
        <v>102</v>
      </c>
      <c r="B40" s="30" t="s">
        <v>81</v>
      </c>
      <c r="C40" s="30" t="s">
        <v>5</v>
      </c>
    </row>
    <row r="41" spans="1:3" x14ac:dyDescent="0.25">
      <c r="A41" t="s">
        <v>7</v>
      </c>
      <c r="B41">
        <f>COUNTIF(B2:B24,"PAC")</f>
        <v>7</v>
      </c>
      <c r="C41" s="31">
        <f>SUMIF(B2:B24,"PAC",F2:F24)</f>
        <v>207500</v>
      </c>
    </row>
    <row r="42" spans="1:3" x14ac:dyDescent="0.25">
      <c r="A42" t="s">
        <v>20</v>
      </c>
      <c r="B42">
        <f>COUNTIF(B2:B24,"NO PAC")</f>
        <v>16</v>
      </c>
      <c r="C42" s="31">
        <f>SUMIF(B2:B24,"NO PAC",F2:F24)</f>
        <v>75059.929999999993</v>
      </c>
    </row>
  </sheetData>
  <autoFilter ref="A1:F24" xr:uid="{00000000-0009-0000-0000-00000A000000}"/>
  <mergeCells count="2">
    <mergeCell ref="A27:F27"/>
    <mergeCell ref="A38:C38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📊 DASHBOARD PRINCIPAL</vt:lpstr>
      <vt:lpstr>DAF - Jefatura Administrativa</vt:lpstr>
      <vt:lpstr>DAF - Jefatura de Talento Human</vt:lpstr>
      <vt:lpstr>DAF - Jefatura Financiera</vt:lpstr>
      <vt:lpstr>Dirección de Comercialización</vt:lpstr>
      <vt:lpstr>Dirección de Comunicación</vt:lpstr>
      <vt:lpstr>Dirección de Desarrollo de Prod</vt:lpstr>
      <vt:lpstr>Dirección de Promoción de Desti</vt:lpstr>
      <vt:lpstr>Dirección de Servicios para la </vt:lpstr>
      <vt:lpstr>Dirección de Turismo de Negocio</vt:lpstr>
      <vt:lpstr>DPEI - Estadística</vt:lpstr>
      <vt:lpstr>DPEI - Jefatura de 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2026-05-06T03:32:44Z</dcterms:created>
  <dcterms:modified xsi:type="dcterms:W3CDTF">2026-05-07T13:54:11Z</dcterms:modified>
  <cp:category/>
</cp:coreProperties>
</file>