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xulloa_quito-turismo_gob_ec/Documents/Documentos/GESTION ASESORIA/ARENA DE ESPECTACULOS/"/>
    </mc:Choice>
  </mc:AlternateContent>
  <xr:revisionPtr revIDLastSave="25" documentId="8_{B74BE4F7-7A3B-4B24-B3AF-3ED94B299BE5}" xr6:coauthVersionLast="47" xr6:coauthVersionMax="47" xr10:uidLastSave="{E327DBF3-F3DC-4382-B146-59870425D3A2}"/>
  <bookViews>
    <workbookView xWindow="-110" yWindow="-110" windowWidth="25820" windowHeight="15500" activeTab="2" xr2:uid="{00000000-000D-0000-FFFF-FFFF00000000}"/>
  </bookViews>
  <sheets>
    <sheet name="Cronograma Arena" sheetId="1" r:id="rId1"/>
    <sheet name="Cronograma Shakira" sheetId="2" r:id="rId2"/>
    <sheet name="Cronograma Warn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 s="1"/>
  <c r="C7" i="3" s="1"/>
  <c r="C5" i="2"/>
  <c r="C6" i="2" s="1"/>
  <c r="C7" i="2" l="1"/>
  <c r="C9" i="2"/>
  <c r="C8" i="3"/>
  <c r="C9" i="3" s="1"/>
  <c r="C10" i="3" s="1"/>
  <c r="C11" i="3" s="1"/>
  <c r="C8" i="2"/>
  <c r="C10" i="2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12" i="3" l="1"/>
  <c r="C13" i="3" s="1"/>
  <c r="C14" i="3" s="1"/>
  <c r="C15" i="3" s="1"/>
  <c r="C16" i="3" s="1"/>
  <c r="C17" i="3" s="1"/>
  <c r="C18" i="3" s="1"/>
  <c r="C19" i="3" s="1"/>
  <c r="C20" i="3" s="1"/>
</calcChain>
</file>

<file path=xl/sharedStrings.xml><?xml version="1.0" encoding="utf-8"?>
<sst xmlns="http://schemas.openxmlformats.org/spreadsheetml/2006/main" count="130" uniqueCount="100">
  <si>
    <t xml:space="preserve">CONSULTORIA PLAZA DE ESPECTÁCULOS </t>
  </si>
  <si>
    <t>jue 11/09/25</t>
  </si>
  <si>
    <t>Contratación personal técnico</t>
  </si>
  <si>
    <t>Documentación habilitante</t>
  </si>
  <si>
    <t>vie 12/09/25</t>
  </si>
  <si>
    <t>vie 19/09/25</t>
  </si>
  <si>
    <t xml:space="preserve">   Elaboración y culminación de Informe Ténico</t>
  </si>
  <si>
    <t xml:space="preserve">   Elaboración y culminación de Informe de Necesidad</t>
  </si>
  <si>
    <t xml:space="preserve">   Elaboración y culminaciónTérmino de Referencia</t>
  </si>
  <si>
    <t>Reunión de Directorio</t>
  </si>
  <si>
    <t>Criterio favorable traspaso de crédito</t>
  </si>
  <si>
    <t>mié 08/10/25</t>
  </si>
  <si>
    <t>Aprobación de Financiero</t>
  </si>
  <si>
    <t>lun 13/10/25</t>
  </si>
  <si>
    <t>Reforma PAC/POA/CATE</t>
  </si>
  <si>
    <t>mié 05/11/25</t>
  </si>
  <si>
    <t xml:space="preserve">   Requerimiento de reforma</t>
  </si>
  <si>
    <t xml:space="preserve">   Reforma Presupuestaria</t>
  </si>
  <si>
    <t>lun 27/10/25</t>
  </si>
  <si>
    <t xml:space="preserve">   Requerimiento de Reforma PAC</t>
  </si>
  <si>
    <t>mar 28/10/25</t>
  </si>
  <si>
    <t xml:space="preserve">   Reforma PAC</t>
  </si>
  <si>
    <t xml:space="preserve">   Certificacion POA - CATE</t>
  </si>
  <si>
    <t>Publicación necesidad</t>
  </si>
  <si>
    <t xml:space="preserve">   Autorización del informe de necesidad</t>
  </si>
  <si>
    <t xml:space="preserve">   Solicitud de la publicación</t>
  </si>
  <si>
    <t xml:space="preserve">   Publicación de la necesidad</t>
  </si>
  <si>
    <t xml:space="preserve">   Recepción de cotizaciones</t>
  </si>
  <si>
    <t>Elaboración y culminación del Estudio de Mercado</t>
  </si>
  <si>
    <t>vie 07/11/25</t>
  </si>
  <si>
    <t>lun 10/11/25</t>
  </si>
  <si>
    <t>Certificación presupuestaria y PAC</t>
  </si>
  <si>
    <t>mar 11/11/25</t>
  </si>
  <si>
    <t xml:space="preserve">   Solicitud de certificación Presupuestaria</t>
  </si>
  <si>
    <t>jue 13/11/25</t>
  </si>
  <si>
    <t xml:space="preserve">   Emisión de certificación presupuestaria</t>
  </si>
  <si>
    <t xml:space="preserve">   Solicitud de certificación PAC</t>
  </si>
  <si>
    <t xml:space="preserve">   Certificasión PAC</t>
  </si>
  <si>
    <t>Autorización Inicio y Pliego</t>
  </si>
  <si>
    <t xml:space="preserve">   Autorización de Gasto e inicio</t>
  </si>
  <si>
    <t xml:space="preserve">   Elaboración de Pliego</t>
  </si>
  <si>
    <t xml:space="preserve">   Elaboración de resolución de inicio</t>
  </si>
  <si>
    <t>Etapa precontractual y Contractual</t>
  </si>
  <si>
    <t>mié 19/11/25</t>
  </si>
  <si>
    <t xml:space="preserve">      Publicación del proceso en el portal</t>
  </si>
  <si>
    <t xml:space="preserve">      Audiencia de preguntas, respuestas y aclaracione</t>
  </si>
  <si>
    <t xml:space="preserve">      Entrega de Ofertas </t>
  </si>
  <si>
    <t xml:space="preserve">      Solicitud de convalidación</t>
  </si>
  <si>
    <t xml:space="preserve">      Recepción de convalidación</t>
  </si>
  <si>
    <t>mar 02/12/25</t>
  </si>
  <si>
    <t xml:space="preserve">      Calificación de ofertas e informe de recomendación</t>
  </si>
  <si>
    <t xml:space="preserve">      Adjudicación</t>
  </si>
  <si>
    <t xml:space="preserve">      Suscripción del Contrato</t>
  </si>
  <si>
    <t xml:space="preserve">   Ejecución del contrato</t>
  </si>
  <si>
    <t xml:space="preserve">      Diagnóstico Integral</t>
  </si>
  <si>
    <t xml:space="preserve">      Estudios Arquitectónicos</t>
  </si>
  <si>
    <t xml:space="preserve">      Diseños Definitivos</t>
  </si>
  <si>
    <t xml:space="preserve">      Presupuesto Desglosado por capítulos, APU, Especificaciones y Cronograma</t>
  </si>
  <si>
    <t xml:space="preserve">      Planes y Manuales</t>
  </si>
  <si>
    <t xml:space="preserve">      Documentos y trámites de aprobación del proyecto</t>
  </si>
  <si>
    <t>mar 07/10/25</t>
  </si>
  <si>
    <t>vie 17/10/25</t>
  </si>
  <si>
    <t>jue 23/10/25</t>
  </si>
  <si>
    <t>vie 24/10/25</t>
  </si>
  <si>
    <t>vie 31/10/25</t>
  </si>
  <si>
    <t>jue 16/10/25</t>
  </si>
  <si>
    <t>mié 22/10/25</t>
  </si>
  <si>
    <t>jue 12/02/26</t>
  </si>
  <si>
    <t>lun 09/03/26</t>
  </si>
  <si>
    <t>RÉGIMEN ESPECIAL PROVEEDOR ÚNICO SHAKIRA</t>
  </si>
  <si>
    <t xml:space="preserve">ACTIVIDAD </t>
  </si>
  <si>
    <t xml:space="preserve">FECHA </t>
  </si>
  <si>
    <t>Publicación de la necesidad</t>
  </si>
  <si>
    <t>Recepción de proforma</t>
  </si>
  <si>
    <t>Elaboración de estudio de mercado</t>
  </si>
  <si>
    <t>Certificación presupuestaria</t>
  </si>
  <si>
    <t>Certificación PAC</t>
  </si>
  <si>
    <t>Solicitud de Autorización de gasto</t>
  </si>
  <si>
    <t xml:space="preserve">Elaboración de pliegos </t>
  </si>
  <si>
    <t>Elaboración de resolución de inicio</t>
  </si>
  <si>
    <t xml:space="preserve">Fecha Publicación </t>
  </si>
  <si>
    <t>Audiencia de preguntas, respuestas y aclaraciones</t>
  </si>
  <si>
    <t xml:space="preserve">Fecha limite de entrega  de ofertas </t>
  </si>
  <si>
    <t xml:space="preserve">Fecha limite de convalidaciones  </t>
  </si>
  <si>
    <t xml:space="preserve">Fecha limite de entrega  de convalidaciones de errores </t>
  </si>
  <si>
    <t xml:space="preserve">Fecha limite de Calificación </t>
  </si>
  <si>
    <t>Emitir informe de recomendación</t>
  </si>
  <si>
    <t xml:space="preserve">Adjudicación </t>
  </si>
  <si>
    <t>Contrato</t>
  </si>
  <si>
    <t>N°</t>
  </si>
  <si>
    <t>RÉGIMEN ESPECIAL PROVEEDOR ÚNICO WARNER</t>
  </si>
  <si>
    <t>mar 14/10/25</t>
  </si>
  <si>
    <t>mié 15/10/25</t>
  </si>
  <si>
    <t>lun 20/10/25</t>
  </si>
  <si>
    <t>mar 21/10/25</t>
  </si>
  <si>
    <t>jue 29/01/26</t>
  </si>
  <si>
    <t>lun 23/02/26</t>
  </si>
  <si>
    <t>SHAKIRA</t>
  </si>
  <si>
    <t>PLAZA DE ESPECTÁCULOS BICENTENARIO</t>
  </si>
  <si>
    <t>WARNER BROSS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</si>
</sst>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ptos"/>
      <family val="2"/>
    </font>
    <font>
      <sz val="10"/>
      <color theme="1"/>
      <name val="Aptos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0" fillId="4" borderId="0" xfId="0" applyFill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showGridLines="0" topLeftCell="A28" zoomScale="120" zoomScaleNormal="120" workbookViewId="0">
      <selection sqref="A1:C49"/>
    </sheetView>
  </sheetViews>
  <sheetFormatPr baseColWidth="10" defaultRowHeight="14.5" x14ac:dyDescent="0.35"/>
  <cols>
    <col min="1" max="1" width="51.54296875" customWidth="1"/>
    <col min="2" max="2" width="21.1796875" style="16" customWidth="1"/>
    <col min="3" max="3" width="11.54296875" style="17"/>
  </cols>
  <sheetData>
    <row r="1" spans="1:3" ht="18.5" x14ac:dyDescent="0.45">
      <c r="A1" s="20" t="s">
        <v>98</v>
      </c>
    </row>
    <row r="2" spans="1:3" ht="18.649999999999999" customHeight="1" x14ac:dyDescent="0.35">
      <c r="A2" s="19" t="s">
        <v>0</v>
      </c>
      <c r="B2" s="19"/>
    </row>
    <row r="3" spans="1:3" x14ac:dyDescent="0.35">
      <c r="A3" s="2" t="s">
        <v>70</v>
      </c>
      <c r="B3" s="3" t="s">
        <v>71</v>
      </c>
    </row>
    <row r="4" spans="1:3" x14ac:dyDescent="0.35">
      <c r="A4" s="14" t="s">
        <v>2</v>
      </c>
      <c r="B4" s="15" t="s">
        <v>1</v>
      </c>
      <c r="C4" s="17">
        <v>1</v>
      </c>
    </row>
    <row r="5" spans="1:3" x14ac:dyDescent="0.35">
      <c r="A5" s="18" t="s">
        <v>3</v>
      </c>
      <c r="B5" s="18"/>
      <c r="C5" s="17">
        <v>1</v>
      </c>
    </row>
    <row r="6" spans="1:3" x14ac:dyDescent="0.35">
      <c r="A6" s="14" t="s">
        <v>6</v>
      </c>
      <c r="B6" s="15" t="s">
        <v>4</v>
      </c>
      <c r="C6" s="17">
        <v>1</v>
      </c>
    </row>
    <row r="7" spans="1:3" x14ac:dyDescent="0.35">
      <c r="A7" s="14" t="s">
        <v>7</v>
      </c>
      <c r="B7" s="15" t="s">
        <v>4</v>
      </c>
      <c r="C7" s="17">
        <v>1</v>
      </c>
    </row>
    <row r="8" spans="1:3" x14ac:dyDescent="0.35">
      <c r="A8" s="14" t="s">
        <v>8</v>
      </c>
      <c r="B8" s="15" t="s">
        <v>5</v>
      </c>
      <c r="C8" s="17">
        <v>1</v>
      </c>
    </row>
    <row r="9" spans="1:3" ht="30" customHeight="1" x14ac:dyDescent="0.35">
      <c r="A9" s="18" t="s">
        <v>9</v>
      </c>
      <c r="B9" s="18"/>
      <c r="C9" s="17">
        <v>1</v>
      </c>
    </row>
    <row r="10" spans="1:3" x14ac:dyDescent="0.35">
      <c r="A10" s="14" t="s">
        <v>10</v>
      </c>
      <c r="B10" s="15" t="s">
        <v>60</v>
      </c>
      <c r="C10" s="17">
        <v>1</v>
      </c>
    </row>
    <row r="11" spans="1:3" x14ac:dyDescent="0.35">
      <c r="A11" s="14" t="s">
        <v>12</v>
      </c>
      <c r="B11" s="15" t="s">
        <v>11</v>
      </c>
      <c r="C11" s="17">
        <v>1</v>
      </c>
    </row>
    <row r="12" spans="1:3" ht="30" customHeight="1" x14ac:dyDescent="0.35">
      <c r="A12" s="18" t="s">
        <v>14</v>
      </c>
      <c r="B12" s="18"/>
    </row>
    <row r="13" spans="1:3" x14ac:dyDescent="0.35">
      <c r="A13" s="14" t="s">
        <v>16</v>
      </c>
      <c r="B13" s="15" t="s">
        <v>11</v>
      </c>
      <c r="C13" s="17">
        <v>1</v>
      </c>
    </row>
    <row r="14" spans="1:3" x14ac:dyDescent="0.35">
      <c r="A14" s="14" t="s">
        <v>17</v>
      </c>
      <c r="B14" s="15" t="s">
        <v>11</v>
      </c>
      <c r="C14" s="17">
        <v>1</v>
      </c>
    </row>
    <row r="15" spans="1:3" x14ac:dyDescent="0.35">
      <c r="A15" s="14" t="s">
        <v>19</v>
      </c>
      <c r="B15" s="15" t="s">
        <v>13</v>
      </c>
      <c r="C15" s="17">
        <v>0</v>
      </c>
    </row>
    <row r="16" spans="1:3" x14ac:dyDescent="0.35">
      <c r="A16" s="14" t="s">
        <v>21</v>
      </c>
      <c r="B16" s="15" t="s">
        <v>91</v>
      </c>
      <c r="C16" s="17">
        <v>0</v>
      </c>
    </row>
    <row r="17" spans="1:3" x14ac:dyDescent="0.35">
      <c r="A17" s="14" t="s">
        <v>22</v>
      </c>
      <c r="B17" s="15" t="s">
        <v>91</v>
      </c>
      <c r="C17" s="17">
        <v>0</v>
      </c>
    </row>
    <row r="18" spans="1:3" ht="30" customHeight="1" x14ac:dyDescent="0.35">
      <c r="A18" s="18" t="s">
        <v>23</v>
      </c>
      <c r="B18" s="18"/>
    </row>
    <row r="19" spans="1:3" x14ac:dyDescent="0.35">
      <c r="A19" s="14" t="s">
        <v>24</v>
      </c>
      <c r="B19" s="15" t="s">
        <v>91</v>
      </c>
      <c r="C19" s="17">
        <v>0</v>
      </c>
    </row>
    <row r="20" spans="1:3" x14ac:dyDescent="0.35">
      <c r="A20" s="14" t="s">
        <v>25</v>
      </c>
      <c r="B20" s="15" t="s">
        <v>91</v>
      </c>
      <c r="C20" s="17">
        <v>0</v>
      </c>
    </row>
    <row r="21" spans="1:3" x14ac:dyDescent="0.35">
      <c r="A21" s="14" t="s">
        <v>26</v>
      </c>
      <c r="B21" s="15" t="s">
        <v>92</v>
      </c>
      <c r="C21" s="17">
        <v>0</v>
      </c>
    </row>
    <row r="22" spans="1:3" x14ac:dyDescent="0.35">
      <c r="A22" s="14" t="s">
        <v>27</v>
      </c>
      <c r="B22" s="15" t="s">
        <v>65</v>
      </c>
      <c r="C22" s="17">
        <v>0</v>
      </c>
    </row>
    <row r="23" spans="1:3" x14ac:dyDescent="0.35">
      <c r="A23" s="14" t="s">
        <v>28</v>
      </c>
      <c r="B23" s="15" t="s">
        <v>61</v>
      </c>
      <c r="C23" s="17">
        <v>0</v>
      </c>
    </row>
    <row r="24" spans="1:3" ht="30" customHeight="1" x14ac:dyDescent="0.35">
      <c r="A24" s="18" t="s">
        <v>31</v>
      </c>
      <c r="B24" s="18"/>
    </row>
    <row r="25" spans="1:3" x14ac:dyDescent="0.35">
      <c r="A25" s="14" t="s">
        <v>33</v>
      </c>
      <c r="B25" s="15" t="s">
        <v>93</v>
      </c>
      <c r="C25" s="17">
        <v>0</v>
      </c>
    </row>
    <row r="26" spans="1:3" x14ac:dyDescent="0.35">
      <c r="A26" s="14" t="s">
        <v>35</v>
      </c>
      <c r="B26" s="15" t="s">
        <v>94</v>
      </c>
      <c r="C26" s="17">
        <v>0</v>
      </c>
    </row>
    <row r="27" spans="1:3" x14ac:dyDescent="0.35">
      <c r="A27" s="14" t="s">
        <v>36</v>
      </c>
      <c r="B27" s="15" t="s">
        <v>94</v>
      </c>
      <c r="C27" s="17">
        <v>0</v>
      </c>
    </row>
    <row r="28" spans="1:3" x14ac:dyDescent="0.35">
      <c r="A28" s="14" t="s">
        <v>37</v>
      </c>
      <c r="B28" s="15" t="s">
        <v>94</v>
      </c>
      <c r="C28" s="17">
        <v>0</v>
      </c>
    </row>
    <row r="29" spans="1:3" ht="30" customHeight="1" x14ac:dyDescent="0.35">
      <c r="A29" s="18" t="s">
        <v>38</v>
      </c>
      <c r="B29" s="18"/>
    </row>
    <row r="30" spans="1:3" x14ac:dyDescent="0.35">
      <c r="A30" s="14" t="s">
        <v>39</v>
      </c>
      <c r="B30" s="15" t="s">
        <v>66</v>
      </c>
      <c r="C30" s="17">
        <v>0</v>
      </c>
    </row>
    <row r="31" spans="1:3" x14ac:dyDescent="0.35">
      <c r="A31" s="14" t="s">
        <v>40</v>
      </c>
      <c r="B31" s="15" t="s">
        <v>62</v>
      </c>
      <c r="C31" s="17">
        <v>0</v>
      </c>
    </row>
    <row r="32" spans="1:3" x14ac:dyDescent="0.35">
      <c r="A32" s="14" t="s">
        <v>41</v>
      </c>
      <c r="B32" s="15" t="s">
        <v>63</v>
      </c>
      <c r="C32" s="17">
        <v>0</v>
      </c>
    </row>
    <row r="33" spans="1:3" ht="30" customHeight="1" x14ac:dyDescent="0.35">
      <c r="A33" s="18" t="s">
        <v>42</v>
      </c>
      <c r="B33" s="18"/>
    </row>
    <row r="34" spans="1:3" x14ac:dyDescent="0.35">
      <c r="A34" s="14" t="s">
        <v>44</v>
      </c>
      <c r="B34" s="15" t="s">
        <v>18</v>
      </c>
      <c r="C34" s="17">
        <v>0</v>
      </c>
    </row>
    <row r="35" spans="1:3" x14ac:dyDescent="0.35">
      <c r="A35" s="14" t="s">
        <v>45</v>
      </c>
      <c r="B35" s="15" t="s">
        <v>20</v>
      </c>
      <c r="C35" s="17">
        <v>0</v>
      </c>
    </row>
    <row r="36" spans="1:3" x14ac:dyDescent="0.35">
      <c r="A36" s="14" t="s">
        <v>46</v>
      </c>
      <c r="B36" s="15" t="s">
        <v>64</v>
      </c>
      <c r="C36" s="17">
        <v>0</v>
      </c>
    </row>
    <row r="37" spans="1:3" x14ac:dyDescent="0.35">
      <c r="A37" s="14" t="s">
        <v>47</v>
      </c>
      <c r="B37" s="15" t="s">
        <v>15</v>
      </c>
      <c r="C37" s="17">
        <v>0</v>
      </c>
    </row>
    <row r="38" spans="1:3" x14ac:dyDescent="0.35">
      <c r="A38" s="14" t="s">
        <v>48</v>
      </c>
      <c r="B38" s="15" t="s">
        <v>29</v>
      </c>
      <c r="C38" s="17">
        <v>0</v>
      </c>
    </row>
    <row r="39" spans="1:3" x14ac:dyDescent="0.35">
      <c r="A39" s="14" t="s">
        <v>50</v>
      </c>
      <c r="B39" s="15" t="s">
        <v>30</v>
      </c>
      <c r="C39" s="17">
        <v>0</v>
      </c>
    </row>
    <row r="40" spans="1:3" x14ac:dyDescent="0.35">
      <c r="A40" s="14" t="s">
        <v>51</v>
      </c>
      <c r="B40" s="15" t="s">
        <v>34</v>
      </c>
      <c r="C40" s="17">
        <v>0</v>
      </c>
    </row>
    <row r="41" spans="1:3" x14ac:dyDescent="0.35">
      <c r="A41" s="14" t="s">
        <v>52</v>
      </c>
      <c r="B41" s="15" t="s">
        <v>43</v>
      </c>
      <c r="C41" s="17">
        <v>0</v>
      </c>
    </row>
    <row r="42" spans="1:3" ht="30" customHeight="1" x14ac:dyDescent="0.35">
      <c r="A42" s="18" t="s">
        <v>53</v>
      </c>
      <c r="B42" s="18"/>
    </row>
    <row r="43" spans="1:3" x14ac:dyDescent="0.35">
      <c r="A43" s="14" t="s">
        <v>54</v>
      </c>
      <c r="B43" s="15" t="s">
        <v>32</v>
      </c>
      <c r="C43" s="17">
        <v>0</v>
      </c>
    </row>
    <row r="44" spans="1:3" x14ac:dyDescent="0.35">
      <c r="A44" s="14" t="s">
        <v>55</v>
      </c>
      <c r="B44" s="15" t="s">
        <v>49</v>
      </c>
      <c r="C44" s="17">
        <v>0</v>
      </c>
    </row>
    <row r="45" spans="1:3" x14ac:dyDescent="0.35">
      <c r="A45" s="14" t="s">
        <v>56</v>
      </c>
      <c r="B45" s="15" t="s">
        <v>95</v>
      </c>
      <c r="C45" s="17">
        <v>0</v>
      </c>
    </row>
    <row r="46" spans="1:3" ht="29" x14ac:dyDescent="0.35">
      <c r="A46" s="14" t="s">
        <v>57</v>
      </c>
      <c r="B46" s="15" t="s">
        <v>67</v>
      </c>
      <c r="C46" s="17">
        <v>0</v>
      </c>
    </row>
    <row r="47" spans="1:3" x14ac:dyDescent="0.35">
      <c r="A47" s="14" t="s">
        <v>58</v>
      </c>
      <c r="B47" s="15" t="s">
        <v>96</v>
      </c>
      <c r="C47" s="17">
        <v>0</v>
      </c>
    </row>
    <row r="48" spans="1:3" ht="18.649999999999999" customHeight="1" x14ac:dyDescent="0.35">
      <c r="A48" s="14" t="s">
        <v>59</v>
      </c>
      <c r="B48" s="15" t="s">
        <v>68</v>
      </c>
      <c r="C48" s="17">
        <v>0</v>
      </c>
    </row>
  </sheetData>
  <mergeCells count="9">
    <mergeCell ref="A42:B42"/>
    <mergeCell ref="A29:B29"/>
    <mergeCell ref="A2:B2"/>
    <mergeCell ref="A9:B9"/>
    <mergeCell ref="A12:B12"/>
    <mergeCell ref="A18:B18"/>
    <mergeCell ref="A24:B24"/>
    <mergeCell ref="A33:B33"/>
    <mergeCell ref="A5:B5"/>
  </mergeCells>
  <conditionalFormatting sqref="C4">
    <cfRule type="iconSet" priority="13">
      <iconSet iconSet="3Symbols2" showValue="0">
        <cfvo type="percent" val="0"/>
        <cfvo type="percent" val="33"/>
        <cfvo type="percent" val="67"/>
      </iconSet>
    </cfRule>
    <cfRule type="iconSet" priority="14">
      <iconSet iconSet="3Arrows" showValue="0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C5">
    <cfRule type="iconSet" priority="16">
      <iconSet iconSet="3Symbols2" showValue="0">
        <cfvo type="percent" val="0"/>
        <cfvo type="percent" val="33"/>
        <cfvo type="percent" val="67"/>
      </iconSet>
    </cfRule>
    <cfRule type="iconSet" priority="17">
      <iconSet iconSet="3Arrows" showValue="0">
        <cfvo type="percent" val="0"/>
        <cfvo type="percent" val="33"/>
        <cfvo type="percent" val="67"/>
      </iconSet>
    </cfRule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C6">
    <cfRule type="iconSet" priority="10">
      <iconSet iconSet="3Symbols2" showValue="0">
        <cfvo type="percent" val="0"/>
        <cfvo type="percent" val="33"/>
        <cfvo type="percent" val="67"/>
      </iconSet>
    </cfRule>
    <cfRule type="iconSet" priority="11">
      <iconSet iconSet="3Arrows" showValue="0">
        <cfvo type="percent" val="0"/>
        <cfvo type="percent" val="33"/>
        <cfvo type="percent" val="67"/>
      </iconSet>
    </cfRule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C7">
    <cfRule type="iconSet" priority="7">
      <iconSet iconSet="3Symbols2" showValue="0">
        <cfvo type="percent" val="0"/>
        <cfvo type="percent" val="33"/>
        <cfvo type="percent" val="67"/>
      </iconSet>
    </cfRule>
    <cfRule type="iconSet" priority="8">
      <iconSet iconSet="3Arrows" showValue="0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C8">
    <cfRule type="iconSet" priority="4">
      <iconSet iconSet="3Symbols2" showValue="0">
        <cfvo type="percent" val="0"/>
        <cfvo type="percent" val="33"/>
        <cfvo type="percent" val="67"/>
      </iconSet>
    </cfRule>
    <cfRule type="iconSet" priority="5">
      <iconSet iconSet="3Arrows" showValue="0">
        <cfvo type="percent" val="0"/>
        <cfvo type="percent" val="33"/>
        <cfvo type="percent" val="67"/>
      </iconSe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C9:C48">
    <cfRule type="iconSet" priority="1">
      <iconSet iconSet="3Symbols2" showValue="0">
        <cfvo type="percent" val="0"/>
        <cfvo type="percent" val="33"/>
        <cfvo type="percent" val="67"/>
      </iconSet>
    </cfRule>
    <cfRule type="iconSet" priority="2">
      <iconSet iconSet="3Arrows" showValue="0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064B-AE75-4BFA-AE97-2B7048F6F596}">
  <dimension ref="A1:D23"/>
  <sheetViews>
    <sheetView showGridLines="0" zoomScale="145" zoomScaleNormal="145" workbookViewId="0">
      <selection sqref="A1:C21"/>
    </sheetView>
  </sheetViews>
  <sheetFormatPr baseColWidth="10" defaultRowHeight="14.5" x14ac:dyDescent="0.35"/>
  <cols>
    <col min="1" max="1" width="3.6328125" customWidth="1"/>
    <col min="2" max="2" width="32.81640625" style="10" customWidth="1"/>
    <col min="3" max="3" width="31.453125" bestFit="1" customWidth="1"/>
    <col min="5" max="5" width="22.36328125" customWidth="1"/>
  </cols>
  <sheetData>
    <row r="1" spans="1:3" ht="18.5" x14ac:dyDescent="0.45">
      <c r="A1" s="20" t="s">
        <v>97</v>
      </c>
    </row>
    <row r="2" spans="1:3" x14ac:dyDescent="0.35">
      <c r="A2" s="19" t="s">
        <v>69</v>
      </c>
      <c r="B2" s="19"/>
      <c r="C2" s="19"/>
    </row>
    <row r="3" spans="1:3" s="4" customFormat="1" ht="15" customHeight="1" x14ac:dyDescent="0.35">
      <c r="A3" s="1" t="s">
        <v>89</v>
      </c>
      <c r="B3" s="2" t="s">
        <v>70</v>
      </c>
      <c r="C3" s="3" t="s">
        <v>71</v>
      </c>
    </row>
    <row r="4" spans="1:3" s="4" customFormat="1" ht="15" customHeight="1" x14ac:dyDescent="0.35">
      <c r="A4" s="5">
        <v>1</v>
      </c>
      <c r="B4" s="6" t="s">
        <v>72</v>
      </c>
      <c r="C4" s="7">
        <v>45933</v>
      </c>
    </row>
    <row r="5" spans="1:3" s="4" customFormat="1" ht="15" customHeight="1" x14ac:dyDescent="0.35">
      <c r="A5" s="5">
        <v>2</v>
      </c>
      <c r="B5" s="6" t="s">
        <v>73</v>
      </c>
      <c r="C5" s="7">
        <f>+C4+1+2</f>
        <v>45936</v>
      </c>
    </row>
    <row r="6" spans="1:3" s="4" customFormat="1" ht="15" customHeight="1" x14ac:dyDescent="0.35">
      <c r="A6" s="5">
        <v>3</v>
      </c>
      <c r="B6" s="6" t="s">
        <v>74</v>
      </c>
      <c r="C6" s="7">
        <f>+C5+2</f>
        <v>45938</v>
      </c>
    </row>
    <row r="7" spans="1:3" s="4" customFormat="1" ht="15" customHeight="1" x14ac:dyDescent="0.35">
      <c r="A7" s="5">
        <v>4</v>
      </c>
      <c r="B7" s="6" t="s">
        <v>75</v>
      </c>
      <c r="C7" s="7">
        <f>+C6</f>
        <v>45938</v>
      </c>
    </row>
    <row r="8" spans="1:3" s="4" customFormat="1" ht="15" customHeight="1" x14ac:dyDescent="0.35">
      <c r="A8" s="5">
        <v>5</v>
      </c>
      <c r="B8" s="6" t="s">
        <v>76</v>
      </c>
      <c r="C8" s="7">
        <f>+C7</f>
        <v>45938</v>
      </c>
    </row>
    <row r="9" spans="1:3" s="4" customFormat="1" ht="15" customHeight="1" x14ac:dyDescent="0.35">
      <c r="A9" s="5">
        <v>6</v>
      </c>
      <c r="B9" s="6" t="s">
        <v>77</v>
      </c>
      <c r="C9" s="7">
        <f>+C6+1+4</f>
        <v>45943</v>
      </c>
    </row>
    <row r="10" spans="1:3" s="4" customFormat="1" ht="15" customHeight="1" x14ac:dyDescent="0.35">
      <c r="A10" s="5">
        <v>7</v>
      </c>
      <c r="B10" s="6" t="s">
        <v>78</v>
      </c>
      <c r="C10" s="7">
        <f>+C9</f>
        <v>45943</v>
      </c>
    </row>
    <row r="11" spans="1:3" ht="17.25" customHeight="1" x14ac:dyDescent="0.35">
      <c r="A11" s="5">
        <v>8</v>
      </c>
      <c r="B11" s="6" t="s">
        <v>79</v>
      </c>
      <c r="C11" s="7">
        <f>+C10+1</f>
        <v>45944</v>
      </c>
    </row>
    <row r="12" spans="1:3" ht="17.25" customHeight="1" x14ac:dyDescent="0.35">
      <c r="A12" s="5">
        <v>9</v>
      </c>
      <c r="B12" s="8" t="s">
        <v>80</v>
      </c>
      <c r="C12" s="7">
        <f>+C11</f>
        <v>45944</v>
      </c>
    </row>
    <row r="13" spans="1:3" ht="26" x14ac:dyDescent="0.35">
      <c r="A13" s="5">
        <v>10</v>
      </c>
      <c r="B13" s="8" t="s">
        <v>81</v>
      </c>
      <c r="C13" s="7">
        <f>+C12+1</f>
        <v>45945</v>
      </c>
    </row>
    <row r="14" spans="1:3" ht="19.5" customHeight="1" x14ac:dyDescent="0.35">
      <c r="A14" s="5">
        <v>11</v>
      </c>
      <c r="B14" s="8" t="s">
        <v>82</v>
      </c>
      <c r="C14" s="7">
        <f>+C13+2</f>
        <v>45947</v>
      </c>
    </row>
    <row r="15" spans="1:3" ht="28.75" customHeight="1" x14ac:dyDescent="0.35">
      <c r="A15" s="5">
        <v>12</v>
      </c>
      <c r="B15" s="8" t="s">
        <v>83</v>
      </c>
      <c r="C15" s="7">
        <f>+C14+1+2</f>
        <v>45950</v>
      </c>
    </row>
    <row r="16" spans="1:3" ht="26.4" customHeight="1" x14ac:dyDescent="0.35">
      <c r="A16" s="5">
        <v>13</v>
      </c>
      <c r="B16" s="8" t="s">
        <v>84</v>
      </c>
      <c r="C16" s="7">
        <f>+C15+2</f>
        <v>45952</v>
      </c>
    </row>
    <row r="17" spans="1:4" ht="15.75" customHeight="1" x14ac:dyDescent="0.35">
      <c r="A17" s="5">
        <v>14</v>
      </c>
      <c r="B17" s="8" t="s">
        <v>85</v>
      </c>
      <c r="C17" s="7">
        <f>+C16</f>
        <v>45952</v>
      </c>
    </row>
    <row r="18" spans="1:4" ht="15.75" customHeight="1" x14ac:dyDescent="0.35">
      <c r="A18" s="5">
        <v>15</v>
      </c>
      <c r="B18" s="8" t="s">
        <v>86</v>
      </c>
      <c r="C18" s="7">
        <f>+C17</f>
        <v>45952</v>
      </c>
    </row>
    <row r="19" spans="1:4" x14ac:dyDescent="0.35">
      <c r="A19" s="5">
        <v>16</v>
      </c>
      <c r="B19" s="8" t="s">
        <v>87</v>
      </c>
      <c r="C19" s="7">
        <f>+C18+3+2</f>
        <v>45957</v>
      </c>
    </row>
    <row r="20" spans="1:4" x14ac:dyDescent="0.35">
      <c r="A20" s="5">
        <v>17</v>
      </c>
      <c r="B20" s="9" t="s">
        <v>88</v>
      </c>
      <c r="C20" s="7">
        <f>+C19+4</f>
        <v>45961</v>
      </c>
    </row>
    <row r="22" spans="1:4" x14ac:dyDescent="0.35">
      <c r="C22" s="11"/>
      <c r="D22" s="12"/>
    </row>
    <row r="23" spans="1:4" x14ac:dyDescent="0.35">
      <c r="C23" s="12"/>
    </row>
  </sheetData>
  <mergeCells count="1">
    <mergeCell ref="A2:C2"/>
  </mergeCells>
  <pageMargins left="0.7" right="0.7" top="0.75" bottom="0.75" header="0.3" footer="0.3"/>
  <pageSetup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D795-A1DE-4453-8F97-F30382ED53E4}">
  <dimension ref="A1:C20"/>
  <sheetViews>
    <sheetView showGridLines="0" tabSelected="1" zoomScale="130" zoomScaleNormal="130" workbookViewId="0">
      <selection sqref="A1:C21"/>
    </sheetView>
  </sheetViews>
  <sheetFormatPr baseColWidth="10" defaultRowHeight="14.5" x14ac:dyDescent="0.35"/>
  <cols>
    <col min="1" max="1" width="5.6328125" customWidth="1"/>
    <col min="2" max="2" width="30.54296875" customWidth="1"/>
    <col min="3" max="3" width="29.1796875" customWidth="1"/>
  </cols>
  <sheetData>
    <row r="1" spans="1:3" ht="18.5" x14ac:dyDescent="0.45">
      <c r="A1" s="20" t="s">
        <v>99</v>
      </c>
    </row>
    <row r="2" spans="1:3" ht="25" customHeight="1" x14ac:dyDescent="0.35">
      <c r="A2" s="19" t="s">
        <v>90</v>
      </c>
      <c r="B2" s="19"/>
      <c r="C2" s="19"/>
    </row>
    <row r="3" spans="1:3" s="4" customFormat="1" ht="15" customHeight="1" x14ac:dyDescent="0.35">
      <c r="A3" s="1" t="s">
        <v>89</v>
      </c>
      <c r="B3" s="2" t="s">
        <v>70</v>
      </c>
      <c r="C3" s="3" t="s">
        <v>71</v>
      </c>
    </row>
    <row r="4" spans="1:3" x14ac:dyDescent="0.35">
      <c r="A4" s="13">
        <v>1</v>
      </c>
      <c r="B4" s="6" t="s">
        <v>72</v>
      </c>
      <c r="C4" s="7">
        <v>45945</v>
      </c>
    </row>
    <row r="5" spans="1:3" x14ac:dyDescent="0.35">
      <c r="A5" s="13">
        <v>2</v>
      </c>
      <c r="B5" s="6" t="s">
        <v>73</v>
      </c>
      <c r="C5" s="7">
        <f>+C4+1</f>
        <v>45946</v>
      </c>
    </row>
    <row r="6" spans="1:3" x14ac:dyDescent="0.35">
      <c r="A6" s="13">
        <v>3</v>
      </c>
      <c r="B6" s="6" t="s">
        <v>74</v>
      </c>
      <c r="C6" s="7">
        <f>+C5+1</f>
        <v>45947</v>
      </c>
    </row>
    <row r="7" spans="1:3" x14ac:dyDescent="0.35">
      <c r="A7" s="13">
        <v>4</v>
      </c>
      <c r="B7" s="6" t="s">
        <v>75</v>
      </c>
      <c r="C7" s="7">
        <f>+C6+1+2</f>
        <v>45950</v>
      </c>
    </row>
    <row r="8" spans="1:3" x14ac:dyDescent="0.35">
      <c r="A8" s="13">
        <v>5</v>
      </c>
      <c r="B8" s="6" t="s">
        <v>76</v>
      </c>
      <c r="C8" s="7">
        <f>+C7</f>
        <v>45950</v>
      </c>
    </row>
    <row r="9" spans="1:3" x14ac:dyDescent="0.35">
      <c r="A9" s="13">
        <v>6</v>
      </c>
      <c r="B9" s="6" t="s">
        <v>77</v>
      </c>
      <c r="C9" s="7">
        <f>+C8+1</f>
        <v>45951</v>
      </c>
    </row>
    <row r="10" spans="1:3" x14ac:dyDescent="0.35">
      <c r="A10" s="13">
        <v>7</v>
      </c>
      <c r="B10" s="6" t="s">
        <v>78</v>
      </c>
      <c r="C10" s="7">
        <f>+C9+1</f>
        <v>45952</v>
      </c>
    </row>
    <row r="11" spans="1:3" x14ac:dyDescent="0.35">
      <c r="A11" s="13">
        <v>8</v>
      </c>
      <c r="B11" s="6" t="s">
        <v>79</v>
      </c>
      <c r="C11" s="7">
        <f>+C10+1</f>
        <v>45953</v>
      </c>
    </row>
    <row r="12" spans="1:3" x14ac:dyDescent="0.35">
      <c r="A12" s="13">
        <v>9</v>
      </c>
      <c r="B12" s="8" t="s">
        <v>80</v>
      </c>
      <c r="C12" s="7">
        <f>+C11+1</f>
        <v>45954</v>
      </c>
    </row>
    <row r="13" spans="1:3" ht="26" x14ac:dyDescent="0.35">
      <c r="A13" s="13">
        <v>10</v>
      </c>
      <c r="B13" s="8" t="s">
        <v>81</v>
      </c>
      <c r="C13" s="7">
        <f>+C12+1+2</f>
        <v>45957</v>
      </c>
    </row>
    <row r="14" spans="1:3" x14ac:dyDescent="0.35">
      <c r="A14" s="13">
        <v>11</v>
      </c>
      <c r="B14" s="8" t="s">
        <v>82</v>
      </c>
      <c r="C14" s="7">
        <f>+C13+2</f>
        <v>45959</v>
      </c>
    </row>
    <row r="15" spans="1:3" x14ac:dyDescent="0.35">
      <c r="A15" s="13">
        <v>12</v>
      </c>
      <c r="B15" s="8" t="s">
        <v>83</v>
      </c>
      <c r="C15" s="7">
        <f>+C14+1</f>
        <v>45960</v>
      </c>
    </row>
    <row r="16" spans="1:3" ht="26" x14ac:dyDescent="0.35">
      <c r="A16" s="13">
        <v>13</v>
      </c>
      <c r="B16" s="8" t="s">
        <v>84</v>
      </c>
      <c r="C16" s="7">
        <f>+C15+2+2</f>
        <v>45964</v>
      </c>
    </row>
    <row r="17" spans="1:3" x14ac:dyDescent="0.35">
      <c r="A17" s="13">
        <v>14</v>
      </c>
      <c r="B17" s="8" t="s">
        <v>85</v>
      </c>
      <c r="C17" s="7">
        <f>+C16+1</f>
        <v>45965</v>
      </c>
    </row>
    <row r="18" spans="1:3" x14ac:dyDescent="0.35">
      <c r="A18" s="13">
        <v>15</v>
      </c>
      <c r="B18" s="8" t="s">
        <v>86</v>
      </c>
      <c r="C18" s="7">
        <f>+C17</f>
        <v>45965</v>
      </c>
    </row>
    <row r="19" spans="1:3" x14ac:dyDescent="0.35">
      <c r="A19" s="13">
        <v>16</v>
      </c>
      <c r="B19" s="8" t="s">
        <v>87</v>
      </c>
      <c r="C19" s="7">
        <f>+C18+3</f>
        <v>45968</v>
      </c>
    </row>
    <row r="20" spans="1:3" x14ac:dyDescent="0.35">
      <c r="A20" s="13">
        <v>17</v>
      </c>
      <c r="B20" s="9" t="s">
        <v>88</v>
      </c>
      <c r="C20" s="7">
        <f>+C19+4+2</f>
        <v>45974</v>
      </c>
    </row>
  </sheetData>
  <mergeCells count="1">
    <mergeCell ref="A2:C2"/>
  </mergeCells>
  <pageMargins left="0.7" right="0.7" top="0.75" bottom="0.75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Cronograma Arena</vt:lpstr>
      <vt:lpstr>Cronograma Shakira</vt:lpstr>
      <vt:lpstr>Cronograma Warner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XLL</dc:creator>
  <cp:lastModifiedBy>Ximena Alexandra Ulloa Loza</cp:lastModifiedBy>
  <cp:lastPrinted>2025-10-08T16:17:55Z</cp:lastPrinted>
  <dcterms:created xsi:type="dcterms:W3CDTF">2025-10-06T21:05:37Z</dcterms:created>
  <dcterms:modified xsi:type="dcterms:W3CDTF">2025-10-08T16:18:00Z</dcterms:modified>
</cp:coreProperties>
</file>