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4" documentId="8_{CD749712-33A4-4CA1-880B-578632C3F049}" xr6:coauthVersionLast="47" xr6:coauthVersionMax="47" xr10:uidLastSave="{2084437C-2E07-4978-B913-E96103C3BEA4}"/>
  <bookViews>
    <workbookView minimized="1" xWindow="2730" yWindow="2730" windowWidth="14415" windowHeight="8370" xr2:uid="{CF27BB3C-9C75-451E-B492-5C3FC5B283D4}"/>
  </bookViews>
  <sheets>
    <sheet name="Matriz POA 2026" sheetId="1" r:id="rId1"/>
  </sheets>
  <definedNames>
    <definedName name="_xlnm._FilterDatabase" localSheetId="0" hidden="1">'Matriz POA 2026'!$A$2:$BK$226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6" i="1" l="1"/>
  <c r="E203" i="1"/>
  <c r="E145" i="1"/>
  <c r="E130" i="1"/>
  <c r="E112" i="1"/>
  <c r="E53" i="1"/>
  <c r="E52" i="1"/>
</calcChain>
</file>

<file path=xl/sharedStrings.xml><?xml version="1.0" encoding="utf-8"?>
<sst xmlns="http://schemas.openxmlformats.org/spreadsheetml/2006/main" count="1002" uniqueCount="544">
  <si>
    <t>PRESUPUESTO</t>
  </si>
  <si>
    <t xml:space="preserve">PAC - SEGUNDA REFORMA </t>
  </si>
  <si>
    <t>Direccion encargada</t>
  </si>
  <si>
    <t>SUBTAREA</t>
  </si>
  <si>
    <t>CODIGO_OLIMPO</t>
  </si>
  <si>
    <t>PARTIDA_PRESUPUESTARIA</t>
  </si>
  <si>
    <t>PRESUPUESTO_2026_INICIAL</t>
  </si>
  <si>
    <t>COSTO 2026</t>
  </si>
  <si>
    <t>CUATRIMESTRE</t>
  </si>
  <si>
    <t xml:space="preserve">SOLICTUD DE CERTIFICACION PROGRAMATICA </t>
  </si>
  <si>
    <t xml:space="preserve"> CERTIFICACION POA PAI</t>
  </si>
  <si>
    <t xml:space="preserve">INFORME TECNICO </t>
  </si>
  <si>
    <t>INFORME DE NECESIDAD</t>
  </si>
  <si>
    <t>TERMINOS DE REFERENCIA - ESPECIFICACIONES TECNICAS</t>
  </si>
  <si>
    <t xml:space="preserve">MESA TECNICA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</si>
  <si>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</si>
  <si>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</si>
  <si>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</si>
  <si>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</si>
  <si>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</si>
  <si>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</si>
  <si>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</si>
  <si>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</si>
  <si>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</si>
  <si>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</si>
  <si>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</si>
  <si>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SOLICITUD DE CERTICACION PAC </t>
  </si>
  <si>
    <t xml:space="preserve">CERTIFICACION PAC </t>
  </si>
  <si>
    <t>ELABORACION DE PLIEGOS PARA DIRECTORIO</t>
  </si>
  <si>
    <t xml:space="preserve">CONVOCATORIA DEL DIRECTORIO </t>
  </si>
  <si>
    <t xml:space="preserve">DIRECTORIO </t>
  </si>
  <si>
    <t xml:space="preserve">RESOLUCION DEL DIRECTORIO </t>
  </si>
  <si>
    <t>SOLICITUD DE PUBLICACION VPN</t>
  </si>
  <si>
    <t>RESULTADOS DE VPN</t>
  </si>
  <si>
    <t>SOLICITUD DE AUTORIZACION SERCOP</t>
  </si>
  <si>
    <t>AUTORIZACION SERCOP</t>
  </si>
  <si>
    <t>ELABORACION DE BASES INTERNACIONALES PLIEGO</t>
  </si>
  <si>
    <t xml:space="preserve">SOLICTUD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</si>
  <si>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</si>
  <si>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</si>
  <si>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</si>
  <si>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</si>
  <si>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</si>
  <si>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INICIO </t>
  </si>
  <si>
    <t>ELABORACION DE PLIEGOS</t>
  </si>
  <si>
    <t xml:space="preserve">SOLICITUD DE RESOLUCION DE INICO </t>
  </si>
  <si>
    <t xml:space="preserve">RESOLUCION DE INICIO </t>
  </si>
  <si>
    <t xml:space="preserve">CARGA EN EL ERP DE RESOLUCION DE INICIO </t>
  </si>
  <si>
    <t xml:space="preserve">FECHA DE PUBLICACION EN EL PORTAL - SUSCRIPCION DE INFIMA CUANTIA </t>
  </si>
  <si>
    <t xml:space="preserve">PREGUNTAS </t>
  </si>
  <si>
    <t xml:space="preserve">RESPUESTA </t>
  </si>
  <si>
    <t xml:space="preserve">ENTREA DE OFERTA </t>
  </si>
  <si>
    <t xml:space="preserve">REVISION PARA CONVALIDACION </t>
  </si>
  <si>
    <t xml:space="preserve">SOLICITUD DE CONVALIDACION </t>
  </si>
  <si>
    <t xml:space="preserve">ENTREGA DE CONVALIDACION </t>
  </si>
  <si>
    <t xml:space="preserve">CALIFICACION </t>
  </si>
  <si>
    <t>INFORME DE RECOMENDACION - PUJA</t>
  </si>
  <si>
    <t xml:space="preserve">ADJUDICACION </t>
  </si>
  <si>
    <t xml:space="preserve">CONTRATO </t>
  </si>
  <si>
    <t xml:space="preserve">PLAZO DE CONTRATO </t>
  </si>
  <si>
    <t>PAC - NO PAC</t>
  </si>
  <si>
    <t>PROCEDIMIENTO SUGERIDO</t>
  </si>
  <si>
    <t xml:space="preserve">RESPONSABLE </t>
  </si>
  <si>
    <t xml:space="preserve">OBSERVACIONES </t>
  </si>
  <si>
    <t>Dirección de Asesoría Jurídica</t>
  </si>
  <si>
    <t>Actualización de licencia de un sistema jurídico de consulta.</t>
  </si>
  <si>
    <t>01.01.001.002.530702.000.009</t>
  </si>
  <si>
    <t>DPEI / Jefatura de TICS</t>
  </si>
  <si>
    <t>Adquisición de almacenamiento NAS tipo torre</t>
  </si>
  <si>
    <t>01.01.001.166.840107.000.009</t>
  </si>
  <si>
    <t>Eliminada en reforma 1 POA</t>
  </si>
  <si>
    <t>Adquisición de central telefónica para Oficina Matriz Quito Turismo</t>
  </si>
  <si>
    <t>01.01.001.178.840107.000.009</t>
  </si>
  <si>
    <t>NO PAC</t>
  </si>
  <si>
    <t xml:space="preserve">Ínfimas cuantías </t>
  </si>
  <si>
    <t>Javier Pacha</t>
  </si>
  <si>
    <t>Adquisición de computadores portátiles</t>
  </si>
  <si>
    <t>01.01.001.175.840107.000.009</t>
  </si>
  <si>
    <t xml:space="preserve">Adquisición de garantías y soporte del NAS y mantenimiento </t>
  </si>
  <si>
    <t>01.01.001.008.530243.000.009</t>
  </si>
  <si>
    <t>01.01.001.008.530704.000.009</t>
  </si>
  <si>
    <t xml:space="preserve">Fabricio Medina </t>
  </si>
  <si>
    <t>No presenta documentación</t>
  </si>
  <si>
    <t>Adquisición de garantías y soporte para la central telefónica. Mantenimiento preventivo y correctivo de las central telefónica</t>
  </si>
  <si>
    <t>01.01.001.009.530243.000.009</t>
  </si>
  <si>
    <t>01.01.001.009.530404.000.009</t>
  </si>
  <si>
    <t>Adquisición de herramientas y accesorios tecnológicos</t>
  </si>
  <si>
    <t>01.01.001.004.531406.000.009</t>
  </si>
  <si>
    <t>01.01.001.004.531407.000.009</t>
  </si>
  <si>
    <t>Adquisición de infraestructura tecnológica y suscripción de herramientas de respaldos y virtualización</t>
  </si>
  <si>
    <t>01.01.001.183.840107.000.009</t>
  </si>
  <si>
    <t>PAC</t>
  </si>
  <si>
    <t>Subasta Inversa Electrónica</t>
  </si>
  <si>
    <t>01.01.001.183.530702.000.009</t>
  </si>
  <si>
    <t>01.01.001.183.530402.000.009</t>
  </si>
  <si>
    <t>Dirección de Turismo de Negocios y Atracción de Eventos</t>
  </si>
  <si>
    <t>Adquisición de Material POP</t>
  </si>
  <si>
    <t>01.01.002.053.530207.000.009</t>
  </si>
  <si>
    <t xml:space="preserve">Subasta Inversa Electrónica </t>
  </si>
  <si>
    <t xml:space="preserve">Carlos Benítez Salguero </t>
  </si>
  <si>
    <t>Retrasado</t>
  </si>
  <si>
    <t>Adquisición de monitores</t>
  </si>
  <si>
    <t>01.01.001.162.840107.000.009</t>
  </si>
  <si>
    <t>Adquisición de partes, piezas y/o repuestos de impresoras</t>
  </si>
  <si>
    <t>01.01.001.122.530813.000.009</t>
  </si>
  <si>
    <t xml:space="preserve">Catálogo Electrónico </t>
  </si>
  <si>
    <t>Incremento en la 1ra reforma PAC</t>
  </si>
  <si>
    <t>01.01.001.122.530813.001.009</t>
  </si>
  <si>
    <t>Adquisición de partes, piezas y/o repuestos de impresoras (arrastre)</t>
  </si>
  <si>
    <t>01.01.001.179.530813.000.009</t>
  </si>
  <si>
    <t>Mantenimiento servidores NAS (arrastre)</t>
  </si>
  <si>
    <t>01.01.001.180.530704.000.009</t>
  </si>
  <si>
    <t>Adquisición de PDU para rack autocontenido</t>
  </si>
  <si>
    <t>01.01.001.163.840107.000.009</t>
  </si>
  <si>
    <t>DAF / Jefatura Administrativa</t>
  </si>
  <si>
    <t>Adquisición de repuestos y accesorios para vehículos de la EPMGDT</t>
  </si>
  <si>
    <t>01.01.001.013.530813.000.009</t>
  </si>
  <si>
    <t>DAF / Jefatura de Talento Humano</t>
  </si>
  <si>
    <t>Adquisición de ropa de trabajo para el personal de Código de Trabajo de la EPMGDT</t>
  </si>
  <si>
    <t>01.01.001.014.530802.000.009</t>
  </si>
  <si>
    <t>Andrés Mogro</t>
  </si>
  <si>
    <t>Adquisición de suministros de impresión (toners) para la EPMGDT</t>
  </si>
  <si>
    <t>01.01.001.016.530807.000.009</t>
  </si>
  <si>
    <t>Daniel Rojas</t>
  </si>
  <si>
    <t xml:space="preserve">Reformado en 1ra reforma PAC  </t>
  </si>
  <si>
    <t>Adquisición de suministros de impresión toners para la EPMGDT no catalogado (arrastre)</t>
  </si>
  <si>
    <t>01.01.001.188.530807.000.009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</si>
  <si>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</si>
  <si>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</si>
  <si>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</si>
  <si>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</si>
  <si>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Adquisición de una solución de infraestructura tecnológica híbrida 2026 - 2027</t>
  </si>
  <si>
    <t>01.01.001.164.530702.000.009</t>
  </si>
  <si>
    <t xml:space="preserve">Eliminada en reforma 1 PAC </t>
  </si>
  <si>
    <t>01.01.001.164.840107.000.009</t>
  </si>
  <si>
    <t xml:space="preserve">Adquisición de UPS </t>
  </si>
  <si>
    <t>01.01.001.165.840107.000.009</t>
  </si>
  <si>
    <t>Patricio Chiluisa</t>
  </si>
  <si>
    <t>10/03/2026 TDR e informe en revisión</t>
  </si>
  <si>
    <t>Adquisición suministros de oficina para la EPMGDT</t>
  </si>
  <si>
    <t>01.01.001.021.530807.000.009</t>
  </si>
  <si>
    <t>Sebastián Humbser</t>
  </si>
  <si>
    <t>Beneficio de Guardería</t>
  </si>
  <si>
    <t>01.01.001.126.530210.000.009</t>
  </si>
  <si>
    <t>Caja Chica Gerencia General</t>
  </si>
  <si>
    <t>01.01.001.050.530106.000.009</t>
  </si>
  <si>
    <t>01.01.001.050.530204.000.009</t>
  </si>
  <si>
    <t>01.01.001.050.530502.000.009</t>
  </si>
  <si>
    <t>01.01.001.050.530801.000.009</t>
  </si>
  <si>
    <t>01.01.001.050.530804.000.009</t>
  </si>
  <si>
    <t>01.01.001.050.530805.000.009</t>
  </si>
  <si>
    <t>01.01.001.050.530822.000.009</t>
  </si>
  <si>
    <t>01.01.001.050.531601.000.009</t>
  </si>
  <si>
    <t>Caja Chica Jefatura Administrativa</t>
  </si>
  <si>
    <t>01.01.001.143.530204.000.009</t>
  </si>
  <si>
    <t>01.01.001.143.530405.000.009</t>
  </si>
  <si>
    <t>01.01.001.143.530804.000.009</t>
  </si>
  <si>
    <t>01.01.001.143.530805.000.009</t>
  </si>
  <si>
    <t>01.01.001.143.530811.000.009</t>
  </si>
  <si>
    <t>01.01.001.143.530813.000.009</t>
  </si>
  <si>
    <t>01.01.001.143.531601.000.009</t>
  </si>
  <si>
    <t>DAF / Jefatura Financiera</t>
  </si>
  <si>
    <t>Consultoría contratación directa servicio de auditoría externa para los estados financieros del periodo cerrado al 31 de diciembre de 2025</t>
  </si>
  <si>
    <t>01.01.001.080.530602.000.009</t>
  </si>
  <si>
    <t>Verónica Ponce</t>
  </si>
  <si>
    <t>Consultoría para la verificación de recaudación de Tasa de Facilidades y Servicios Turísticos 2025.</t>
  </si>
  <si>
    <t>01.01.001.156.530601.000.009</t>
  </si>
  <si>
    <t>Concurso Público</t>
  </si>
  <si>
    <t>Maria Fernanda Solorzano</t>
  </si>
  <si>
    <t>Dirección de Servicios para la Industria Turística</t>
  </si>
  <si>
    <t>Contratación de empresa verificadora</t>
  </si>
  <si>
    <t>01.01.002.051.630601.000.009</t>
  </si>
  <si>
    <t>Contratación de los servicios profesionales de un ingeniero civil</t>
  </si>
  <si>
    <t>01.01.001.135.530606.000.009</t>
  </si>
  <si>
    <t>Contratación de póliza de seguro para los bienes muebles e inmuebles pertenecientes a la Empresa Pública Metropolitana de Gestión de Destino Turístico</t>
  </si>
  <si>
    <t>01.01.001.026.570201.000.009</t>
  </si>
  <si>
    <t xml:space="preserve">1 año </t>
  </si>
  <si>
    <t xml:space="preserve">Licitación de Seguros </t>
  </si>
  <si>
    <t xml:space="preserve">Jimmy Castillo </t>
  </si>
  <si>
    <t xml:space="preserve">10/03/2026: Requerimiento de aprobación por parte de gerencia
Reformado en 1ra reforma PAC a la espera de autorizacion del monto de la poliza de robo y asalto 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</si>
  <si>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</si>
  <si>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01.01.002.027.530606.000.009</t>
  </si>
  <si>
    <t>01.01.002.027.530801.000.009</t>
  </si>
  <si>
    <t>Contratación de Servicios Profesionales Médico Ocupacional</t>
  </si>
  <si>
    <t>01.01.001.027.530606.000.009</t>
  </si>
  <si>
    <t>Contratación de Servicios Profesionales, Desarrollador de software</t>
  </si>
  <si>
    <t>01.01.001.124.530606.000.009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</si>
  <si>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</si>
  <si>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</si>
  <si>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</si>
  <si>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</si>
  <si>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Contratación del servicio de agencias de viajes para la provisión de pasajes aéreos nacionales e internacionales para los servidores de la EPMGDT</t>
  </si>
  <si>
    <t>01.01.001.029.530301.000.009</t>
  </si>
  <si>
    <t>Licitación de Servicios</t>
  </si>
  <si>
    <t xml:space="preserve">10/03/2026: Se publicará nuevamente porque la proforma esta mal
Valor Reformado en 1ra reforma PAC actualizacion de informacion por cambio de normativa </t>
  </si>
  <si>
    <t>01.01.001.029.530302.000.009</t>
  </si>
  <si>
    <t xml:space="preserve">Valor Reformado en 1ra reforma PAC actualizacion de informacion por cambio de normativa </t>
  </si>
  <si>
    <t>Contratación del servicio de arrendamiento de un espacio físico destinado para la tienda Quito – La Mariscal</t>
  </si>
  <si>
    <t>01.01.001.024.530502.000.009</t>
  </si>
  <si>
    <t>Contratación del servicio de fumigación y desratización de las instalaciones de la EPMGDT  y sus dependencias</t>
  </si>
  <si>
    <t>01.01.001.031.530209.000.009</t>
  </si>
  <si>
    <t>Marcelo Rodriguez</t>
  </si>
  <si>
    <t xml:space="preserve">primera revisión 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</si>
  <si>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</si>
  <si>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</si>
  <si>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</si>
  <si>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</si>
  <si>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</si>
  <si>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</si>
  <si>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</si>
  <si>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</si>
  <si>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Contratación del servicio de mantenimiento preventivo y correctivo de cámaras de seguridad con vigencia técnologica de la tienda Quito La Mariscal</t>
  </si>
  <si>
    <t>01.01.001.150.530404.000.009</t>
  </si>
  <si>
    <t>Contratación del servicio de mantenimiento preventivo y correctivo de cámaras de seguridad con vigencia tecnológica de la tienda Quito La Mariscal (arrastre)</t>
  </si>
  <si>
    <t>01.01.001.189.840104.000.009</t>
  </si>
  <si>
    <t>01.01.001.189.531407.000.009</t>
  </si>
  <si>
    <t>Contratación del servicio de mantenimiento preventivo y correctivo de cámaras de seguridad de la EPMGDT y sus dependencias</t>
  </si>
  <si>
    <t>01.01.001.039.530404.000.009</t>
  </si>
  <si>
    <t>Contratación del servicio de mantenimiento preventivo y correctivo de los extintores de las instalaciones de la EPMGDT y sus dependencias</t>
  </si>
  <si>
    <t>01.01.001.040.530203.000.009</t>
  </si>
  <si>
    <t>Contratación del servicio de mantenimiento preventivo y correctivo del ascensor de las instalaciones de la EPMGDT</t>
  </si>
  <si>
    <t>01.01.001.041.530404.000.009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</si>
  <si>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</si>
  <si>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</si>
  <si>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</si>
  <si>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</si>
  <si>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Contratación del servicio de mantenimiento preventivo y correctivo para el parque automotor de la EPMGDT</t>
  </si>
  <si>
    <t>01.01.001.045.530405.000.009</t>
  </si>
  <si>
    <t xml:space="preserve">Feria Inclusiva </t>
  </si>
  <si>
    <t>Valor reformado en reforma PAC 1 Falta la  revisión de finanicero y jurídico  de informe técnico, informe de necesidad y TDR</t>
  </si>
  <si>
    <t>Contratación del servicio de mantenimiento preventivo y correctivo para vehículo con vigencia tecnológica de la EPMGDT PMA-8260</t>
  </si>
  <si>
    <t>01.01.001.046.530405.000.009</t>
  </si>
  <si>
    <t xml:space="preserve">Ximena Llanga </t>
  </si>
  <si>
    <t>Falta revisión  finanicero y jurídico  de informe técnico, informe de necesidad y tdr</t>
  </si>
  <si>
    <t>Contratación del servicio de mantenimiento preventivo y correctivo para vehículo con vigencia tecnológica de la EPMGDT PMA-8913</t>
  </si>
  <si>
    <t>01.01.001.047.530405.000.009</t>
  </si>
  <si>
    <t>Dirección de Desarrollo de Productos Sostenibles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</si>
  <si>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</si>
  <si>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</si>
  <si>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Dirección de Promoción de Destino Turístico</t>
  </si>
  <si>
    <t>01.01.002.020.630207.000.009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</si>
  <si>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</si>
  <si>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</si>
  <si>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01.01.002.014.630207.000.009</t>
  </si>
  <si>
    <t>01.01.002.045.630207.001.009</t>
  </si>
  <si>
    <t>Contribución 5 x mil</t>
  </si>
  <si>
    <t>01.01.001.049.580101.000.009</t>
  </si>
  <si>
    <t>Convalidación de la Certificación Presupuestaria N° 000451 del periodo fiscal 2025 – Contratación de los servicios profesionales de un ingeniero civil</t>
  </si>
  <si>
    <t>01.01.001.191.530606.000.009</t>
  </si>
  <si>
    <t>Estudio para la obtención del plano Hidrosanitario de las instalaciones de la EPMGDT (arrastre)</t>
  </si>
  <si>
    <t>01.01.001.190.530605.000.009</t>
  </si>
  <si>
    <t xml:space="preserve">Evaluación y preparación para la certificación de la seguridad de la información de un servicio de Quito Turismo </t>
  </si>
  <si>
    <t>01.01.001.167.530601.000.009</t>
  </si>
  <si>
    <t>Dirección de Comercialización</t>
  </si>
  <si>
    <t>Gastos bancarios por comisiones de ventas realizadas con tarjetas de crédito en las Unidades de Negocio.</t>
  </si>
  <si>
    <t>01.01.002.003.670204.000.009</t>
  </si>
  <si>
    <t>Generar la nómina de la EPMGDT (alimentación)</t>
  </si>
  <si>
    <t>01.01.003.001.510306.000.009</t>
  </si>
  <si>
    <t>Generar la nómina de la EPMGDT (Aporte Patronal)</t>
  </si>
  <si>
    <t>01.01.003.002.510601.000.009</t>
  </si>
  <si>
    <t>Generar la nómina de la EPMGDT (Compensación por Desahucio)</t>
  </si>
  <si>
    <t>01.01.003.015.510704.000.009</t>
  </si>
  <si>
    <t>Generar la nómina de la EPMGDT (Compensación por transporte)</t>
  </si>
  <si>
    <t>01.01.003.003.510304.000.009</t>
  </si>
  <si>
    <t>Generar la nómina de la EPMGDT (Compensación por Vacaciones No Gozadas por Cesación de Funciones)</t>
  </si>
  <si>
    <t>01.01.003.004.510707.000.009</t>
  </si>
  <si>
    <t>Generar la nómina de la EPMGDT (Décimo Cuarto Sueldo)</t>
  </si>
  <si>
    <t>01.01.003.005.510204.000.009</t>
  </si>
  <si>
    <t>Generar la nómina de la EPMGDT (Décimo Tercer Sueldo)</t>
  </si>
  <si>
    <t>01.01.003.006.510203.000.009</t>
  </si>
  <si>
    <t>Generar la nómina de la EPMGDT (Encargos)</t>
  </si>
  <si>
    <t>01.01.003.007.510513.000.009</t>
  </si>
  <si>
    <t>Generar la nómina de la EPMGDT (Fondos de Reserva)</t>
  </si>
  <si>
    <t>01.01.003.008.510602.000.009</t>
  </si>
  <si>
    <t>Generar la nómina de la EPMGDT (Horas Extraordinarias y Suplementarias)</t>
  </si>
  <si>
    <t>01.01.003.009.510509.000.009</t>
  </si>
  <si>
    <t>Generar la nómina de la EPMGDT (Remuneraciones Unificadas)</t>
  </si>
  <si>
    <t>01.01.003.010.510105.000.009</t>
  </si>
  <si>
    <t>Generar la nómina de la EPMGDT (Salarios Unificados)</t>
  </si>
  <si>
    <t>01.01.003.011.510106.000.009</t>
  </si>
  <si>
    <t>Generar la nómina de la EPMGDT (Servicios Personales por Contrato)</t>
  </si>
  <si>
    <t>01.01.003.012.510510.000.009</t>
  </si>
  <si>
    <t>Generar la nómina de la EPMGDT (Subrogación)</t>
  </si>
  <si>
    <t>01.01.003.013.510512.000.009</t>
  </si>
  <si>
    <t>Dirección de Comunicación</t>
  </si>
  <si>
    <t xml:space="preserve">Gestionar la contratación para el mantenimiento de equipos para producción audiovisual </t>
  </si>
  <si>
    <t>01.01.001.052.530404.000.009</t>
  </si>
  <si>
    <t>Fabian Baquero</t>
  </si>
  <si>
    <t>Impulso y Atracción especializada MICE para la Captación de Eventos de Gran Formato en el destino Quito 01</t>
  </si>
  <si>
    <t>01.01.002.057.530207.000.009</t>
  </si>
  <si>
    <t>Inclusión en la póliza de seguro para los bienes muebles de la EPMGDT</t>
  </si>
  <si>
    <t>01.01.001.187.570201.000.009</t>
  </si>
  <si>
    <t>Mantenimiento de edificios de la EPMGDT (fase 2)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</si>
  <si>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</si>
  <si>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</si>
  <si>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</si>
  <si>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</si>
  <si>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Mantenimiento de scanner de alto rendimiento</t>
  </si>
  <si>
    <t>01.01.001.168.530404.000.009</t>
  </si>
  <si>
    <t>Mantenimiento de sistema contra incendios de la EPMDGT</t>
  </si>
  <si>
    <t>01.01.001.151.530404.000.009</t>
  </si>
  <si>
    <t>Mantenimiento de tablets con vigencia tecnológica</t>
  </si>
  <si>
    <t>01.01.001.061.530404.000.009</t>
  </si>
  <si>
    <t xml:space="preserve">Verificar la pertinencia de las partidas presupuestaria respecto al objeto de la contratación  </t>
  </si>
  <si>
    <t>Mantenimiento del ERP Olympo y soporte especializado</t>
  </si>
  <si>
    <t>01.01.001.177.530701.000.009</t>
  </si>
  <si>
    <t>RE Proveedor Único</t>
  </si>
  <si>
    <t xml:space="preserve">Daniel Valencia </t>
  </si>
  <si>
    <t xml:space="preserve">Valor reformado en pac </t>
  </si>
  <si>
    <t>Mantenimiento del sistema hidrosanitario (fase 1)</t>
  </si>
  <si>
    <t>01.01.001.152.530404.000.009</t>
  </si>
  <si>
    <t>Mantenimiento preventivo de equipos de la solución de networking</t>
  </si>
  <si>
    <t>01.01.001.058.530404.000.009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</si>
  <si>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</si>
  <si>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</si>
  <si>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</si>
  <si>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Mantenimiento preventivo de la solución de respaldos</t>
  </si>
  <si>
    <t>01.01.001.169.530404.000.009</t>
  </si>
  <si>
    <t>Mantenimiento preventivo de pantallas digitales e interactivos</t>
  </si>
  <si>
    <t>01.01.001.184.530704.000.009</t>
  </si>
  <si>
    <t>Material de construcción</t>
  </si>
  <si>
    <t>01.01.001.064.530811.000.009</t>
  </si>
  <si>
    <t>Misional</t>
  </si>
  <si>
    <t>N/A</t>
  </si>
  <si>
    <t>Pago de Gastos Bancarios (Fideval)</t>
  </si>
  <si>
    <t>01.01.001.157.570203.000.009</t>
  </si>
  <si>
    <t>Pago de Gastos Bancarios (Quito Turismo)</t>
  </si>
  <si>
    <t>01.01.001.158.570203.000.009</t>
  </si>
  <si>
    <t>Pago de impuestos (predial, contribuciones y tasas) de bienes inmuebles propiedad de la EPMGDT</t>
  </si>
  <si>
    <t>01.01.001.112.570102.000.009</t>
  </si>
  <si>
    <t>Pago de servicios básicos (agua potable)</t>
  </si>
  <si>
    <t>01.01.001.068.530101.000.009</t>
  </si>
  <si>
    <t>Pago de servicios básicos (energía eléctrica)</t>
  </si>
  <si>
    <t>01.01.001.069.530104.000.009</t>
  </si>
  <si>
    <t>Pago de servicios básicos (telefonía fija)</t>
  </si>
  <si>
    <t>01.01.001.070.530105.000.009</t>
  </si>
  <si>
    <t>Pago de tasa de limpieza EMASEO</t>
  </si>
  <si>
    <t>01.01.001.153.570102.000.009</t>
  </si>
  <si>
    <t>Promoción y Posicionamiento turístico del destino Quito en el marco de la producción de un evento gastronomico</t>
  </si>
  <si>
    <t>01.01.002.054.630207.000.009</t>
  </si>
  <si>
    <t>Provisión de bienes y servicios para la correcta operatividad de las unidades de negocio, CEB, tiendas Quito (Adquisición de Mercadería a consignación)</t>
  </si>
  <si>
    <t>01.01.002.005.631203.000.009</t>
  </si>
  <si>
    <t xml:space="preserve">Realizar el proceso administrativo para adquisición de tarjetas TCA </t>
  </si>
  <si>
    <t>01.01.002.006.630204.000.009</t>
  </si>
  <si>
    <t>Realizar el proceso administrativo para la implementación y gestión de los puntos de Distribución de Contenidos en el DMQ.</t>
  </si>
  <si>
    <t>01.01.002.023.630502.000.009</t>
  </si>
  <si>
    <t>Renovación de hosting</t>
  </si>
  <si>
    <t>01.01.001.072.530702.000.009</t>
  </si>
  <si>
    <t>Renovación de la suscripción de herramientas ofimáticas colaborativas con correo electrónico</t>
  </si>
  <si>
    <t>01.01.001.123.530702.000.009</t>
  </si>
  <si>
    <t>Renovación de la suscripción de la licencias de Business Inteligent</t>
  </si>
  <si>
    <t>01.01.001.017.530702.000.009</t>
  </si>
  <si>
    <t>Renovación de la suscripción de las licencias de diseño asistido por computadoras (cad) diseño gráfico modelado en 3D</t>
  </si>
  <si>
    <t>01.01.001.055.530702.000.009</t>
  </si>
  <si>
    <t>Renovación de la suscripción de las licencias de edición de video y diseño gráfico</t>
  </si>
  <si>
    <t>01.01.001.075.530702.000.009</t>
  </si>
  <si>
    <t>Renovación de la suscripción de licencia de la herramienta de envió masivo de correos electrónico</t>
  </si>
  <si>
    <t>01.01.001.096.530702.000.009</t>
  </si>
  <si>
    <t>Renovación de licencia de uso del programa geográfica GIS</t>
  </si>
  <si>
    <t>01.01.001.074.530702.000.009</t>
  </si>
  <si>
    <t>Renovar y actualizar licencias antivirus</t>
  </si>
  <si>
    <t>01.01.001.076.530702.000.009</t>
  </si>
  <si>
    <t>Revisión vehicular y matriculación del parque automotor de la EPMGDT / Peaje</t>
  </si>
  <si>
    <t>01.01.001.077.570102.000.009</t>
  </si>
  <si>
    <t>Servicio de Agencia de Marketing Tradicional para el mercado local y nacional</t>
  </si>
  <si>
    <t>01.01.002.008.530207.000.009</t>
  </si>
  <si>
    <t>01.01.002.019.530207.000.009</t>
  </si>
  <si>
    <t>Servicio de Agencia de Marketing Tradicional para el mercado local y nacional 2026 - 2027</t>
  </si>
  <si>
    <t>01.01.002.055.630207.002.009</t>
  </si>
  <si>
    <t>01.01.002.055.630207.001.009</t>
  </si>
  <si>
    <t>01.01.002.055.630207.000.009</t>
  </si>
  <si>
    <t xml:space="preserve">Se elimina en reforma POA Nro. 1 la Dirección de Turismo de Negocios y Atracción de Eventos debe  solicitar reforma pac </t>
  </si>
  <si>
    <t>Servicio de agencia de Publicidad especializada en pauta para difundir las acciones de Quito Turismo a nivel nacional, local e internacional 2025 - 2026</t>
  </si>
  <si>
    <t>01.01.001.079.530207.000.009</t>
  </si>
  <si>
    <t>Servicio de agencia de Publicidad especializada en pauta para difundir las acciones de Quito Turismo a nivel nacional, local e internacional 2026 - 2027</t>
  </si>
  <si>
    <t>01.01.001.159.530207.000.009</t>
  </si>
  <si>
    <t>RE Comunicación</t>
  </si>
  <si>
    <t>10/03/2026: Revisar con Fabian -Posible modificación de TDR; Posiblemente no se llegue al 1er cuatrimestre
Valor Reformado en 1ra reforma PAC, falta revisión  finanicero y jurídico  de informe técnico, informe de necesidad y tdr</t>
  </si>
  <si>
    <t>Servicio de aseo y limpieza para las instalaciones bajo la administración y custodia de Quito Turismo - limpieza de interiores y exteriores tipo III para el año 2026</t>
  </si>
  <si>
    <t>01.01.001.145.530209.000.009</t>
  </si>
  <si>
    <t>Servicio de asesoría y asistencia técnica, para la obtención de la certificaciones internacionales en la gestión de turismo sostenible y calidad del destino</t>
  </si>
  <si>
    <t>01.01.002.009.630601.000.009</t>
  </si>
  <si>
    <t xml:space="preserve">Juan Jiménez </t>
  </si>
  <si>
    <t>Servicio de Auditoría CCMQ</t>
  </si>
  <si>
    <t>01.01.002.002.630602.000.009</t>
  </si>
  <si>
    <t>Diego Guamán</t>
  </si>
  <si>
    <t>Servicio de capacitación turística para el sector turístico del Distrito Metropolitano de Quito</t>
  </si>
  <si>
    <t>01.01.002.010.530613.000.009</t>
  </si>
  <si>
    <t>Servicio de capacitación turística para el sector turístico del Distrito Metropolitano de Quito 2025 – 2026 (arrastre)</t>
  </si>
  <si>
    <t>01.01.002.056.530613.000.009</t>
  </si>
  <si>
    <t>Servicio de capacitación turística para el sector turístico del Distrito Metropolitano de Quito 2026-2027</t>
  </si>
  <si>
    <t>01.01.002.049.530613.000.009</t>
  </si>
  <si>
    <t>Rosita Estrella</t>
  </si>
  <si>
    <t>Valor Reformado en 1ra reforma PAC</t>
  </si>
  <si>
    <t>Servicio de conexión de datos Datalink.</t>
  </si>
  <si>
    <t>01.01.002.011.630105.000.009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</si>
  <si>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</si>
  <si>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</si>
  <si>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</si>
  <si>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Servicio de datos móviles 2025-2026</t>
  </si>
  <si>
    <t>01.01.001.084.530105.000.009</t>
  </si>
  <si>
    <t>Servicio de datos móviles 2026-2027</t>
  </si>
  <si>
    <t>01.01.001.170.530105.000.009</t>
  </si>
  <si>
    <t>Servicio de flete y movilización</t>
  </si>
  <si>
    <t>01.01.001.114.530202.000.009</t>
  </si>
  <si>
    <t>Servicio de impresión de blocks de formularios aplicados para actividades administrativas desarrolladas por la EPMGDT–Quito Turismo</t>
  </si>
  <si>
    <t>01.01.002.012.630204.000.009</t>
  </si>
  <si>
    <t xml:space="preserve">Pablo Arboleda </t>
  </si>
  <si>
    <t>Servicio de impresión de material POP para la estrategia de comunicación externa e interna.</t>
  </si>
  <si>
    <t>01.01.001.160.530404.000.009</t>
  </si>
  <si>
    <t>Servicio de Internet y Enlace de Datos 2025-2026</t>
  </si>
  <si>
    <t>01.01.001.086.530105.000.009</t>
  </si>
  <si>
    <t>Servicio de Internet y Enlace de Datos 2026-2027</t>
  </si>
  <si>
    <t>01.01.001.171.530105.000.009</t>
  </si>
  <si>
    <t>Fabricio Medina</t>
  </si>
  <si>
    <t>Servicio de mantenimiento de control de accesos a la EPMGDT</t>
  </si>
  <si>
    <t>01.01.001.103.530404.000.009</t>
  </si>
  <si>
    <t>Servicio de mantenimiento preventivo de computadores con vigencia tecnológica Asus</t>
  </si>
  <si>
    <t>01.01.001.105.530704.000.009</t>
  </si>
  <si>
    <t>Servicio de mantenimiento preventivo de computadores con vigencia tecnológica HP</t>
  </si>
  <si>
    <t>01.01.001.140.530704.000.009</t>
  </si>
  <si>
    <t>Servicio de mantenimiento preventivo de computadores con vigencia tecnológica Lenovo</t>
  </si>
  <si>
    <t>01.01.001.172.530704.000.009</t>
  </si>
  <si>
    <t>Servicio de mantenimiento preventivo de computadores con vigencia tecnológica MAC</t>
  </si>
  <si>
    <t>01.01.001.173.530704.000.009</t>
  </si>
  <si>
    <t>Servicio de mantenimiento preventivo de computadores con vigencia tecnológica SpeedMind</t>
  </si>
  <si>
    <t>01.01.001.106.530704.000.009</t>
  </si>
  <si>
    <t>Servicio de mantenimiento preventivo de impresoras con vigencia tecnológica</t>
  </si>
  <si>
    <t>01.01.001.088.530704.000.009</t>
  </si>
  <si>
    <t>Servicio de mantenimiento preventivo y correctivo de equipos informáticos y tecnológicos (computadores, escaners, proyectores impresoras, y otros)</t>
  </si>
  <si>
    <t>01.01.001.089.530704.000.009</t>
  </si>
  <si>
    <t xml:space="preserve">buscar de cpc diferente al mantenimiento de computadoras </t>
  </si>
  <si>
    <t>Servicio de mantenimiento preventivo y correctivo del sistema eléctrico del generador</t>
  </si>
  <si>
    <t>01.01.001.042.530404.000.009</t>
  </si>
  <si>
    <t>Servicio de movilización de los informadores turísticos que laboran en el Aeropuerto Mariscal Sucre de la Ciudad de Quito durante el periodo del 2025 al 2028</t>
  </si>
  <si>
    <t>01.01.002.044.530201.000.009</t>
  </si>
  <si>
    <t>Servicio de provisión de combustible para el generador institucional de la EPMGDT</t>
  </si>
  <si>
    <t>01.01.001.111.530255.000.009</t>
  </si>
  <si>
    <t>Servicio de provisión de combustible para el generador institucional de la EPMGDT - IVA</t>
  </si>
  <si>
    <t>01.01.001.111.570199.000.009</t>
  </si>
  <si>
    <t>Servicio de provisión de combustible para los vehículos de la EPMGDT</t>
  </si>
  <si>
    <t>01.01.001.006.530255.000.009</t>
  </si>
  <si>
    <t>Servicio de rastreo satelital para los vehículos y motocicleta de la EPMGDT</t>
  </si>
  <si>
    <t>01.01.001.048.530105.000.009</t>
  </si>
  <si>
    <t>Servicio de relaciones públicas y representación en el exterior para la promoción del destino Quito para los mercados de América para los años 2026 y 2027</t>
  </si>
  <si>
    <t>01.01.002.046.630207.001.009</t>
  </si>
  <si>
    <t>Internacional</t>
  </si>
  <si>
    <t xml:space="preserve">10/03/2026: Ajustar TDR con techos
Llegó una cotización  fuera del presupuesto , se debe publicación con techos </t>
  </si>
  <si>
    <t>01.01.002.046.630207.000.009</t>
  </si>
  <si>
    <t>Servicio de relaciones públicas y representación en el exterior para la promoción del destino Quito para los mercados de Europa y resto del mundo para los años 2026 y 2027</t>
  </si>
  <si>
    <t>01.01.002.047.630207.000.009</t>
  </si>
  <si>
    <t xml:space="preserve">Rubén Lara </t>
  </si>
  <si>
    <t xml:space="preserve">10/03/2026: Se realizará una tercera publicación en la que se fijara los techos presupuestarios por eje. 
Segunda publicación de proformas
Se realizara una tercera publicación  con techo </t>
  </si>
  <si>
    <t>01.01.002.047.630207.001.009</t>
  </si>
  <si>
    <t>Servicio de seguridad y vigilancia para las instalaciones de Quito Turismo y sus Dependencias 2025 - 2026</t>
  </si>
  <si>
    <t>01.01.001.115.530208.000.009</t>
  </si>
  <si>
    <t>Servicio de seguridad y vigilancia para las instalaciones de Quito Turismo y sus Dependencias 2026 - 2027</t>
  </si>
  <si>
    <t>01.01.001.154.530208.000.009</t>
  </si>
  <si>
    <t>Servicio de soporte y mantenimiento del NAS</t>
  </si>
  <si>
    <t>01.01.001.185.530704.000.009</t>
  </si>
  <si>
    <t>Servicio de transporte para verificadores</t>
  </si>
  <si>
    <t>01.01.002.052.630201.000.009</t>
  </si>
  <si>
    <t>No se va contratar ST solicitará reforma</t>
  </si>
  <si>
    <t>Servicio Monitoreo de Medios de Comunicación para Determinar el Impacto de la Información Generada por Quito Servicio de Monitoreo de Información Televisión, Radio, Prensa Turismo 2025 – 2026</t>
  </si>
  <si>
    <t>01.01.001.051.530241.000.009</t>
  </si>
  <si>
    <t>Servicio Monitoreo de Medios de Comunicación para Determinar el Impacto de la Información Generada por Quito Servicio de Monitoreo de Información Televisión, Radio, Prensa Turismo 2026 - 2027</t>
  </si>
  <si>
    <t>01.01.001.161.530241.000.009</t>
  </si>
  <si>
    <t>Valentina Gómez</t>
  </si>
  <si>
    <t>SERVICIOS DE CONSULTORÍA PARA IMPLEMENTACIÓN DE LA NORMA ISO 37001:2016 SISTEMAS DE GESTIÓN ANTISOBORNO</t>
  </si>
  <si>
    <t>01.01.002.050.630601.000.009</t>
  </si>
  <si>
    <t>Servicios profesionales especializados para el diseño técnico y ejecución del plan de atracción de marcas potentes para el destino Quito</t>
  </si>
  <si>
    <t>01.01.002.043.530606.000.009</t>
  </si>
  <si>
    <t>Soporte y garantías técnicas solución ERP Olympo</t>
  </si>
  <si>
    <t>01.01.001.174.530701.000.009</t>
  </si>
  <si>
    <t>Suscripción de herramientas de IA para desarrollo de software y gestión del código fuente</t>
  </si>
  <si>
    <t>01.01.001.176.530702.000.009</t>
  </si>
  <si>
    <t>Suscripción de herramientas de ofimática colaborativas con correo electrónico, inteligencia de negocios y servicios Cloud</t>
  </si>
  <si>
    <t>01.01.001.182.530702.000.009</t>
  </si>
  <si>
    <t>Suscripción de herramientas de seguridad informática para el análisis y diseño de la seguridad de la información para la implementación del EGSI</t>
  </si>
  <si>
    <t>01.01.001.092.530702.000.009</t>
  </si>
  <si>
    <t>01.01.001.092.530702.001.009</t>
  </si>
  <si>
    <t>Suscripción de herramientas de seguridad informática para el aseguramiento de los activos de información</t>
  </si>
  <si>
    <t>01.01.001.181.530702.000.009</t>
  </si>
  <si>
    <t>Viáticos y subsistencias en el interior y exterior</t>
  </si>
  <si>
    <t>01.01.001.155.530303.000.009</t>
  </si>
  <si>
    <t>01.01.001.155.530304.000.009</t>
  </si>
  <si>
    <t>CONTRATACIÓN DEL SERVICIO DE ACTIVACIONES TURÍSTICAS PARA PROMOCIÓN DESTINO QUITO EN EL MERCADO LOCAL Y NACIONAL</t>
  </si>
  <si>
    <t>02.01.001.046.730207.000.002</t>
  </si>
  <si>
    <t>CONTRATACIÓN DEL SERVICIO DE ORGANIZACIÓN DE EVENTOS DE PROMOCIÓN TURÍSTICA DEL DESTINO QUITO EN EL MERCADO LOCAL Y NACIONAL PARA LA REALIZACIÓN DE EVENTOS TURÍSTICOS Y GASTRONÓMICOS (DPS)</t>
  </si>
  <si>
    <t>02.01.001.043.730249.001.002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</si>
  <si>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</si>
  <si>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02.01.001.049.730207.000.002</t>
  </si>
  <si>
    <t xml:space="preserve">licitación de Servicios </t>
  </si>
  <si>
    <t>Paulina Rugel</t>
  </si>
  <si>
    <t>10/03/2026:  Se encuentra en la revisión de ofertas; Calificación pendiente por parte de la comisión; 
9-02-2026 PUBLICACION DE LA NECESIDAD
10/03/2026: Se encuentra en la revisión de ofertas</t>
  </si>
  <si>
    <t>CONTRATACIÓN DEL SERVICIO DE ORGANIZACIÓN DE EVENTOS DE PROMOCIÓN TURÍSTICA DEL DESTINO QUITO EN EL MERCADO LOCAL Y NACIONAL PARA LA REALIZACIÓN DE EVENTOS TURÍSTICOS Y GASTRONÓMICOS (PDT)</t>
  </si>
  <si>
    <t>02.01.001.043.730249.000.002</t>
  </si>
  <si>
    <t>10/03/2026: Informes y Tdr en revisión del Financiero y Jurídico</t>
  </si>
  <si>
    <t>CONTRATACIÓN DEL SERVICIO DE ORGANIZACIÓN DE EVENTOS DE PROMOCIÓN TURÍSTICA DEL DESTINO QUITO EN EL MERCADO LOCAL Y NACIONAL PARA LA REALIZACIÓN DE EVENTOS TURÍSTICOS Y GASTRONÓMICOS (TDN)</t>
  </si>
  <si>
    <t>02.01.001.043.730249.002.002</t>
  </si>
  <si>
    <t>CONTRATACIÓN DEL SERVICIO DE ORGANIZACIÓN DE EVENTOS DE PROMOCIÓN TURÍSTICA DEL DESTINO QUITO EN EL MERCADO LOCAL Y NACIONAL PARA LA REALIZACIÓN DE EVENTOS TURÍSTICOS Y GASTRONÓMICOS (SIT)</t>
  </si>
  <si>
    <t>02.01.001.043.730249.003.002</t>
  </si>
  <si>
    <t>Contratación de Estudios técnicos para la Implementación de la Plaza de Espectáculos de Quito, en el Parque Bicentenario</t>
  </si>
  <si>
    <t>02.01.001.035.730605.000.002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</si>
  <si>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</si>
  <si>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</si>
  <si>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</si>
  <si>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</si>
  <si>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</si>
  <si>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</si>
  <si>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</si>
  <si>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Promoción y posicionamiento turístico de Quito en la exposición internacional Casa Warner</t>
  </si>
  <si>
    <t>02.01.001.034.730207.000.002</t>
  </si>
  <si>
    <t>Promoción y Posicionamiento turístico del destino Quito en el marco de la producción del concierto de Ed Sheeran</t>
  </si>
  <si>
    <t>02.01.001.047.730249.000.002</t>
  </si>
  <si>
    <t xml:space="preserve">Gabriela Flores </t>
  </si>
  <si>
    <t>Fuera del PAC</t>
  </si>
  <si>
    <t>Readecuaciones, mobiliario y equipamiento del predio 203140 correspondiente al Mirador de Guápulo</t>
  </si>
  <si>
    <t>02.01.001.044.730601.000.002</t>
  </si>
  <si>
    <t>Servicio de agencia de marketing digital para la promoción y posicionamiento del Distrito Metropolitano de Quito</t>
  </si>
  <si>
    <t>02.01.001.016.730207.000.002</t>
  </si>
  <si>
    <t>02.01.001.023.730207.000.002</t>
  </si>
  <si>
    <t>Servicios Profesionales Especialista en Desarrollo Territorial Para el Diseño de Intervenciones en Barrios con Vocación Turística en el Distrito Metropolitano de Quito</t>
  </si>
  <si>
    <t>02.01.001.050.730606.000.002</t>
  </si>
  <si>
    <t>Impulso y Atracción especializada MICE para la Captación de Eventos de Gran Formato en el destino Quito 02</t>
  </si>
  <si>
    <t>02.01.001.051.730207.000.002</t>
  </si>
  <si>
    <t>Servicio de agencia de marketing digital para la promoción y posicionamiento del Distrito Metropolitano de Quito 2026-2027</t>
  </si>
  <si>
    <t>02.01.001.045.730207.000.002</t>
  </si>
  <si>
    <t>02.01.001.045.730207.001.002</t>
  </si>
  <si>
    <t>Servicio de implementación de facilidades turísticas en el DMQ</t>
  </si>
  <si>
    <t>02.01.001.017.730425.000.002</t>
  </si>
  <si>
    <t>Melanie Espinoza</t>
  </si>
  <si>
    <t>Retraso en la elaboración de la resolución de adjudicación</t>
  </si>
  <si>
    <t>Servicio de Mantenimiento de facilidades turísticas en el DMQ</t>
  </si>
  <si>
    <t>02.01.001.015.730425.000.002</t>
  </si>
  <si>
    <t>Servicio de Organización y producción de 1 evento internacional captado para 2026 PCMA</t>
  </si>
  <si>
    <t>02.01.001.048.730249.000.002</t>
  </si>
  <si>
    <t xml:space="preserve">Giro especifico del negocio </t>
  </si>
  <si>
    <t>SERVICIO DE PAUTA DE CAMPAÑA PROMOCIONAL DEL DESTINO QUITO</t>
  </si>
  <si>
    <t>02.01.001.021.730207.000.002</t>
  </si>
  <si>
    <t>DPEI / Estadística</t>
  </si>
  <si>
    <t>Suscripción al servicio de provisión de datos en línea para la gestión de servicios de inteligencia turística</t>
  </si>
  <si>
    <t>02.01.001.031.730702.000.002</t>
  </si>
  <si>
    <t>Ruth Utreras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</si>
</sst>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540A]dd\-mmm\-yy;@"/>
    <numFmt numFmtId="165" formatCode="[$-1540A]m/d/yyyy;@"/>
    <numFmt numFmtId="166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sz val="11"/>
      <color rgb="FFFF0000"/>
      <name val="Calibri"/>
      <family val="2"/>
    </font>
    <font>
      <sz val="9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49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2" fillId="0" borderId="0" xfId="0" applyFont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43" fontId="4" fillId="9" borderId="4" xfId="0" applyNumberFormat="1" applyFont="1" applyFill="1" applyBorder="1" applyAlignment="1">
      <alignment vertical="center" wrapText="1"/>
    </xf>
    <xf numFmtId="43" fontId="4" fillId="4" borderId="4" xfId="0" applyNumberFormat="1" applyFont="1" applyFill="1" applyBorder="1" applyAlignment="1">
      <alignment vertical="center" wrapText="1"/>
    </xf>
    <xf numFmtId="43" fontId="4" fillId="10" borderId="4" xfId="0" applyNumberFormat="1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4" fillId="11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43" fontId="0" fillId="0" borderId="4" xfId="0" applyNumberFormat="1" applyBorder="1" applyAlignment="1">
      <alignment vertical="center"/>
    </xf>
    <xf numFmtId="43" fontId="0" fillId="0" borderId="3" xfId="0" applyNumberForma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43" fontId="5" fillId="0" borderId="3" xfId="0" applyNumberFormat="1" applyFont="1" applyBorder="1" applyAlignment="1">
      <alignment horizontal="right" vertical="center"/>
    </xf>
    <xf numFmtId="49" fontId="0" fillId="0" borderId="4" xfId="0" applyNumberForma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3" fontId="6" fillId="11" borderId="4" xfId="0" applyNumberFormat="1" applyFont="1" applyFill="1" applyBorder="1" applyAlignment="1">
      <alignment horizontal="center" vertical="center"/>
    </xf>
    <xf numFmtId="164" fontId="0" fillId="12" borderId="4" xfId="0" applyNumberFormat="1" applyFill="1" applyBorder="1" applyAlignment="1">
      <alignment vertical="center"/>
    </xf>
    <xf numFmtId="4" fontId="0" fillId="13" borderId="3" xfId="0" applyNumberFormat="1" applyFill="1" applyBorder="1" applyAlignment="1">
      <alignment horizontal="right" vertical="center"/>
    </xf>
    <xf numFmtId="43" fontId="0" fillId="13" borderId="3" xfId="0" applyNumberFormat="1" applyFill="1" applyBorder="1" applyAlignment="1">
      <alignment horizontal="right" vertical="center"/>
    </xf>
    <xf numFmtId="43" fontId="7" fillId="11" borderId="4" xfId="0" applyNumberFormat="1" applyFont="1" applyFill="1" applyBorder="1" applyAlignment="1">
      <alignment horizontal="center" vertical="center" wrapText="1"/>
    </xf>
    <xf numFmtId="164" fontId="0" fillId="14" borderId="4" xfId="0" applyNumberFormat="1" applyFill="1" applyBorder="1" applyAlignment="1">
      <alignment vertical="center"/>
    </xf>
    <xf numFmtId="14" fontId="0" fillId="0" borderId="4" xfId="0" applyNumberFormat="1" applyBorder="1" applyAlignment="1">
      <alignment vertical="center" wrapText="1"/>
    </xf>
    <xf numFmtId="164" fontId="0" fillId="15" borderId="4" xfId="0" applyNumberFormat="1" applyFill="1" applyBorder="1" applyAlignment="1">
      <alignment vertical="center"/>
    </xf>
    <xf numFmtId="43" fontId="0" fillId="13" borderId="3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43" fontId="5" fillId="0" borderId="3" xfId="0" applyNumberFormat="1" applyFont="1" applyBorder="1" applyAlignment="1">
      <alignment vertical="center"/>
    </xf>
    <xf numFmtId="165" fontId="0" fillId="0" borderId="4" xfId="0" applyNumberFormat="1" applyBorder="1" applyAlignment="1">
      <alignment vertical="center"/>
    </xf>
    <xf numFmtId="43" fontId="0" fillId="0" borderId="3" xfId="0" applyNumberFormat="1" applyBorder="1" applyAlignment="1">
      <alignment vertical="center"/>
    </xf>
    <xf numFmtId="164" fontId="0" fillId="5" borderId="4" xfId="0" applyNumberFormat="1" applyFill="1" applyBorder="1" applyAlignment="1">
      <alignment vertical="center"/>
    </xf>
    <xf numFmtId="0" fontId="8" fillId="11" borderId="4" xfId="0" applyFont="1" applyFill="1" applyBorder="1" applyAlignment="1">
      <alignment vertical="center" wrapText="1"/>
    </xf>
    <xf numFmtId="14" fontId="0" fillId="0" borderId="0" xfId="0" applyNumberFormat="1" applyAlignment="1">
      <alignment vertical="center"/>
    </xf>
    <xf numFmtId="164" fontId="0" fillId="0" borderId="6" xfId="0" applyNumberFormat="1" applyBorder="1" applyAlignment="1">
      <alignment vertical="center"/>
    </xf>
    <xf numFmtId="14" fontId="0" fillId="0" borderId="4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9" fillId="11" borderId="4" xfId="0" applyFont="1" applyFill="1" applyBorder="1" applyAlignment="1">
      <alignment vertical="center" wrapText="1"/>
    </xf>
    <xf numFmtId="164" fontId="0" fillId="0" borderId="3" xfId="0" applyNumberFormat="1" applyBorder="1" applyAlignment="1">
      <alignment vertical="center"/>
    </xf>
    <xf numFmtId="0" fontId="8" fillId="11" borderId="3" xfId="0" applyFont="1" applyFill="1" applyBorder="1" applyAlignment="1">
      <alignment vertical="center" wrapText="1"/>
    </xf>
    <xf numFmtId="164" fontId="10" fillId="14" borderId="4" xfId="0" applyNumberFormat="1" applyFont="1" applyFill="1" applyBorder="1" applyAlignment="1">
      <alignment vertical="center"/>
    </xf>
    <xf numFmtId="164" fontId="10" fillId="15" borderId="4" xfId="0" applyNumberFormat="1" applyFont="1" applyFill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4" fontId="0" fillId="0" borderId="4" xfId="0" applyNumberFormat="1" applyBorder="1" applyAlignment="1">
      <alignment horizontal="right" vertical="center" wrapText="1"/>
    </xf>
    <xf numFmtId="164" fontId="10" fillId="14" borderId="6" xfId="0" applyNumberFormat="1" applyFont="1" applyFill="1" applyBorder="1" applyAlignment="1">
      <alignment vertical="center"/>
    </xf>
    <xf numFmtId="164" fontId="10" fillId="15" borderId="6" xfId="0" applyNumberFormat="1" applyFont="1" applyFill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43" fontId="6" fillId="11" borderId="4" xfId="0" applyNumberFormat="1" applyFont="1" applyFill="1" applyBorder="1" applyAlignment="1">
      <alignment vertical="center"/>
    </xf>
    <xf numFmtId="166" fontId="7" fillId="11" borderId="4" xfId="0" applyNumberFormat="1" applyFont="1" applyFill="1" applyBorder="1" applyAlignment="1">
      <alignment horizontal="center" vertical="center" wrapText="1"/>
    </xf>
    <xf numFmtId="164" fontId="0" fillId="16" borderId="4" xfId="0" applyNumberFormat="1" applyFill="1" applyBorder="1" applyAlignment="1">
      <alignment vertical="center"/>
    </xf>
    <xf numFmtId="14" fontId="0" fillId="15" borderId="4" xfId="0" applyNumberFormat="1" applyFill="1" applyBorder="1"/>
    <xf numFmtId="14" fontId="0" fillId="14" borderId="4" xfId="0" applyNumberFormat="1" applyFill="1" applyBorder="1"/>
    <xf numFmtId="14" fontId="0" fillId="0" borderId="4" xfId="0" applyNumberFormat="1" applyBorder="1"/>
    <xf numFmtId="14" fontId="11" fillId="0" borderId="4" xfId="0" applyNumberFormat="1" applyFont="1" applyBorder="1"/>
    <xf numFmtId="14" fontId="0" fillId="12" borderId="4" xfId="0" applyNumberFormat="1" applyFill="1" applyBorder="1" applyAlignment="1">
      <alignment vertical="center"/>
    </xf>
    <xf numFmtId="43" fontId="5" fillId="0" borderId="4" xfId="0" applyNumberFormat="1" applyFont="1" applyBorder="1" applyAlignment="1">
      <alignment vertical="center"/>
    </xf>
    <xf numFmtId="14" fontId="6" fillId="11" borderId="4" xfId="0" applyNumberFormat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vertical="center" wrapText="1"/>
    </xf>
    <xf numFmtId="164" fontId="0" fillId="14" borderId="6" xfId="0" applyNumberFormat="1" applyFill="1" applyBorder="1" applyAlignment="1">
      <alignment vertical="center"/>
    </xf>
    <xf numFmtId="164" fontId="0" fillId="15" borderId="6" xfId="0" applyNumberFormat="1" applyFill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5" xfId="0" applyBorder="1" applyAlignment="1">
      <alignment horizontal="righ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459E-D073-42FD-9F71-34FA91E57622}">
  <sheetPr>
    <tabColor rgb="FF00B0F0"/>
  </sheetPr>
  <dimension ref="A1:BK226"/>
  <sheetViews>
    <sheetView showGridLines="0" tabSelected="1" topLeftCell="C1" zoomScale="102" zoomScaleNormal="130" workbookViewId="0">
      <selection activeCell="I2" sqref="I2"/>
    </sheetView>
  </sheetViews>
  <sheetFormatPr baseColWidth="10" defaultColWidth="17" defaultRowHeight="15" customHeight="1" x14ac:dyDescent="0.25"/>
  <cols>
    <col min="1" max="1" width="21.5703125" style="1" customWidth="1"/>
    <col min="2" max="2" width="66.28515625" style="1" customWidth="1"/>
    <col min="3" max="3" width="31" customWidth="1"/>
    <col min="4" max="4" width="17" style="86" customWidth="1"/>
    <col min="5" max="7" width="17" customWidth="1"/>
    <col min="8" max="26" width="18.42578125" bestFit="1" customWidth="1"/>
    <col min="27" max="35" width="18.42578125" customWidth="1"/>
    <col min="36" max="37" width="17.140625" bestFit="1" customWidth="1"/>
    <col min="39" max="39" width="17.140625" bestFit="1" customWidth="1"/>
    <col min="40" max="42" width="18.42578125" bestFit="1" customWidth="1"/>
    <col min="43" max="45" width="17.140625" bestFit="1" customWidth="1"/>
    <col min="46" max="47" width="18.42578125" bestFit="1" customWidth="1"/>
    <col min="48" max="55" width="17.140625" bestFit="1" customWidth="1"/>
    <col min="56" max="57" width="18.42578125" bestFit="1" customWidth="1"/>
    <col min="60" max="60" width="26.85546875" customWidth="1"/>
    <col min="61" max="61" width="26.140625" customWidth="1"/>
    <col min="62" max="62" width="79.42578125" customWidth="1"/>
  </cols>
  <sheetData>
    <row r="1" spans="1:63" ht="16.149999999999999" customHeight="1" x14ac:dyDescent="0.25">
      <c r="B1" s="2"/>
      <c r="C1" s="3"/>
      <c r="D1" s="4" t="s">
        <v>0</v>
      </c>
      <c r="E1" s="5"/>
      <c r="F1" s="6"/>
      <c r="G1" s="6"/>
      <c r="H1" s="7" t="s">
        <v>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3" s="21" customFormat="1" ht="52.15" customHeight="1" x14ac:dyDescent="0.2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14" t="s">
        <v>18</v>
      </c>
      <c r="R2" s="14" t="s">
        <v>19</v>
      </c>
      <c r="S2" s="14" t="s">
        <v>20</v>
      </c>
      <c r="T2" s="14" t="s">
        <v>21</v>
      </c>
      <c r="U2" s="14" t="s">
        <v>22</v>
      </c>
      <c r="V2" s="14" t="s">
        <v>23</v>
      </c>
      <c r="W2" s="14" t="s">
        <v>24</v>
      </c>
      <c r="X2" s="14" t="s">
        <v>25</v>
      </c>
      <c r="Y2" s="14" t="s">
        <v>26</v>
      </c>
      <c r="Z2" s="14" t="s">
        <v>27</v>
      </c>
      <c r="AA2" s="15" t="s">
        <v>28</v>
      </c>
      <c r="AB2" s="15" t="s">
        <v>29</v>
      </c>
      <c r="AC2" s="15" t="s">
        <v>30</v>
      </c>
      <c r="AD2" s="15" t="s">
        <v>31</v>
      </c>
      <c r="AE2" s="15" t="s">
        <v>32</v>
      </c>
      <c r="AF2" s="15" t="s">
        <v>33</v>
      </c>
      <c r="AG2" s="15" t="s">
        <v>34</v>
      </c>
      <c r="AH2" s="15" t="s">
        <v>35</v>
      </c>
      <c r="AI2" s="15" t="s">
        <v>36</v>
      </c>
      <c r="AJ2" s="15" t="s">
        <v>37</v>
      </c>
      <c r="AK2" s="15" t="s">
        <v>38</v>
      </c>
      <c r="AL2" s="15" t="s">
        <v>39</v>
      </c>
      <c r="AM2" s="15" t="s">
        <v>40</v>
      </c>
      <c r="AN2" s="14" t="s">
        <v>41</v>
      </c>
      <c r="AO2" s="14" t="s">
        <v>42</v>
      </c>
      <c r="AP2" s="14" t="s">
        <v>43</v>
      </c>
      <c r="AQ2" s="14" t="s">
        <v>44</v>
      </c>
      <c r="AR2" s="14" t="s">
        <v>45</v>
      </c>
      <c r="AS2" s="14" t="s">
        <v>46</v>
      </c>
      <c r="AT2" s="14" t="s">
        <v>47</v>
      </c>
      <c r="AU2" s="16" t="s">
        <v>48</v>
      </c>
      <c r="AV2" s="16" t="s">
        <v>49</v>
      </c>
      <c r="AW2" s="16" t="s">
        <v>50</v>
      </c>
      <c r="AX2" s="16" t="s">
        <v>51</v>
      </c>
      <c r="AY2" s="16" t="s">
        <v>52</v>
      </c>
      <c r="AZ2" s="16" t="s">
        <v>53</v>
      </c>
      <c r="BA2" s="16" t="s">
        <v>54</v>
      </c>
      <c r="BB2" s="16" t="s">
        <v>55</v>
      </c>
      <c r="BC2" s="16" t="s">
        <v>56</v>
      </c>
      <c r="BD2" s="16" t="s">
        <v>57</v>
      </c>
      <c r="BE2" s="17" t="s">
        <v>58</v>
      </c>
      <c r="BF2" s="18" t="s">
        <v>59</v>
      </c>
      <c r="BG2" s="18" t="s">
        <v>60</v>
      </c>
      <c r="BH2" s="19" t="s">
        <v>61</v>
      </c>
      <c r="BI2" s="20" t="s">
        <v>62</v>
      </c>
      <c r="BJ2" s="20" t="s">
        <v>63</v>
      </c>
    </row>
    <row r="3" spans="1:63" s="30" customFormat="1" ht="14.45" customHeight="1" x14ac:dyDescent="0.25">
      <c r="A3" s="22" t="s">
        <v>64</v>
      </c>
      <c r="B3" s="23" t="s">
        <v>65</v>
      </c>
      <c r="C3" s="24" t="s">
        <v>66</v>
      </c>
      <c r="D3" s="25">
        <v>530702</v>
      </c>
      <c r="E3" s="26">
        <v>300</v>
      </c>
      <c r="F3" s="27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</row>
    <row r="4" spans="1:63" s="30" customFormat="1" ht="14.45" customHeight="1" x14ac:dyDescent="0.25">
      <c r="A4" s="22" t="s">
        <v>67</v>
      </c>
      <c r="B4" s="23" t="s">
        <v>68</v>
      </c>
      <c r="C4" s="24" t="s">
        <v>69</v>
      </c>
      <c r="D4" s="25">
        <v>840107</v>
      </c>
      <c r="E4" s="26">
        <v>10000</v>
      </c>
      <c r="F4" s="27">
        <v>0</v>
      </c>
      <c r="G4" s="28">
        <v>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2"/>
      <c r="BG4" s="32"/>
      <c r="BH4" s="32"/>
      <c r="BI4" s="32"/>
      <c r="BJ4" s="32" t="s">
        <v>70</v>
      </c>
    </row>
    <row r="5" spans="1:63" s="30" customFormat="1" ht="14.45" customHeight="1" x14ac:dyDescent="0.25">
      <c r="A5" s="22" t="s">
        <v>67</v>
      </c>
      <c r="B5" s="23" t="s">
        <v>71</v>
      </c>
      <c r="C5" s="24" t="s">
        <v>72</v>
      </c>
      <c r="D5" s="25">
        <v>840107</v>
      </c>
      <c r="E5" s="26">
        <v>0</v>
      </c>
      <c r="F5" s="27">
        <v>3000</v>
      </c>
      <c r="G5" s="28">
        <v>2</v>
      </c>
      <c r="H5" s="33">
        <v>46127</v>
      </c>
      <c r="I5" s="33">
        <v>46127</v>
      </c>
      <c r="J5" s="33">
        <v>46128</v>
      </c>
      <c r="K5" s="33">
        <v>46128</v>
      </c>
      <c r="L5" s="33">
        <v>46128</v>
      </c>
      <c r="M5" s="33">
        <v>46129</v>
      </c>
      <c r="N5" s="33">
        <v>46132</v>
      </c>
      <c r="O5" s="33">
        <v>46133</v>
      </c>
      <c r="P5" s="33">
        <v>46134</v>
      </c>
      <c r="Q5" s="33">
        <v>46135</v>
      </c>
      <c r="R5" s="33">
        <v>46136</v>
      </c>
      <c r="S5" s="33">
        <v>46136</v>
      </c>
      <c r="T5" s="33">
        <v>46139</v>
      </c>
      <c r="U5" s="33">
        <v>46140</v>
      </c>
      <c r="V5" s="33">
        <v>46141</v>
      </c>
      <c r="W5" s="33">
        <v>46142</v>
      </c>
      <c r="X5" s="33">
        <v>46142</v>
      </c>
      <c r="Y5" s="33">
        <v>46143</v>
      </c>
      <c r="Z5" s="33">
        <v>46143</v>
      </c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>
        <v>46146</v>
      </c>
      <c r="AO5" s="33">
        <v>46147</v>
      </c>
      <c r="AP5" s="33">
        <v>46147</v>
      </c>
      <c r="AQ5" s="33"/>
      <c r="AR5" s="33"/>
      <c r="AS5" s="33"/>
      <c r="AT5" s="33">
        <v>46147</v>
      </c>
      <c r="AU5" s="33">
        <v>46152</v>
      </c>
      <c r="AV5" s="33"/>
      <c r="AW5" s="33"/>
      <c r="AX5" s="33"/>
      <c r="AY5" s="33"/>
      <c r="AZ5" s="33"/>
      <c r="BA5" s="33"/>
      <c r="BB5" s="33"/>
      <c r="BC5" s="33"/>
      <c r="BD5" s="33"/>
      <c r="BE5" s="33">
        <v>46152</v>
      </c>
      <c r="BF5" s="34"/>
      <c r="BG5" s="34" t="s">
        <v>73</v>
      </c>
      <c r="BH5" s="34" t="s">
        <v>74</v>
      </c>
      <c r="BI5" s="34" t="s">
        <v>75</v>
      </c>
      <c r="BJ5" s="34"/>
    </row>
    <row r="6" spans="1:63" s="30" customFormat="1" ht="14.45" customHeight="1" x14ac:dyDescent="0.25">
      <c r="A6" s="22" t="s">
        <v>67</v>
      </c>
      <c r="B6" s="23" t="s">
        <v>76</v>
      </c>
      <c r="C6" s="24" t="s">
        <v>77</v>
      </c>
      <c r="D6" s="25">
        <v>840107</v>
      </c>
      <c r="E6" s="26">
        <v>15000</v>
      </c>
      <c r="F6" s="27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</row>
    <row r="7" spans="1:63" s="30" customFormat="1" ht="14.45" customHeight="1" x14ac:dyDescent="0.25">
      <c r="A7" s="22" t="s">
        <v>67</v>
      </c>
      <c r="B7" s="23" t="s">
        <v>78</v>
      </c>
      <c r="C7" s="24" t="s">
        <v>79</v>
      </c>
      <c r="D7" s="25">
        <v>530243</v>
      </c>
      <c r="E7" s="26">
        <v>3500</v>
      </c>
      <c r="F7" s="35">
        <v>0</v>
      </c>
      <c r="G7" s="28">
        <v>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2"/>
      <c r="BG7" s="32"/>
      <c r="BH7" s="32"/>
      <c r="BI7" s="32"/>
      <c r="BJ7" s="32" t="s">
        <v>70</v>
      </c>
    </row>
    <row r="8" spans="1:63" s="30" customFormat="1" ht="14.45" customHeight="1" x14ac:dyDescent="0.25">
      <c r="A8" s="22" t="s">
        <v>67</v>
      </c>
      <c r="B8" s="23" t="s">
        <v>78</v>
      </c>
      <c r="C8" s="24" t="s">
        <v>80</v>
      </c>
      <c r="D8" s="36">
        <v>530704</v>
      </c>
      <c r="E8" s="26">
        <v>1000</v>
      </c>
      <c r="F8" s="35">
        <v>3500</v>
      </c>
      <c r="G8" s="28">
        <v>1</v>
      </c>
      <c r="H8" s="33">
        <v>46098</v>
      </c>
      <c r="I8" s="33">
        <v>46098</v>
      </c>
      <c r="J8" s="33">
        <v>46099</v>
      </c>
      <c r="K8" s="33">
        <v>46099</v>
      </c>
      <c r="L8" s="33">
        <v>46099</v>
      </c>
      <c r="M8" s="33">
        <v>46100</v>
      </c>
      <c r="N8" s="33">
        <v>46101</v>
      </c>
      <c r="O8" s="33">
        <v>46104</v>
      </c>
      <c r="P8" s="33">
        <v>46105</v>
      </c>
      <c r="Q8" s="33">
        <v>46106</v>
      </c>
      <c r="R8" s="33">
        <v>46107</v>
      </c>
      <c r="S8" s="33">
        <v>46107</v>
      </c>
      <c r="T8" s="33">
        <v>46108</v>
      </c>
      <c r="U8" s="33">
        <v>46111</v>
      </c>
      <c r="V8" s="33">
        <v>46112</v>
      </c>
      <c r="W8" s="33">
        <v>46113</v>
      </c>
      <c r="X8" s="33">
        <v>46113</v>
      </c>
      <c r="Y8" s="33">
        <v>46114</v>
      </c>
      <c r="Z8" s="33">
        <v>46114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>
        <v>46115</v>
      </c>
      <c r="AO8" s="33">
        <v>46118</v>
      </c>
      <c r="AP8" s="33">
        <v>46118</v>
      </c>
      <c r="AQ8" s="33"/>
      <c r="AR8" s="33"/>
      <c r="AS8" s="33"/>
      <c r="AT8" s="33">
        <v>46118</v>
      </c>
      <c r="AU8" s="33">
        <v>46122</v>
      </c>
      <c r="AV8" s="33"/>
      <c r="AW8" s="33"/>
      <c r="AX8" s="33"/>
      <c r="AY8" s="33"/>
      <c r="AZ8" s="33"/>
      <c r="BA8" s="33"/>
      <c r="BB8" s="33"/>
      <c r="BC8" s="33"/>
      <c r="BD8" s="33"/>
      <c r="BE8" s="33">
        <v>46122</v>
      </c>
      <c r="BF8" s="34"/>
      <c r="BG8" s="34" t="s">
        <v>73</v>
      </c>
      <c r="BH8" s="34" t="s">
        <v>74</v>
      </c>
      <c r="BI8" s="34" t="s">
        <v>81</v>
      </c>
      <c r="BJ8" s="34" t="s">
        <v>82</v>
      </c>
    </row>
    <row r="9" spans="1:63" s="30" customFormat="1" ht="14.45" customHeight="1" x14ac:dyDescent="0.25">
      <c r="A9" s="22" t="s">
        <v>67</v>
      </c>
      <c r="B9" s="23" t="s">
        <v>83</v>
      </c>
      <c r="C9" s="24" t="s">
        <v>84</v>
      </c>
      <c r="D9" s="25">
        <v>530243</v>
      </c>
      <c r="E9" s="26">
        <v>3500</v>
      </c>
      <c r="F9" s="35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</row>
    <row r="10" spans="1:63" s="30" customFormat="1" ht="14.45" customHeight="1" x14ac:dyDescent="0.25">
      <c r="A10" s="22" t="s">
        <v>67</v>
      </c>
      <c r="B10" s="23" t="s">
        <v>83</v>
      </c>
      <c r="C10" s="24" t="s">
        <v>85</v>
      </c>
      <c r="D10" s="25">
        <v>530404</v>
      </c>
      <c r="E10" s="26">
        <v>1500</v>
      </c>
      <c r="F10" s="27">
        <v>0</v>
      </c>
      <c r="G10" s="28">
        <v>0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8"/>
      <c r="BG10" s="38"/>
      <c r="BH10" s="38"/>
      <c r="BI10" s="38"/>
      <c r="BJ10" s="38" t="s">
        <v>70</v>
      </c>
    </row>
    <row r="11" spans="1:63" s="30" customFormat="1" ht="14.45" customHeight="1" x14ac:dyDescent="0.25">
      <c r="A11" s="22" t="s">
        <v>67</v>
      </c>
      <c r="B11" s="23" t="s">
        <v>86</v>
      </c>
      <c r="C11" s="24" t="s">
        <v>87</v>
      </c>
      <c r="D11" s="25">
        <v>531406</v>
      </c>
      <c r="E11" s="26">
        <v>3383.88</v>
      </c>
      <c r="F11" s="30">
        <v>0</v>
      </c>
      <c r="G11" s="28">
        <v>0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2"/>
      <c r="BG11" s="32"/>
      <c r="BH11" s="32"/>
      <c r="BI11" s="32"/>
      <c r="BJ11" s="32" t="s">
        <v>70</v>
      </c>
    </row>
    <row r="12" spans="1:63" s="30" customFormat="1" ht="14.45" customHeight="1" x14ac:dyDescent="0.25">
      <c r="A12" s="22" t="s">
        <v>67</v>
      </c>
      <c r="B12" s="23" t="s">
        <v>86</v>
      </c>
      <c r="C12" s="24" t="s">
        <v>88</v>
      </c>
      <c r="D12" s="25">
        <v>531407</v>
      </c>
      <c r="E12" s="26">
        <v>3383.87</v>
      </c>
      <c r="F12" s="27">
        <v>0</v>
      </c>
      <c r="G12" s="28">
        <v>0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2"/>
      <c r="BG12" s="32"/>
      <c r="BH12" s="32"/>
      <c r="BI12" s="32"/>
      <c r="BJ12" s="32" t="s">
        <v>70</v>
      </c>
    </row>
    <row r="13" spans="1:63" s="30" customFormat="1" ht="14.45" customHeight="1" x14ac:dyDescent="0.25">
      <c r="A13" s="22" t="s">
        <v>67</v>
      </c>
      <c r="B13" s="23" t="s">
        <v>89</v>
      </c>
      <c r="C13" s="24" t="s">
        <v>90</v>
      </c>
      <c r="D13" s="25">
        <v>840107</v>
      </c>
      <c r="E13" s="26">
        <v>0</v>
      </c>
      <c r="F13" s="27">
        <v>106000</v>
      </c>
      <c r="G13" s="28">
        <v>3</v>
      </c>
      <c r="H13" s="33">
        <v>46174</v>
      </c>
      <c r="I13" s="33">
        <v>46174</v>
      </c>
      <c r="J13" s="33">
        <v>46175</v>
      </c>
      <c r="K13" s="33">
        <v>46175</v>
      </c>
      <c r="L13" s="33">
        <v>46175</v>
      </c>
      <c r="M13" s="33">
        <v>46176</v>
      </c>
      <c r="N13" s="33">
        <v>46177</v>
      </c>
      <c r="O13" s="33">
        <v>46178</v>
      </c>
      <c r="P13" s="33">
        <v>46181</v>
      </c>
      <c r="Q13" s="33">
        <v>46182</v>
      </c>
      <c r="R13" s="33">
        <v>46183</v>
      </c>
      <c r="S13" s="33">
        <v>46183</v>
      </c>
      <c r="T13" s="33">
        <v>46184</v>
      </c>
      <c r="U13" s="33">
        <v>46185</v>
      </c>
      <c r="V13" s="33">
        <v>46188</v>
      </c>
      <c r="W13" s="33">
        <v>46189</v>
      </c>
      <c r="X13" s="33">
        <v>46189</v>
      </c>
      <c r="Y13" s="33">
        <v>46190</v>
      </c>
      <c r="Z13" s="33">
        <v>46190</v>
      </c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>
        <v>46191</v>
      </c>
      <c r="AO13" s="33">
        <v>46192</v>
      </c>
      <c r="AP13" s="33">
        <v>46192</v>
      </c>
      <c r="AQ13" s="33">
        <v>46195</v>
      </c>
      <c r="AR13" s="33">
        <v>46196</v>
      </c>
      <c r="AS13" s="33">
        <v>46197</v>
      </c>
      <c r="AT13" s="33">
        <v>46198</v>
      </c>
      <c r="AU13" s="33">
        <v>46198</v>
      </c>
      <c r="AV13" s="33">
        <v>46204</v>
      </c>
      <c r="AW13" s="33">
        <v>46206</v>
      </c>
      <c r="AX13" s="33">
        <v>46212</v>
      </c>
      <c r="AY13" s="33">
        <v>46213</v>
      </c>
      <c r="AZ13" s="33">
        <v>46216</v>
      </c>
      <c r="BA13" s="33">
        <v>46218</v>
      </c>
      <c r="BB13" s="33">
        <v>46219</v>
      </c>
      <c r="BC13" s="33">
        <v>46219</v>
      </c>
      <c r="BD13" s="33">
        <v>46224</v>
      </c>
      <c r="BE13" s="33">
        <v>46227</v>
      </c>
      <c r="BF13" s="34"/>
      <c r="BG13" s="34" t="s">
        <v>91</v>
      </c>
      <c r="BH13" s="34" t="s">
        <v>92</v>
      </c>
      <c r="BI13" s="34" t="s">
        <v>75</v>
      </c>
      <c r="BJ13" s="34"/>
    </row>
    <row r="14" spans="1:63" s="30" customFormat="1" ht="14.45" customHeight="1" x14ac:dyDescent="0.25">
      <c r="A14" s="22" t="s">
        <v>67</v>
      </c>
      <c r="B14" s="23" t="s">
        <v>89</v>
      </c>
      <c r="C14" s="24" t="s">
        <v>93</v>
      </c>
      <c r="D14" s="25">
        <v>530702</v>
      </c>
      <c r="E14" s="26">
        <v>0</v>
      </c>
      <c r="F14" s="27">
        <v>34000</v>
      </c>
      <c r="G14" s="28">
        <v>3</v>
      </c>
      <c r="H14" s="33">
        <v>46172</v>
      </c>
      <c r="I14" s="33">
        <v>46172</v>
      </c>
      <c r="J14" s="33">
        <v>46175</v>
      </c>
      <c r="K14" s="33">
        <v>46175</v>
      </c>
      <c r="L14" s="33">
        <v>46175</v>
      </c>
      <c r="M14" s="33">
        <v>46176</v>
      </c>
      <c r="N14" s="33">
        <v>46177</v>
      </c>
      <c r="O14" s="33">
        <v>46178</v>
      </c>
      <c r="P14" s="33">
        <v>46179</v>
      </c>
      <c r="Q14" s="33">
        <v>46182</v>
      </c>
      <c r="R14" s="33">
        <v>46183</v>
      </c>
      <c r="S14" s="33">
        <v>46183</v>
      </c>
      <c r="T14" s="33">
        <v>46184</v>
      </c>
      <c r="U14" s="33">
        <v>46185</v>
      </c>
      <c r="V14" s="33">
        <v>46186</v>
      </c>
      <c r="W14" s="33">
        <v>46189</v>
      </c>
      <c r="X14" s="33">
        <v>46189</v>
      </c>
      <c r="Y14" s="33">
        <v>46190</v>
      </c>
      <c r="Z14" s="33">
        <v>46190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>
        <v>46191</v>
      </c>
      <c r="AO14" s="33">
        <v>46192</v>
      </c>
      <c r="AP14" s="33">
        <v>46192</v>
      </c>
      <c r="AQ14" s="33">
        <v>46193</v>
      </c>
      <c r="AR14" s="33">
        <v>46196</v>
      </c>
      <c r="AS14" s="33">
        <v>46197</v>
      </c>
      <c r="AT14" s="33">
        <v>46198</v>
      </c>
      <c r="AU14" s="33">
        <v>46198</v>
      </c>
      <c r="AV14" s="33">
        <v>46204</v>
      </c>
      <c r="AW14" s="33">
        <v>46206</v>
      </c>
      <c r="AX14" s="33">
        <v>46212</v>
      </c>
      <c r="AY14" s="33">
        <v>46213</v>
      </c>
      <c r="AZ14" s="33">
        <v>46214</v>
      </c>
      <c r="BA14" s="33">
        <v>46218</v>
      </c>
      <c r="BB14" s="33">
        <v>46219</v>
      </c>
      <c r="BC14" s="33">
        <v>46219</v>
      </c>
      <c r="BD14" s="33">
        <v>46224</v>
      </c>
      <c r="BE14" s="33">
        <v>46227</v>
      </c>
      <c r="BF14" s="34"/>
      <c r="BG14" s="34" t="s">
        <v>91</v>
      </c>
      <c r="BH14" s="34" t="s">
        <v>92</v>
      </c>
      <c r="BI14" s="34" t="s">
        <v>75</v>
      </c>
      <c r="BJ14" s="34"/>
    </row>
    <row r="15" spans="1:63" s="30" customFormat="1" ht="14.45" customHeight="1" x14ac:dyDescent="0.25">
      <c r="A15" s="22" t="s">
        <v>67</v>
      </c>
      <c r="B15" s="23" t="s">
        <v>89</v>
      </c>
      <c r="C15" s="24" t="s">
        <v>94</v>
      </c>
      <c r="D15" s="25">
        <v>530402</v>
      </c>
      <c r="E15" s="26">
        <v>0</v>
      </c>
      <c r="F15" s="27">
        <v>8000</v>
      </c>
      <c r="G15" s="28">
        <v>3</v>
      </c>
      <c r="H15" s="33">
        <v>46174</v>
      </c>
      <c r="I15" s="33">
        <v>46174</v>
      </c>
      <c r="J15" s="33">
        <v>46175</v>
      </c>
      <c r="K15" s="33">
        <v>46175</v>
      </c>
      <c r="L15" s="33">
        <v>46175</v>
      </c>
      <c r="M15" s="33">
        <v>46176</v>
      </c>
      <c r="N15" s="33">
        <v>46177</v>
      </c>
      <c r="O15" s="33">
        <v>46178</v>
      </c>
      <c r="P15" s="33">
        <v>46181</v>
      </c>
      <c r="Q15" s="33">
        <v>46182</v>
      </c>
      <c r="R15" s="33">
        <v>46183</v>
      </c>
      <c r="S15" s="33">
        <v>46183</v>
      </c>
      <c r="T15" s="33">
        <v>46184</v>
      </c>
      <c r="U15" s="33">
        <v>46185</v>
      </c>
      <c r="V15" s="33">
        <v>46188</v>
      </c>
      <c r="W15" s="33">
        <v>46189</v>
      </c>
      <c r="X15" s="33">
        <v>46189</v>
      </c>
      <c r="Y15" s="33">
        <v>46190</v>
      </c>
      <c r="Z15" s="33">
        <v>46190</v>
      </c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>
        <v>46191</v>
      </c>
      <c r="AO15" s="33">
        <v>46192</v>
      </c>
      <c r="AP15" s="33">
        <v>46192</v>
      </c>
      <c r="AQ15" s="33">
        <v>46195</v>
      </c>
      <c r="AR15" s="33">
        <v>46196</v>
      </c>
      <c r="AS15" s="33">
        <v>46197</v>
      </c>
      <c r="AT15" s="33">
        <v>46198</v>
      </c>
      <c r="AU15" s="33">
        <v>46198</v>
      </c>
      <c r="AV15" s="33">
        <v>46204</v>
      </c>
      <c r="AW15" s="33">
        <v>46206</v>
      </c>
      <c r="AX15" s="33">
        <v>46212</v>
      </c>
      <c r="AY15" s="33">
        <v>46213</v>
      </c>
      <c r="AZ15" s="33">
        <v>46216</v>
      </c>
      <c r="BA15" s="33">
        <v>46218</v>
      </c>
      <c r="BB15" s="33">
        <v>46219</v>
      </c>
      <c r="BC15" s="33">
        <v>46219</v>
      </c>
      <c r="BD15" s="33">
        <v>46224</v>
      </c>
      <c r="BE15" s="33">
        <v>46227</v>
      </c>
      <c r="BF15" s="34"/>
      <c r="BG15" s="34" t="s">
        <v>91</v>
      </c>
      <c r="BH15" s="34" t="s">
        <v>92</v>
      </c>
      <c r="BI15" s="34" t="s">
        <v>75</v>
      </c>
      <c r="BJ15" s="34"/>
    </row>
    <row r="16" spans="1:63" s="30" customFormat="1" ht="14.45" customHeight="1" x14ac:dyDescent="0.25">
      <c r="A16" s="22" t="s">
        <v>95</v>
      </c>
      <c r="B16" s="23" t="s">
        <v>96</v>
      </c>
      <c r="C16" s="24" t="s">
        <v>97</v>
      </c>
      <c r="D16" s="36">
        <v>530207</v>
      </c>
      <c r="E16" s="26">
        <v>27795</v>
      </c>
      <c r="F16" s="39">
        <v>27795</v>
      </c>
      <c r="G16" s="28">
        <v>1</v>
      </c>
      <c r="H16" s="40">
        <v>46086</v>
      </c>
      <c r="I16" s="40">
        <v>46086</v>
      </c>
      <c r="J16" s="40">
        <v>46087</v>
      </c>
      <c r="K16" s="40">
        <v>46087</v>
      </c>
      <c r="L16" s="40">
        <v>46087</v>
      </c>
      <c r="M16" s="40">
        <v>46090</v>
      </c>
      <c r="N16" s="40">
        <v>46091</v>
      </c>
      <c r="O16" s="33">
        <v>46092</v>
      </c>
      <c r="P16" s="33">
        <v>46093</v>
      </c>
      <c r="Q16" s="33">
        <v>46094</v>
      </c>
      <c r="R16" s="33">
        <v>46097</v>
      </c>
      <c r="S16" s="33">
        <v>46097</v>
      </c>
      <c r="T16" s="33">
        <v>46098</v>
      </c>
      <c r="U16" s="33">
        <v>46099</v>
      </c>
      <c r="V16" s="33">
        <v>46100</v>
      </c>
      <c r="W16" s="33">
        <v>46101</v>
      </c>
      <c r="X16" s="33">
        <v>46101</v>
      </c>
      <c r="Y16" s="33">
        <v>46104</v>
      </c>
      <c r="Z16" s="33">
        <v>46104</v>
      </c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>
        <v>46105</v>
      </c>
      <c r="AO16" s="33">
        <v>46106</v>
      </c>
      <c r="AP16" s="33">
        <v>46106</v>
      </c>
      <c r="AQ16" s="33">
        <v>46107</v>
      </c>
      <c r="AR16" s="33">
        <v>46108</v>
      </c>
      <c r="AS16" s="33">
        <v>46111</v>
      </c>
      <c r="AT16" s="33">
        <v>46112</v>
      </c>
      <c r="AU16" s="33">
        <v>46112</v>
      </c>
      <c r="AV16" s="33">
        <v>46114</v>
      </c>
      <c r="AW16" s="33">
        <v>46118</v>
      </c>
      <c r="AX16" s="33">
        <v>46120</v>
      </c>
      <c r="AY16" s="33">
        <v>46121</v>
      </c>
      <c r="AZ16" s="33">
        <v>46122</v>
      </c>
      <c r="BA16" s="33">
        <v>46126</v>
      </c>
      <c r="BB16" s="33">
        <v>46127</v>
      </c>
      <c r="BC16" s="33">
        <v>46129</v>
      </c>
      <c r="BD16" s="33">
        <v>46134</v>
      </c>
      <c r="BE16" s="33">
        <v>46139</v>
      </c>
      <c r="BF16" s="34"/>
      <c r="BG16" s="34" t="s">
        <v>91</v>
      </c>
      <c r="BH16" s="34" t="s">
        <v>98</v>
      </c>
      <c r="BI16" s="34" t="s">
        <v>99</v>
      </c>
      <c r="BJ16" s="34" t="s">
        <v>82</v>
      </c>
      <c r="BK16" s="30" t="s">
        <v>100</v>
      </c>
    </row>
    <row r="17" spans="1:62" s="30" customFormat="1" ht="14.45" customHeight="1" x14ac:dyDescent="0.25">
      <c r="A17" s="22" t="s">
        <v>67</v>
      </c>
      <c r="B17" s="23" t="s">
        <v>101</v>
      </c>
      <c r="C17" s="24" t="s">
        <v>102</v>
      </c>
      <c r="D17" s="25">
        <v>840107</v>
      </c>
      <c r="E17" s="26">
        <v>10000</v>
      </c>
      <c r="F17" s="27"/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</row>
    <row r="18" spans="1:62" s="30" customFormat="1" ht="14.45" customHeight="1" x14ac:dyDescent="0.25">
      <c r="A18" s="22" t="s">
        <v>67</v>
      </c>
      <c r="B18" s="23" t="s">
        <v>103</v>
      </c>
      <c r="C18" s="24" t="s">
        <v>104</v>
      </c>
      <c r="D18" s="25">
        <v>530813</v>
      </c>
      <c r="E18" s="26">
        <v>5000</v>
      </c>
      <c r="F18" s="35">
        <v>2740</v>
      </c>
      <c r="G18" s="28">
        <v>2</v>
      </c>
      <c r="H18" s="33">
        <v>46178</v>
      </c>
      <c r="I18" s="33">
        <v>46178</v>
      </c>
      <c r="J18" s="33">
        <v>46181</v>
      </c>
      <c r="K18" s="33">
        <v>46181</v>
      </c>
      <c r="L18" s="33">
        <v>46181</v>
      </c>
      <c r="M18" s="33">
        <v>46182</v>
      </c>
      <c r="N18" s="33">
        <v>46183</v>
      </c>
      <c r="O18" s="33">
        <v>46184</v>
      </c>
      <c r="P18" s="33">
        <v>46185</v>
      </c>
      <c r="Q18" s="33">
        <v>46188</v>
      </c>
      <c r="R18" s="33">
        <v>46189</v>
      </c>
      <c r="S18" s="33">
        <v>46189</v>
      </c>
      <c r="T18" s="33">
        <v>46190</v>
      </c>
      <c r="U18" s="33">
        <v>46191</v>
      </c>
      <c r="V18" s="33">
        <v>46192</v>
      </c>
      <c r="W18" s="33">
        <v>46195</v>
      </c>
      <c r="X18" s="33">
        <v>46195</v>
      </c>
      <c r="Y18" s="33">
        <v>46196</v>
      </c>
      <c r="Z18" s="33">
        <v>46196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>
        <v>46197</v>
      </c>
      <c r="AO18" s="33">
        <v>46198</v>
      </c>
      <c r="AP18" s="33">
        <v>46198</v>
      </c>
      <c r="AQ18" s="33">
        <v>46199</v>
      </c>
      <c r="AR18" s="33">
        <v>46202</v>
      </c>
      <c r="AS18" s="33">
        <v>46203</v>
      </c>
      <c r="AT18" s="33">
        <v>46204</v>
      </c>
      <c r="AU18" s="33">
        <v>46204</v>
      </c>
      <c r="AV18" s="33"/>
      <c r="AW18" s="33"/>
      <c r="AX18" s="33"/>
      <c r="AY18" s="33"/>
      <c r="AZ18" s="33"/>
      <c r="BA18" s="33"/>
      <c r="BB18" s="33"/>
      <c r="BC18" s="33"/>
      <c r="BD18" s="33">
        <v>46206</v>
      </c>
      <c r="BE18" s="33"/>
      <c r="BF18" s="34"/>
      <c r="BG18" s="34" t="s">
        <v>91</v>
      </c>
      <c r="BH18" s="34" t="s">
        <v>105</v>
      </c>
      <c r="BI18" s="34" t="s">
        <v>75</v>
      </c>
      <c r="BJ18" s="34" t="s">
        <v>106</v>
      </c>
    </row>
    <row r="19" spans="1:62" s="30" customFormat="1" ht="14.45" customHeight="1" x14ac:dyDescent="0.25">
      <c r="A19" s="22" t="s">
        <v>67</v>
      </c>
      <c r="B19" s="23" t="s">
        <v>103</v>
      </c>
      <c r="C19" s="24" t="s">
        <v>107</v>
      </c>
      <c r="D19" s="25">
        <v>530813</v>
      </c>
      <c r="E19" s="26">
        <v>5000</v>
      </c>
      <c r="F19" s="35">
        <v>0</v>
      </c>
      <c r="G19" s="28">
        <v>0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2"/>
      <c r="BG19" s="32"/>
      <c r="BH19" s="32"/>
      <c r="BI19" s="32"/>
      <c r="BJ19" s="32" t="s">
        <v>70</v>
      </c>
    </row>
    <row r="20" spans="1:62" s="30" customFormat="1" ht="14.45" customHeight="1" x14ac:dyDescent="0.25">
      <c r="A20" s="22" t="s">
        <v>67</v>
      </c>
      <c r="B20" s="23" t="s">
        <v>108</v>
      </c>
      <c r="C20" s="24" t="s">
        <v>109</v>
      </c>
      <c r="D20" s="25">
        <v>530813</v>
      </c>
      <c r="E20" s="26">
        <v>0</v>
      </c>
      <c r="F20" s="41"/>
      <c r="G20" s="28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</row>
    <row r="21" spans="1:62" s="30" customFormat="1" ht="14.45" customHeight="1" x14ac:dyDescent="0.25">
      <c r="A21" s="22" t="s">
        <v>67</v>
      </c>
      <c r="B21" s="23" t="s">
        <v>110</v>
      </c>
      <c r="C21" s="24" t="s">
        <v>111</v>
      </c>
      <c r="D21" s="25">
        <v>530704</v>
      </c>
      <c r="E21" s="26">
        <v>0</v>
      </c>
      <c r="F21" s="41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</row>
    <row r="22" spans="1:62" s="30" customFormat="1" ht="14.45" customHeight="1" x14ac:dyDescent="0.25">
      <c r="A22" s="22" t="s">
        <v>67</v>
      </c>
      <c r="B22" s="23" t="s">
        <v>112</v>
      </c>
      <c r="C22" s="24" t="s">
        <v>113</v>
      </c>
      <c r="D22" s="25">
        <v>840107</v>
      </c>
      <c r="E22" s="26">
        <v>3000</v>
      </c>
      <c r="F22" s="27">
        <v>0</v>
      </c>
      <c r="G22" s="28">
        <v>0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2"/>
      <c r="BG22" s="32"/>
      <c r="BH22" s="32"/>
      <c r="BI22" s="32"/>
      <c r="BJ22" s="32" t="s">
        <v>70</v>
      </c>
    </row>
    <row r="23" spans="1:62" s="30" customFormat="1" ht="14.45" customHeight="1" x14ac:dyDescent="0.25">
      <c r="A23" s="22" t="s">
        <v>114</v>
      </c>
      <c r="B23" s="23" t="s">
        <v>115</v>
      </c>
      <c r="C23" s="24" t="s">
        <v>116</v>
      </c>
      <c r="D23" s="25">
        <v>530813</v>
      </c>
      <c r="E23" s="26">
        <v>500</v>
      </c>
      <c r="F23" s="35">
        <v>0</v>
      </c>
      <c r="G23" s="28">
        <v>0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2"/>
      <c r="BG23" s="32"/>
      <c r="BH23" s="32"/>
      <c r="BI23" s="32"/>
      <c r="BJ23" s="32" t="s">
        <v>70</v>
      </c>
    </row>
    <row r="24" spans="1:62" s="30" customFormat="1" ht="14.45" customHeight="1" x14ac:dyDescent="0.25">
      <c r="A24" s="22" t="s">
        <v>117</v>
      </c>
      <c r="B24" s="23" t="s">
        <v>118</v>
      </c>
      <c r="C24" s="24" t="s">
        <v>119</v>
      </c>
      <c r="D24" s="25">
        <v>530802</v>
      </c>
      <c r="E24" s="26">
        <v>676</v>
      </c>
      <c r="F24" s="42">
        <v>676</v>
      </c>
      <c r="G24" s="28">
        <v>3</v>
      </c>
      <c r="H24" s="33">
        <v>46239</v>
      </c>
      <c r="I24" s="33">
        <v>46239</v>
      </c>
      <c r="J24" s="33">
        <v>46240</v>
      </c>
      <c r="K24" s="33">
        <v>46240</v>
      </c>
      <c r="L24" s="33">
        <v>46240</v>
      </c>
      <c r="M24" s="33">
        <v>46241</v>
      </c>
      <c r="N24" s="33">
        <v>46245</v>
      </c>
      <c r="O24" s="33">
        <v>46246</v>
      </c>
      <c r="P24" s="33">
        <v>46247</v>
      </c>
      <c r="Q24" s="33">
        <v>46248</v>
      </c>
      <c r="R24" s="33">
        <v>46251</v>
      </c>
      <c r="S24" s="33">
        <v>46251</v>
      </c>
      <c r="T24" s="33">
        <v>46252</v>
      </c>
      <c r="U24" s="33">
        <v>46253</v>
      </c>
      <c r="V24" s="33">
        <v>46254</v>
      </c>
      <c r="W24" s="33">
        <v>46255</v>
      </c>
      <c r="X24" s="33">
        <v>46255</v>
      </c>
      <c r="Y24" s="33">
        <v>46258</v>
      </c>
      <c r="Z24" s="33">
        <v>46258</v>
      </c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>
        <v>46259</v>
      </c>
      <c r="AO24" s="33">
        <v>46260</v>
      </c>
      <c r="AP24" s="33">
        <v>46260</v>
      </c>
      <c r="AQ24" s="33">
        <v>46261</v>
      </c>
      <c r="AR24" s="33">
        <v>46262</v>
      </c>
      <c r="AS24" s="33">
        <v>46265</v>
      </c>
      <c r="AT24" s="33">
        <v>46266</v>
      </c>
      <c r="AU24" s="33">
        <v>46266</v>
      </c>
      <c r="AV24" s="33"/>
      <c r="AW24" s="33"/>
      <c r="AX24" s="33"/>
      <c r="AY24" s="33"/>
      <c r="AZ24" s="33"/>
      <c r="BA24" s="33"/>
      <c r="BB24" s="33"/>
      <c r="BC24" s="33"/>
      <c r="BD24" s="33">
        <v>46268</v>
      </c>
      <c r="BE24" s="33"/>
      <c r="BF24" s="34"/>
      <c r="BG24" s="34" t="s">
        <v>91</v>
      </c>
      <c r="BH24" s="34" t="s">
        <v>105</v>
      </c>
      <c r="BI24" s="34" t="s">
        <v>120</v>
      </c>
      <c r="BJ24" s="34"/>
    </row>
    <row r="25" spans="1:62" s="30" customFormat="1" ht="14.45" customHeight="1" x14ac:dyDescent="0.25">
      <c r="A25" s="22" t="s">
        <v>114</v>
      </c>
      <c r="B25" s="23" t="s">
        <v>121</v>
      </c>
      <c r="C25" s="24" t="s">
        <v>122</v>
      </c>
      <c r="D25" s="25">
        <v>530807</v>
      </c>
      <c r="E25" s="26">
        <v>20000</v>
      </c>
      <c r="F25" s="27">
        <v>18812</v>
      </c>
      <c r="G25" s="28">
        <v>2</v>
      </c>
      <c r="H25" s="33">
        <v>46108</v>
      </c>
      <c r="I25" s="33">
        <v>46108</v>
      </c>
      <c r="J25" s="33">
        <v>46111</v>
      </c>
      <c r="K25" s="33">
        <v>46111</v>
      </c>
      <c r="L25" s="33">
        <v>46111</v>
      </c>
      <c r="M25" s="33">
        <v>46112</v>
      </c>
      <c r="N25" s="33">
        <v>46113</v>
      </c>
      <c r="O25" s="33">
        <v>46114</v>
      </c>
      <c r="P25" s="33">
        <v>46118</v>
      </c>
      <c r="Q25" s="33">
        <v>46119</v>
      </c>
      <c r="R25" s="33">
        <v>46120</v>
      </c>
      <c r="S25" s="33">
        <v>46120</v>
      </c>
      <c r="T25" s="33">
        <v>46121</v>
      </c>
      <c r="U25" s="33">
        <v>46122</v>
      </c>
      <c r="V25" s="33">
        <v>46125</v>
      </c>
      <c r="W25" s="33">
        <v>46126</v>
      </c>
      <c r="X25" s="33">
        <v>46126</v>
      </c>
      <c r="Y25" s="33">
        <v>46127</v>
      </c>
      <c r="Z25" s="33">
        <v>46127</v>
      </c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>
        <v>46128</v>
      </c>
      <c r="AO25" s="33">
        <v>46129</v>
      </c>
      <c r="AP25" s="33">
        <v>46129</v>
      </c>
      <c r="AQ25" s="33">
        <v>46132</v>
      </c>
      <c r="AR25" s="33">
        <v>0</v>
      </c>
      <c r="AS25" s="33">
        <v>2</v>
      </c>
      <c r="AT25" s="33">
        <v>3</v>
      </c>
      <c r="AU25" s="33">
        <v>46135</v>
      </c>
      <c r="AV25" s="33"/>
      <c r="AW25" s="33"/>
      <c r="AX25" s="33"/>
      <c r="AY25" s="33"/>
      <c r="AZ25" s="33"/>
      <c r="BA25" s="33"/>
      <c r="BB25" s="33"/>
      <c r="BC25" s="33"/>
      <c r="BD25" s="33">
        <v>46139</v>
      </c>
      <c r="BE25" s="33"/>
      <c r="BF25" s="34"/>
      <c r="BG25" s="34" t="s">
        <v>91</v>
      </c>
      <c r="BH25" s="34" t="s">
        <v>105</v>
      </c>
      <c r="BI25" s="34" t="s">
        <v>123</v>
      </c>
      <c r="BJ25" s="34" t="s">
        <v>124</v>
      </c>
    </row>
    <row r="26" spans="1:62" s="30" customFormat="1" ht="14.45" customHeight="1" x14ac:dyDescent="0.25">
      <c r="A26" s="22" t="s">
        <v>114</v>
      </c>
      <c r="B26" s="23" t="s">
        <v>125</v>
      </c>
      <c r="C26" s="24" t="s">
        <v>126</v>
      </c>
      <c r="D26" s="25">
        <v>530807</v>
      </c>
      <c r="E26" s="26">
        <v>0</v>
      </c>
      <c r="F26" s="27"/>
      <c r="G26" s="28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</row>
    <row r="27" spans="1:62" s="30" customFormat="1" ht="14.45" customHeight="1" x14ac:dyDescent="0.25">
      <c r="A27" s="22" t="s">
        <v>67</v>
      </c>
      <c r="B27" s="23" t="s">
        <v>127</v>
      </c>
      <c r="C27" s="24" t="s">
        <v>128</v>
      </c>
      <c r="D27" s="25">
        <v>530701</v>
      </c>
      <c r="E27" s="26">
        <v>7000</v>
      </c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</row>
    <row r="28" spans="1:62" s="30" customFormat="1" ht="14.45" customHeight="1" x14ac:dyDescent="0.25">
      <c r="A28" s="22" t="s">
        <v>67</v>
      </c>
      <c r="B28" s="23" t="s">
        <v>127</v>
      </c>
      <c r="C28" s="24" t="s">
        <v>129</v>
      </c>
      <c r="D28" s="25">
        <v>530702</v>
      </c>
      <c r="E28" s="26">
        <v>40000</v>
      </c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</row>
    <row r="29" spans="1:62" s="30" customFormat="1" ht="14.45" customHeight="1" x14ac:dyDescent="0.25">
      <c r="A29" s="22" t="s">
        <v>67</v>
      </c>
      <c r="B29" s="23" t="s">
        <v>127</v>
      </c>
      <c r="C29" s="24" t="s">
        <v>130</v>
      </c>
      <c r="D29" s="25">
        <v>840107</v>
      </c>
      <c r="E29" s="26">
        <v>60000</v>
      </c>
      <c r="F29" s="27"/>
      <c r="G29" s="28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</row>
    <row r="30" spans="1:62" s="30" customFormat="1" ht="14.45" customHeight="1" x14ac:dyDescent="0.25">
      <c r="A30" s="22" t="s">
        <v>67</v>
      </c>
      <c r="B30" s="23" t="s">
        <v>131</v>
      </c>
      <c r="C30" s="24" t="s">
        <v>132</v>
      </c>
      <c r="D30" s="25">
        <v>530702</v>
      </c>
      <c r="E30" s="26">
        <v>30000</v>
      </c>
      <c r="F30" s="27">
        <v>0</v>
      </c>
      <c r="G30" s="28">
        <v>0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>
        <v>3</v>
      </c>
      <c r="AW30" s="31">
        <v>5</v>
      </c>
      <c r="AX30" s="31">
        <v>9</v>
      </c>
      <c r="AY30" s="31">
        <v>10</v>
      </c>
      <c r="AZ30" s="31">
        <v>11</v>
      </c>
      <c r="BA30" s="31">
        <v>13</v>
      </c>
      <c r="BB30" s="31">
        <v>16</v>
      </c>
      <c r="BC30" s="31">
        <v>18</v>
      </c>
      <c r="BD30" s="31">
        <v>23</v>
      </c>
      <c r="BE30" s="31"/>
      <c r="BF30" s="32"/>
      <c r="BG30" s="32"/>
      <c r="BH30" s="32"/>
      <c r="BI30" s="32"/>
      <c r="BJ30" s="32" t="s">
        <v>133</v>
      </c>
    </row>
    <row r="31" spans="1:62" s="30" customFormat="1" ht="14.45" customHeight="1" x14ac:dyDescent="0.25">
      <c r="A31" s="22" t="s">
        <v>67</v>
      </c>
      <c r="B31" s="23" t="s">
        <v>131</v>
      </c>
      <c r="C31" s="24" t="s">
        <v>134</v>
      </c>
      <c r="D31" s="25">
        <v>840107</v>
      </c>
      <c r="E31" s="26">
        <v>8492.18</v>
      </c>
      <c r="F31" s="27">
        <v>0</v>
      </c>
      <c r="G31" s="28">
        <v>0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>
        <v>3</v>
      </c>
      <c r="AW31" s="31">
        <v>5</v>
      </c>
      <c r="AX31" s="31">
        <v>9</v>
      </c>
      <c r="AY31" s="31">
        <v>10</v>
      </c>
      <c r="AZ31" s="31">
        <v>11</v>
      </c>
      <c r="BA31" s="31">
        <v>13</v>
      </c>
      <c r="BB31" s="31">
        <v>16</v>
      </c>
      <c r="BC31" s="31">
        <v>18</v>
      </c>
      <c r="BD31" s="31">
        <v>23</v>
      </c>
      <c r="BE31" s="31"/>
      <c r="BF31" s="32"/>
      <c r="BG31" s="32"/>
      <c r="BH31" s="32"/>
      <c r="BI31" s="32"/>
      <c r="BJ31" s="32" t="s">
        <v>133</v>
      </c>
    </row>
    <row r="32" spans="1:62" s="30" customFormat="1" ht="14.45" customHeight="1" x14ac:dyDescent="0.25">
      <c r="A32" s="22" t="s">
        <v>67</v>
      </c>
      <c r="B32" s="23" t="s">
        <v>135</v>
      </c>
      <c r="C32" s="24" t="s">
        <v>136</v>
      </c>
      <c r="D32" s="36">
        <v>840107</v>
      </c>
      <c r="E32" s="26">
        <v>17000</v>
      </c>
      <c r="F32" s="43">
        <v>17000</v>
      </c>
      <c r="G32" s="28">
        <v>1</v>
      </c>
      <c r="H32" s="44">
        <v>46091</v>
      </c>
      <c r="I32" s="44">
        <v>46091</v>
      </c>
      <c r="J32" s="44">
        <v>46092</v>
      </c>
      <c r="K32" s="33">
        <v>46092</v>
      </c>
      <c r="L32" s="33">
        <v>46092</v>
      </c>
      <c r="M32" s="33">
        <v>46093</v>
      </c>
      <c r="N32" s="33">
        <v>46094</v>
      </c>
      <c r="O32" s="33">
        <v>46097</v>
      </c>
      <c r="P32" s="33">
        <v>46098</v>
      </c>
      <c r="Q32" s="33">
        <v>46099</v>
      </c>
      <c r="R32" s="33">
        <v>46100</v>
      </c>
      <c r="S32" s="33">
        <v>46100</v>
      </c>
      <c r="T32" s="33">
        <v>46101</v>
      </c>
      <c r="U32" s="33">
        <v>46104</v>
      </c>
      <c r="V32" s="33">
        <v>46105</v>
      </c>
      <c r="W32" s="33">
        <v>46106</v>
      </c>
      <c r="X32" s="33">
        <v>46106</v>
      </c>
      <c r="Y32" s="33">
        <v>46107</v>
      </c>
      <c r="Z32" s="33">
        <v>46107</v>
      </c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>
        <v>46108</v>
      </c>
      <c r="AO32" s="33">
        <v>46111</v>
      </c>
      <c r="AP32" s="33">
        <v>46111</v>
      </c>
      <c r="AQ32" s="33">
        <v>46112</v>
      </c>
      <c r="AR32" s="33">
        <v>46113</v>
      </c>
      <c r="AS32" s="33">
        <v>46114</v>
      </c>
      <c r="AT32" s="33">
        <v>46114</v>
      </c>
      <c r="AU32" s="33">
        <v>46114</v>
      </c>
      <c r="AV32" s="33">
        <v>46119</v>
      </c>
      <c r="AW32" s="33">
        <v>46121</v>
      </c>
      <c r="AX32" s="33">
        <v>46125</v>
      </c>
      <c r="AY32" s="33">
        <v>46126</v>
      </c>
      <c r="AZ32" s="33">
        <v>46127</v>
      </c>
      <c r="BA32" s="33">
        <v>46129</v>
      </c>
      <c r="BB32" s="33">
        <v>46132</v>
      </c>
      <c r="BC32" s="33">
        <v>46134</v>
      </c>
      <c r="BD32" s="33">
        <v>46139</v>
      </c>
      <c r="BE32" s="33">
        <v>46142</v>
      </c>
      <c r="BF32" s="34"/>
      <c r="BG32" s="34" t="s">
        <v>91</v>
      </c>
      <c r="BH32" s="34" t="s">
        <v>98</v>
      </c>
      <c r="BI32" s="34" t="s">
        <v>137</v>
      </c>
      <c r="BJ32" s="45" t="s">
        <v>138</v>
      </c>
    </row>
    <row r="33" spans="1:62" s="30" customFormat="1" ht="14.45" customHeight="1" x14ac:dyDescent="0.25">
      <c r="A33" s="22" t="s">
        <v>114</v>
      </c>
      <c r="B33" s="23" t="s">
        <v>139</v>
      </c>
      <c r="C33" s="24" t="s">
        <v>140</v>
      </c>
      <c r="D33" s="25">
        <v>530804</v>
      </c>
      <c r="E33" s="26">
        <v>10000</v>
      </c>
      <c r="F33" s="42">
        <v>10000</v>
      </c>
      <c r="G33" s="28">
        <v>3</v>
      </c>
      <c r="H33" s="33">
        <v>46218</v>
      </c>
      <c r="I33" s="33">
        <v>46218</v>
      </c>
      <c r="J33" s="33">
        <v>46219</v>
      </c>
      <c r="K33" s="33">
        <v>46219</v>
      </c>
      <c r="L33" s="33">
        <v>46219</v>
      </c>
      <c r="M33" s="33">
        <v>46220</v>
      </c>
      <c r="N33" s="33">
        <v>46223</v>
      </c>
      <c r="O33" s="33">
        <v>46224</v>
      </c>
      <c r="P33" s="33">
        <v>46225</v>
      </c>
      <c r="Q33" s="33">
        <v>46226</v>
      </c>
      <c r="R33" s="33">
        <v>46227</v>
      </c>
      <c r="S33" s="33">
        <v>46227</v>
      </c>
      <c r="T33" s="33">
        <v>46230</v>
      </c>
      <c r="U33" s="33">
        <v>46231</v>
      </c>
      <c r="V33" s="33">
        <v>46232</v>
      </c>
      <c r="W33" s="33">
        <v>46233</v>
      </c>
      <c r="X33" s="33">
        <v>46233</v>
      </c>
      <c r="Y33" s="33">
        <v>46234</v>
      </c>
      <c r="Z33" s="33">
        <v>46234</v>
      </c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>
        <v>46237</v>
      </c>
      <c r="AO33" s="33">
        <v>46238</v>
      </c>
      <c r="AP33" s="33">
        <v>46238</v>
      </c>
      <c r="AQ33" s="33">
        <v>46239</v>
      </c>
      <c r="AR33" s="33">
        <v>46240</v>
      </c>
      <c r="AS33" s="33">
        <v>46241</v>
      </c>
      <c r="AT33" s="33">
        <v>46245</v>
      </c>
      <c r="AU33" s="33">
        <v>46245</v>
      </c>
      <c r="AV33" s="33"/>
      <c r="AW33" s="33"/>
      <c r="AX33" s="33"/>
      <c r="AY33" s="33"/>
      <c r="AZ33" s="33"/>
      <c r="BA33" s="33"/>
      <c r="BB33" s="33"/>
      <c r="BC33" s="33"/>
      <c r="BD33" s="33">
        <v>46247</v>
      </c>
      <c r="BE33" s="33"/>
      <c r="BF33" s="34"/>
      <c r="BG33" s="34" t="s">
        <v>91</v>
      </c>
      <c r="BH33" s="34" t="s">
        <v>105</v>
      </c>
      <c r="BI33" s="34" t="s">
        <v>141</v>
      </c>
      <c r="BJ33" s="34"/>
    </row>
    <row r="34" spans="1:62" s="30" customFormat="1" ht="14.45" customHeight="1" x14ac:dyDescent="0.25">
      <c r="A34" s="22" t="s">
        <v>117</v>
      </c>
      <c r="B34" s="23" t="s">
        <v>142</v>
      </c>
      <c r="C34" s="24" t="s">
        <v>143</v>
      </c>
      <c r="D34" s="25">
        <v>530210</v>
      </c>
      <c r="E34" s="26">
        <v>7800</v>
      </c>
      <c r="F34" s="27"/>
      <c r="G34" s="2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</row>
    <row r="35" spans="1:62" s="30" customFormat="1" ht="14.45" customHeight="1" x14ac:dyDescent="0.25">
      <c r="A35" s="22" t="s">
        <v>114</v>
      </c>
      <c r="B35" s="23" t="s">
        <v>144</v>
      </c>
      <c r="C35" s="24" t="s">
        <v>145</v>
      </c>
      <c r="D35" s="25">
        <v>530106</v>
      </c>
      <c r="E35" s="26">
        <v>500</v>
      </c>
      <c r="F35" s="27"/>
      <c r="G35" s="28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</row>
    <row r="36" spans="1:62" s="30" customFormat="1" ht="14.45" customHeight="1" x14ac:dyDescent="0.25">
      <c r="A36" s="22" t="s">
        <v>114</v>
      </c>
      <c r="B36" s="23" t="s">
        <v>144</v>
      </c>
      <c r="C36" s="24" t="s">
        <v>146</v>
      </c>
      <c r="D36" s="25">
        <v>530204</v>
      </c>
      <c r="E36" s="26">
        <v>1000</v>
      </c>
      <c r="F36" s="27"/>
      <c r="G36" s="28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</row>
    <row r="37" spans="1:62" s="30" customFormat="1" ht="14.45" customHeight="1" x14ac:dyDescent="0.25">
      <c r="A37" s="22" t="s">
        <v>114</v>
      </c>
      <c r="B37" s="23" t="s">
        <v>144</v>
      </c>
      <c r="C37" s="24" t="s">
        <v>147</v>
      </c>
      <c r="D37" s="25">
        <v>530502</v>
      </c>
      <c r="E37" s="26">
        <v>500</v>
      </c>
      <c r="F37" s="27"/>
      <c r="G37" s="28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</row>
    <row r="38" spans="1:62" s="30" customFormat="1" ht="14.45" customHeight="1" x14ac:dyDescent="0.25">
      <c r="A38" s="22" t="s">
        <v>114</v>
      </c>
      <c r="B38" s="23" t="s">
        <v>144</v>
      </c>
      <c r="C38" s="24" t="s">
        <v>148</v>
      </c>
      <c r="D38" s="25">
        <v>530801</v>
      </c>
      <c r="E38" s="26">
        <v>1000</v>
      </c>
      <c r="F38" s="27"/>
      <c r="G38" s="28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</row>
    <row r="39" spans="1:62" s="30" customFormat="1" ht="14.45" customHeight="1" x14ac:dyDescent="0.25">
      <c r="A39" s="22" t="s">
        <v>114</v>
      </c>
      <c r="B39" s="23" t="s">
        <v>144</v>
      </c>
      <c r="C39" s="24" t="s">
        <v>149</v>
      </c>
      <c r="D39" s="25">
        <v>530804</v>
      </c>
      <c r="E39" s="26">
        <v>1000</v>
      </c>
      <c r="F39" s="27"/>
      <c r="G39" s="28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</row>
    <row r="40" spans="1:62" s="30" customFormat="1" ht="14.45" customHeight="1" x14ac:dyDescent="0.25">
      <c r="A40" s="22" t="s">
        <v>114</v>
      </c>
      <c r="B40" s="23" t="s">
        <v>144</v>
      </c>
      <c r="C40" s="24" t="s">
        <v>150</v>
      </c>
      <c r="D40" s="25">
        <v>530805</v>
      </c>
      <c r="E40" s="26">
        <v>1000</v>
      </c>
      <c r="F40" s="27"/>
      <c r="G40" s="28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</row>
    <row r="41" spans="1:62" s="30" customFormat="1" ht="14.45" customHeight="1" x14ac:dyDescent="0.25">
      <c r="A41" s="22" t="s">
        <v>114</v>
      </c>
      <c r="B41" s="23" t="s">
        <v>144</v>
      </c>
      <c r="C41" s="24" t="s">
        <v>151</v>
      </c>
      <c r="D41" s="25">
        <v>530822</v>
      </c>
      <c r="E41" s="26">
        <v>514.77</v>
      </c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</row>
    <row r="42" spans="1:62" s="30" customFormat="1" ht="14.45" customHeight="1" x14ac:dyDescent="0.25">
      <c r="A42" s="22" t="s">
        <v>114</v>
      </c>
      <c r="B42" s="23" t="s">
        <v>144</v>
      </c>
      <c r="C42" s="24" t="s">
        <v>152</v>
      </c>
      <c r="D42" s="25">
        <v>531601</v>
      </c>
      <c r="E42" s="26">
        <v>0</v>
      </c>
      <c r="F42" s="27"/>
      <c r="G42" s="28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</row>
    <row r="43" spans="1:62" s="30" customFormat="1" ht="14.45" customHeight="1" x14ac:dyDescent="0.25">
      <c r="A43" s="22" t="s">
        <v>114</v>
      </c>
      <c r="B43" s="23" t="s">
        <v>153</v>
      </c>
      <c r="C43" s="24" t="s">
        <v>154</v>
      </c>
      <c r="D43" s="25">
        <v>530204</v>
      </c>
      <c r="E43" s="26">
        <v>300</v>
      </c>
      <c r="F43" s="27"/>
      <c r="G43" s="2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</row>
    <row r="44" spans="1:62" s="30" customFormat="1" ht="14.45" customHeight="1" x14ac:dyDescent="0.25">
      <c r="A44" s="22" t="s">
        <v>114</v>
      </c>
      <c r="B44" s="23" t="s">
        <v>153</v>
      </c>
      <c r="C44" s="24" t="s">
        <v>155</v>
      </c>
      <c r="D44" s="25">
        <v>530405</v>
      </c>
      <c r="E44" s="26">
        <v>100</v>
      </c>
      <c r="F44" s="27"/>
      <c r="G44" s="2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</row>
    <row r="45" spans="1:62" s="30" customFormat="1" ht="14.45" customHeight="1" x14ac:dyDescent="0.25">
      <c r="A45" s="22" t="s">
        <v>114</v>
      </c>
      <c r="B45" s="23" t="s">
        <v>153</v>
      </c>
      <c r="C45" s="24" t="s">
        <v>156</v>
      </c>
      <c r="D45" s="25">
        <v>530804</v>
      </c>
      <c r="E45" s="26">
        <v>50</v>
      </c>
      <c r="F45" s="27"/>
      <c r="G45" s="28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</row>
    <row r="46" spans="1:62" s="30" customFormat="1" ht="14.45" customHeight="1" x14ac:dyDescent="0.25">
      <c r="A46" s="22" t="s">
        <v>114</v>
      </c>
      <c r="B46" s="23" t="s">
        <v>153</v>
      </c>
      <c r="C46" s="24" t="s">
        <v>157</v>
      </c>
      <c r="D46" s="25">
        <v>530805</v>
      </c>
      <c r="E46" s="26">
        <v>200</v>
      </c>
      <c r="F46" s="27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</row>
    <row r="47" spans="1:62" s="30" customFormat="1" ht="14.45" customHeight="1" x14ac:dyDescent="0.25">
      <c r="A47" s="22" t="s">
        <v>114</v>
      </c>
      <c r="B47" s="23" t="s">
        <v>153</v>
      </c>
      <c r="C47" s="24" t="s">
        <v>158</v>
      </c>
      <c r="D47" s="25">
        <v>530811</v>
      </c>
      <c r="E47" s="26">
        <v>500</v>
      </c>
      <c r="F47" s="27"/>
      <c r="G47" s="28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</row>
    <row r="48" spans="1:62" s="30" customFormat="1" ht="14.45" customHeight="1" x14ac:dyDescent="0.25">
      <c r="A48" s="22" t="s">
        <v>114</v>
      </c>
      <c r="B48" s="23" t="s">
        <v>153</v>
      </c>
      <c r="C48" s="24" t="s">
        <v>159</v>
      </c>
      <c r="D48" s="25">
        <v>530813</v>
      </c>
      <c r="E48" s="26">
        <v>800</v>
      </c>
      <c r="F48" s="27"/>
      <c r="G48" s="2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</row>
    <row r="49" spans="1:62" s="30" customFormat="1" ht="14.45" customHeight="1" x14ac:dyDescent="0.25">
      <c r="A49" s="22" t="s">
        <v>114</v>
      </c>
      <c r="B49" s="23" t="s">
        <v>153</v>
      </c>
      <c r="C49" s="24" t="s">
        <v>160</v>
      </c>
      <c r="D49" s="25">
        <v>531601</v>
      </c>
      <c r="E49" s="26">
        <v>0</v>
      </c>
      <c r="F49" s="27"/>
      <c r="G49" s="28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</row>
    <row r="50" spans="1:62" s="30" customFormat="1" ht="14.45" customHeight="1" x14ac:dyDescent="0.25">
      <c r="A50" s="22" t="s">
        <v>161</v>
      </c>
      <c r="B50" s="23" t="s">
        <v>162</v>
      </c>
      <c r="C50" s="24" t="s">
        <v>163</v>
      </c>
      <c r="D50" s="25">
        <v>530602</v>
      </c>
      <c r="E50" s="26">
        <v>6600</v>
      </c>
      <c r="F50" s="35">
        <v>6600</v>
      </c>
      <c r="G50" s="28">
        <v>2</v>
      </c>
      <c r="H50" s="33">
        <v>46120</v>
      </c>
      <c r="I50" s="33">
        <v>46120</v>
      </c>
      <c r="J50" s="33">
        <v>46121</v>
      </c>
      <c r="K50" s="33">
        <v>46121</v>
      </c>
      <c r="L50" s="33">
        <v>46121</v>
      </c>
      <c r="M50" s="33">
        <v>46122</v>
      </c>
      <c r="N50" s="33">
        <v>46125</v>
      </c>
      <c r="O50" s="33">
        <v>46126</v>
      </c>
      <c r="P50" s="33">
        <v>46127</v>
      </c>
      <c r="Q50" s="33">
        <v>46128</v>
      </c>
      <c r="R50" s="33">
        <v>46129</v>
      </c>
      <c r="S50" s="33">
        <v>46129</v>
      </c>
      <c r="T50" s="33">
        <v>46132</v>
      </c>
      <c r="U50" s="33">
        <v>46133</v>
      </c>
      <c r="V50" s="33">
        <v>46134</v>
      </c>
      <c r="W50" s="33">
        <v>46135</v>
      </c>
      <c r="X50" s="33">
        <v>46135</v>
      </c>
      <c r="Y50" s="33">
        <v>46136</v>
      </c>
      <c r="Z50" s="33">
        <v>46136</v>
      </c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>
        <v>46139</v>
      </c>
      <c r="AO50" s="33">
        <v>46140</v>
      </c>
      <c r="AP50" s="33">
        <v>46140</v>
      </c>
      <c r="AQ50" s="33"/>
      <c r="AR50" s="33"/>
      <c r="AS50" s="33"/>
      <c r="AT50" s="33">
        <v>46140</v>
      </c>
      <c r="AU50" s="33">
        <v>46146</v>
      </c>
      <c r="AV50" s="33"/>
      <c r="AW50" s="33"/>
      <c r="AX50" s="33"/>
      <c r="AY50" s="33"/>
      <c r="AZ50" s="33"/>
      <c r="BA50" s="33"/>
      <c r="BB50" s="33"/>
      <c r="BC50" s="33"/>
      <c r="BD50" s="33"/>
      <c r="BE50" s="33">
        <v>46146</v>
      </c>
      <c r="BF50" s="34"/>
      <c r="BG50" s="34" t="s">
        <v>73</v>
      </c>
      <c r="BH50" s="34" t="s">
        <v>74</v>
      </c>
      <c r="BI50" s="34" t="s">
        <v>164</v>
      </c>
      <c r="BJ50" s="34"/>
    </row>
    <row r="51" spans="1:62" s="30" customFormat="1" ht="14.45" customHeight="1" x14ac:dyDescent="0.25">
      <c r="A51" s="22" t="s">
        <v>161</v>
      </c>
      <c r="B51" s="23" t="s">
        <v>165</v>
      </c>
      <c r="C51" s="24" t="s">
        <v>166</v>
      </c>
      <c r="D51" s="36">
        <v>530601</v>
      </c>
      <c r="E51" s="26">
        <v>14400</v>
      </c>
      <c r="F51" s="42">
        <v>14400</v>
      </c>
      <c r="G51" s="28">
        <v>1</v>
      </c>
      <c r="H51" s="46">
        <v>46090</v>
      </c>
      <c r="I51" s="46">
        <v>46090</v>
      </c>
      <c r="J51" s="46">
        <v>46091</v>
      </c>
      <c r="K51" s="46">
        <v>46091</v>
      </c>
      <c r="L51" s="46">
        <v>46091</v>
      </c>
      <c r="M51" s="46">
        <v>46092</v>
      </c>
      <c r="N51" s="46">
        <v>46093</v>
      </c>
      <c r="O51" s="46">
        <v>46094</v>
      </c>
      <c r="P51" s="33">
        <v>46097</v>
      </c>
      <c r="Q51" s="33">
        <v>46098</v>
      </c>
      <c r="R51" s="33">
        <v>46099</v>
      </c>
      <c r="S51" s="33">
        <v>46099</v>
      </c>
      <c r="T51" s="33">
        <v>46100</v>
      </c>
      <c r="U51" s="33">
        <v>46101</v>
      </c>
      <c r="V51" s="33">
        <v>46104</v>
      </c>
      <c r="W51" s="33">
        <v>46105</v>
      </c>
      <c r="X51" s="33">
        <v>46105</v>
      </c>
      <c r="Y51" s="33">
        <v>46106</v>
      </c>
      <c r="Z51" s="33">
        <v>46106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>
        <v>46107</v>
      </c>
      <c r="AO51" s="33">
        <v>46108</v>
      </c>
      <c r="AP51" s="33">
        <v>46108</v>
      </c>
      <c r="AQ51" s="33">
        <v>46111</v>
      </c>
      <c r="AR51" s="33">
        <v>46112</v>
      </c>
      <c r="AS51" s="33">
        <v>46113</v>
      </c>
      <c r="AT51" s="33">
        <v>46114</v>
      </c>
      <c r="AU51" s="33">
        <v>46114</v>
      </c>
      <c r="AV51" s="33">
        <v>46118</v>
      </c>
      <c r="AW51" s="33">
        <v>46120</v>
      </c>
      <c r="AX51" s="33">
        <v>46122</v>
      </c>
      <c r="AY51" s="33">
        <v>46125</v>
      </c>
      <c r="AZ51" s="33">
        <v>46126</v>
      </c>
      <c r="BA51" s="33">
        <v>46128</v>
      </c>
      <c r="BB51" s="33">
        <v>46129</v>
      </c>
      <c r="BC51" s="33">
        <v>46129</v>
      </c>
      <c r="BD51" s="33">
        <v>46134</v>
      </c>
      <c r="BE51" s="33">
        <v>46139</v>
      </c>
      <c r="BF51" s="34"/>
      <c r="BG51" s="34" t="s">
        <v>91</v>
      </c>
      <c r="BH51" s="34" t="s">
        <v>167</v>
      </c>
      <c r="BI51" s="34" t="s">
        <v>168</v>
      </c>
      <c r="BJ51" s="34" t="s">
        <v>82</v>
      </c>
    </row>
    <row r="52" spans="1:62" s="30" customFormat="1" ht="14.45" customHeight="1" x14ac:dyDescent="0.25">
      <c r="A52" s="22" t="s">
        <v>169</v>
      </c>
      <c r="B52" s="23" t="s">
        <v>170</v>
      </c>
      <c r="C52" s="24" t="s">
        <v>171</v>
      </c>
      <c r="D52" s="25">
        <v>630601</v>
      </c>
      <c r="E52" s="26">
        <f>130000-12500</f>
        <v>117500</v>
      </c>
      <c r="F52" s="27">
        <v>0</v>
      </c>
      <c r="G52" s="28">
        <v>0</v>
      </c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>
        <v>5</v>
      </c>
      <c r="AW52" s="31">
        <v>9</v>
      </c>
      <c r="AX52" s="31">
        <v>13</v>
      </c>
      <c r="AY52" s="31">
        <v>16</v>
      </c>
      <c r="AZ52" s="31">
        <v>17</v>
      </c>
      <c r="BA52" s="31">
        <v>19</v>
      </c>
      <c r="BB52" s="31">
        <v>20</v>
      </c>
      <c r="BC52" s="31">
        <v>20</v>
      </c>
      <c r="BD52" s="31">
        <v>25</v>
      </c>
      <c r="BE52" s="31"/>
      <c r="BF52" s="32"/>
      <c r="BG52" s="32"/>
      <c r="BH52" s="32"/>
      <c r="BI52" s="32"/>
      <c r="BJ52" s="32" t="s">
        <v>133</v>
      </c>
    </row>
    <row r="53" spans="1:62" s="30" customFormat="1" ht="14.45" customHeight="1" x14ac:dyDescent="0.25">
      <c r="A53" s="22" t="s">
        <v>114</v>
      </c>
      <c r="B53" s="23" t="s">
        <v>172</v>
      </c>
      <c r="C53" s="24" t="s">
        <v>173</v>
      </c>
      <c r="D53" s="25">
        <v>530606</v>
      </c>
      <c r="E53" s="26">
        <f>9000+5400</f>
        <v>14400</v>
      </c>
      <c r="F53" s="27"/>
      <c r="G53" s="28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</row>
    <row r="54" spans="1:62" s="30" customFormat="1" ht="14.45" customHeight="1" x14ac:dyDescent="0.25">
      <c r="A54" s="22" t="s">
        <v>114</v>
      </c>
      <c r="B54" s="23" t="s">
        <v>174</v>
      </c>
      <c r="C54" s="24" t="s">
        <v>175</v>
      </c>
      <c r="D54" s="36">
        <v>570201</v>
      </c>
      <c r="E54" s="26">
        <v>40000</v>
      </c>
      <c r="F54" s="47">
        <v>39850</v>
      </c>
      <c r="G54" s="24">
        <v>1</v>
      </c>
      <c r="H54" s="48">
        <v>46085</v>
      </c>
      <c r="I54" s="48">
        <v>46085</v>
      </c>
      <c r="J54" s="46">
        <v>46093</v>
      </c>
      <c r="K54" s="46">
        <v>46093</v>
      </c>
      <c r="L54" s="46">
        <v>46093</v>
      </c>
      <c r="M54" s="46">
        <v>46093</v>
      </c>
      <c r="N54" s="46">
        <v>46093</v>
      </c>
      <c r="O54" s="46">
        <v>46093</v>
      </c>
      <c r="P54" s="33">
        <v>46093</v>
      </c>
      <c r="Q54" s="33">
        <v>46093</v>
      </c>
      <c r="R54" s="33">
        <v>46093</v>
      </c>
      <c r="S54" s="33">
        <v>46094</v>
      </c>
      <c r="T54" s="33">
        <v>46094</v>
      </c>
      <c r="U54" s="33">
        <v>46099</v>
      </c>
      <c r="V54" s="33">
        <v>46100</v>
      </c>
      <c r="W54" s="33">
        <v>46100</v>
      </c>
      <c r="X54" s="33">
        <v>46101</v>
      </c>
      <c r="Y54" s="33">
        <v>46104</v>
      </c>
      <c r="Z54" s="33">
        <v>46104</v>
      </c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>
        <v>46105</v>
      </c>
      <c r="AO54" s="33">
        <v>46106</v>
      </c>
      <c r="AP54" s="33">
        <v>46107</v>
      </c>
      <c r="AQ54" s="33">
        <v>46108</v>
      </c>
      <c r="AR54" s="33">
        <v>46108</v>
      </c>
      <c r="AS54" s="33">
        <v>46111</v>
      </c>
      <c r="AT54" s="33">
        <v>46111</v>
      </c>
      <c r="AU54" s="33">
        <v>46113</v>
      </c>
      <c r="AV54" s="33">
        <v>46118</v>
      </c>
      <c r="AW54" s="33">
        <v>46120</v>
      </c>
      <c r="AX54" s="33">
        <v>46122</v>
      </c>
      <c r="AY54" s="33">
        <v>46126</v>
      </c>
      <c r="AZ54" s="33">
        <v>46127</v>
      </c>
      <c r="BA54" s="33">
        <v>46129</v>
      </c>
      <c r="BB54" s="33">
        <v>46132</v>
      </c>
      <c r="BC54" s="33">
        <v>46132</v>
      </c>
      <c r="BD54" s="33">
        <v>46135</v>
      </c>
      <c r="BE54" s="33">
        <v>46140</v>
      </c>
      <c r="BF54" s="34" t="s">
        <v>176</v>
      </c>
      <c r="BG54" s="34" t="s">
        <v>91</v>
      </c>
      <c r="BH54" s="34" t="s">
        <v>177</v>
      </c>
      <c r="BI54" s="34" t="s">
        <v>178</v>
      </c>
      <c r="BJ54" s="45" t="s">
        <v>179</v>
      </c>
    </row>
    <row r="55" spans="1:62" s="30" customFormat="1" ht="14.45" customHeight="1" x14ac:dyDescent="0.25">
      <c r="A55" s="22" t="s">
        <v>169</v>
      </c>
      <c r="B55" s="23" t="s">
        <v>180</v>
      </c>
      <c r="C55" s="24" t="s">
        <v>181</v>
      </c>
      <c r="D55" s="25">
        <v>530606</v>
      </c>
      <c r="E55" s="26">
        <v>12500</v>
      </c>
      <c r="F55" s="27"/>
      <c r="G55" s="28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</row>
    <row r="56" spans="1:62" s="30" customFormat="1" ht="14.45" customHeight="1" x14ac:dyDescent="0.25">
      <c r="A56" s="22" t="s">
        <v>169</v>
      </c>
      <c r="B56" s="23" t="s">
        <v>180</v>
      </c>
      <c r="C56" s="24" t="s">
        <v>182</v>
      </c>
      <c r="D56" s="25">
        <v>530801</v>
      </c>
      <c r="E56" s="26">
        <v>0</v>
      </c>
      <c r="F56" s="27"/>
      <c r="G56" s="28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</row>
    <row r="57" spans="1:62" s="30" customFormat="1" ht="14.45" customHeight="1" x14ac:dyDescent="0.25">
      <c r="A57" s="22" t="s">
        <v>117</v>
      </c>
      <c r="B57" s="23" t="s">
        <v>183</v>
      </c>
      <c r="C57" s="24" t="s">
        <v>184</v>
      </c>
      <c r="D57" s="25">
        <v>530606</v>
      </c>
      <c r="E57" s="26">
        <v>13800</v>
      </c>
      <c r="F57" s="27"/>
      <c r="G57" s="28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</row>
    <row r="58" spans="1:62" s="30" customFormat="1" ht="14.45" customHeight="1" x14ac:dyDescent="0.25">
      <c r="A58" s="22" t="s">
        <v>67</v>
      </c>
      <c r="B58" s="23" t="s">
        <v>185</v>
      </c>
      <c r="C58" s="24" t="s">
        <v>186</v>
      </c>
      <c r="D58" s="25">
        <v>530606</v>
      </c>
      <c r="E58" s="26">
        <v>6000</v>
      </c>
      <c r="F58" s="27"/>
      <c r="G58" s="28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</row>
    <row r="59" spans="1:62" s="30" customFormat="1" ht="14.45" customHeight="1" x14ac:dyDescent="0.25">
      <c r="A59" s="22" t="s">
        <v>117</v>
      </c>
      <c r="B59" s="23" t="s">
        <v>187</v>
      </c>
      <c r="C59" s="24" t="s">
        <v>188</v>
      </c>
      <c r="D59" s="25">
        <v>530606</v>
      </c>
      <c r="E59" s="26">
        <v>450</v>
      </c>
      <c r="F59" s="27"/>
      <c r="G59" s="28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</row>
    <row r="60" spans="1:62" s="30" customFormat="1" ht="14.45" customHeight="1" x14ac:dyDescent="0.25">
      <c r="A60" s="22" t="s">
        <v>117</v>
      </c>
      <c r="B60" s="23" t="s">
        <v>189</v>
      </c>
      <c r="C60" s="24" t="s">
        <v>190</v>
      </c>
      <c r="D60" s="25">
        <v>530606</v>
      </c>
      <c r="E60" s="26">
        <v>0</v>
      </c>
      <c r="F60" s="27"/>
      <c r="G60" s="28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62" s="30" customFormat="1" ht="14.45" customHeight="1" x14ac:dyDescent="0.25">
      <c r="A61" s="22" t="s">
        <v>114</v>
      </c>
      <c r="B61" s="23" t="s">
        <v>191</v>
      </c>
      <c r="C61" s="24" t="s">
        <v>192</v>
      </c>
      <c r="D61" s="36">
        <v>530301</v>
      </c>
      <c r="E61" s="26">
        <v>3000</v>
      </c>
      <c r="F61" s="49">
        <v>1500</v>
      </c>
      <c r="G61" s="24">
        <v>1</v>
      </c>
      <c r="H61" s="48">
        <v>46078</v>
      </c>
      <c r="I61" s="48">
        <v>46079</v>
      </c>
      <c r="J61" s="48">
        <v>46086</v>
      </c>
      <c r="K61" s="48">
        <v>46086</v>
      </c>
      <c r="L61" s="48">
        <v>46086</v>
      </c>
      <c r="M61" s="48">
        <v>46086</v>
      </c>
      <c r="N61" s="48">
        <v>46086</v>
      </c>
      <c r="O61" s="48">
        <v>46087</v>
      </c>
      <c r="P61" s="48">
        <v>46087</v>
      </c>
      <c r="Q61" s="48">
        <v>46087</v>
      </c>
      <c r="R61" s="48">
        <v>46087</v>
      </c>
      <c r="S61" s="48">
        <v>46090</v>
      </c>
      <c r="T61" s="48">
        <v>46090</v>
      </c>
      <c r="U61" s="44">
        <v>46092</v>
      </c>
      <c r="V61" s="46">
        <v>46093</v>
      </c>
      <c r="W61" s="46">
        <v>46093</v>
      </c>
      <c r="X61" s="46">
        <v>46094</v>
      </c>
      <c r="Y61" s="33">
        <v>46097</v>
      </c>
      <c r="Z61" s="33">
        <v>46097</v>
      </c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>
        <v>46099</v>
      </c>
      <c r="AO61" s="33">
        <v>46099</v>
      </c>
      <c r="AP61" s="33">
        <v>46100</v>
      </c>
      <c r="AQ61" s="33">
        <v>46101</v>
      </c>
      <c r="AR61" s="33">
        <v>46101</v>
      </c>
      <c r="AS61" s="33">
        <v>46104</v>
      </c>
      <c r="AT61" s="33">
        <v>46104</v>
      </c>
      <c r="AU61" s="33">
        <v>46105</v>
      </c>
      <c r="AV61" s="33">
        <v>46107</v>
      </c>
      <c r="AW61" s="33">
        <v>46111</v>
      </c>
      <c r="AX61" s="33">
        <v>46114</v>
      </c>
      <c r="AY61" s="33">
        <v>46118</v>
      </c>
      <c r="AZ61" s="33">
        <v>46119</v>
      </c>
      <c r="BA61" s="33">
        <v>46121</v>
      </c>
      <c r="BB61" s="33">
        <v>46122</v>
      </c>
      <c r="BC61" s="33">
        <v>46122</v>
      </c>
      <c r="BD61" s="33">
        <v>46127</v>
      </c>
      <c r="BE61" s="33">
        <v>46132</v>
      </c>
      <c r="BF61" s="50">
        <v>46387</v>
      </c>
      <c r="BG61" s="34" t="s">
        <v>91</v>
      </c>
      <c r="BH61" s="34" t="s">
        <v>193</v>
      </c>
      <c r="BI61" s="34" t="s">
        <v>178</v>
      </c>
      <c r="BJ61" s="45" t="s">
        <v>194</v>
      </c>
    </row>
    <row r="62" spans="1:62" s="30" customFormat="1" ht="14.45" customHeight="1" x14ac:dyDescent="0.25">
      <c r="A62" s="22" t="s">
        <v>114</v>
      </c>
      <c r="B62" s="23" t="s">
        <v>191</v>
      </c>
      <c r="C62" s="24" t="s">
        <v>195</v>
      </c>
      <c r="D62" s="36">
        <v>530302</v>
      </c>
      <c r="E62" s="26">
        <v>60000</v>
      </c>
      <c r="F62" s="51">
        <v>40000</v>
      </c>
      <c r="G62" s="24">
        <v>1</v>
      </c>
      <c r="H62" s="48">
        <v>46078</v>
      </c>
      <c r="I62" s="48">
        <v>46079</v>
      </c>
      <c r="J62" s="48">
        <v>46086</v>
      </c>
      <c r="K62" s="48">
        <v>46086</v>
      </c>
      <c r="L62" s="48">
        <v>46086</v>
      </c>
      <c r="M62" s="48">
        <v>46086</v>
      </c>
      <c r="N62" s="48">
        <v>46086</v>
      </c>
      <c r="O62" s="48">
        <v>46087</v>
      </c>
      <c r="P62" s="48">
        <v>46087</v>
      </c>
      <c r="Q62" s="48">
        <v>46087</v>
      </c>
      <c r="R62" s="48">
        <v>46087</v>
      </c>
      <c r="S62" s="48">
        <v>46090</v>
      </c>
      <c r="T62" s="48">
        <v>46090</v>
      </c>
      <c r="U62" s="44">
        <v>46092</v>
      </c>
      <c r="V62" s="46">
        <v>46093</v>
      </c>
      <c r="W62" s="46">
        <v>46093</v>
      </c>
      <c r="X62" s="46">
        <v>46094</v>
      </c>
      <c r="Y62" s="33">
        <v>46097</v>
      </c>
      <c r="Z62" s="33">
        <v>46097</v>
      </c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>
        <v>46099</v>
      </c>
      <c r="AO62" s="33">
        <v>46099</v>
      </c>
      <c r="AP62" s="33">
        <v>46100</v>
      </c>
      <c r="AQ62" s="33">
        <v>46101</v>
      </c>
      <c r="AR62" s="33">
        <v>46101</v>
      </c>
      <c r="AS62" s="33">
        <v>46104</v>
      </c>
      <c r="AT62" s="33">
        <v>46104</v>
      </c>
      <c r="AU62" s="33">
        <v>46105</v>
      </c>
      <c r="AV62" s="33">
        <v>46107</v>
      </c>
      <c r="AW62" s="33">
        <v>46111</v>
      </c>
      <c r="AX62" s="33">
        <v>46114</v>
      </c>
      <c r="AY62" s="33">
        <v>46118</v>
      </c>
      <c r="AZ62" s="33">
        <v>46119</v>
      </c>
      <c r="BA62" s="33">
        <v>46121</v>
      </c>
      <c r="BB62" s="33">
        <v>46122</v>
      </c>
      <c r="BC62" s="33">
        <v>46122</v>
      </c>
      <c r="BD62" s="33">
        <v>46127</v>
      </c>
      <c r="BE62" s="33">
        <v>46132</v>
      </c>
      <c r="BF62" s="50">
        <v>46387</v>
      </c>
      <c r="BG62" s="34" t="s">
        <v>91</v>
      </c>
      <c r="BH62" s="34" t="s">
        <v>193</v>
      </c>
      <c r="BI62" s="34" t="s">
        <v>178</v>
      </c>
      <c r="BJ62" s="34" t="s">
        <v>196</v>
      </c>
    </row>
    <row r="63" spans="1:62" s="30" customFormat="1" ht="14.45" customHeight="1" x14ac:dyDescent="0.25">
      <c r="A63" s="22" t="s">
        <v>114</v>
      </c>
      <c r="B63" s="23" t="s">
        <v>197</v>
      </c>
      <c r="C63" s="24" t="s">
        <v>198</v>
      </c>
      <c r="D63" s="25">
        <v>530502</v>
      </c>
      <c r="E63" s="26">
        <v>18000</v>
      </c>
      <c r="F63" s="27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</row>
    <row r="64" spans="1:62" s="30" customFormat="1" ht="14.45" customHeight="1" x14ac:dyDescent="0.25">
      <c r="A64" s="22" t="s">
        <v>114</v>
      </c>
      <c r="B64" s="23" t="s">
        <v>199</v>
      </c>
      <c r="C64" s="24" t="s">
        <v>200</v>
      </c>
      <c r="D64" s="36">
        <v>530209</v>
      </c>
      <c r="E64" s="26">
        <v>6600</v>
      </c>
      <c r="F64" s="49">
        <v>1600</v>
      </c>
      <c r="G64" s="24">
        <v>1</v>
      </c>
      <c r="H64" s="52">
        <v>46078</v>
      </c>
      <c r="I64" s="33">
        <v>46079</v>
      </c>
      <c r="J64" s="33">
        <v>46090</v>
      </c>
      <c r="K64" s="33">
        <v>46090</v>
      </c>
      <c r="L64" s="33">
        <v>46090</v>
      </c>
      <c r="M64" s="33">
        <v>46090</v>
      </c>
      <c r="N64" s="33">
        <v>46090</v>
      </c>
      <c r="O64" s="33">
        <v>46091</v>
      </c>
      <c r="P64" s="33">
        <v>46092</v>
      </c>
      <c r="Q64" s="33">
        <v>46092</v>
      </c>
      <c r="R64" s="33">
        <v>46092</v>
      </c>
      <c r="S64" s="33">
        <v>46093</v>
      </c>
      <c r="T64" s="33">
        <v>46094</v>
      </c>
      <c r="U64" s="33">
        <v>46097</v>
      </c>
      <c r="V64" s="33">
        <v>46098</v>
      </c>
      <c r="W64" s="33">
        <v>46098</v>
      </c>
      <c r="X64" s="33">
        <v>46099</v>
      </c>
      <c r="Y64" s="33">
        <v>46100</v>
      </c>
      <c r="Z64" s="33">
        <v>46100</v>
      </c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>
        <v>46101</v>
      </c>
      <c r="AO64" s="33">
        <v>46101</v>
      </c>
      <c r="AP64" s="33">
        <v>46104</v>
      </c>
      <c r="AQ64" s="33"/>
      <c r="AR64" s="33"/>
      <c r="AS64" s="33"/>
      <c r="AT64" s="33"/>
      <c r="AU64" s="33">
        <v>46105</v>
      </c>
      <c r="AV64" s="33"/>
      <c r="AW64" s="33"/>
      <c r="AX64" s="33"/>
      <c r="AY64" s="33"/>
      <c r="AZ64" s="33"/>
      <c r="BA64" s="33"/>
      <c r="BB64" s="33"/>
      <c r="BC64" s="33"/>
      <c r="BD64" s="33"/>
      <c r="BE64" s="33">
        <v>46100</v>
      </c>
      <c r="BF64" s="34"/>
      <c r="BG64" s="34" t="s">
        <v>73</v>
      </c>
      <c r="BH64" s="34" t="s">
        <v>74</v>
      </c>
      <c r="BI64" s="34" t="s">
        <v>201</v>
      </c>
      <c r="BJ64" s="34" t="s">
        <v>202</v>
      </c>
    </row>
    <row r="65" spans="1:62" s="30" customFormat="1" ht="14.45" customHeight="1" x14ac:dyDescent="0.25">
      <c r="A65" s="22" t="s">
        <v>114</v>
      </c>
      <c r="B65" s="23" t="s">
        <v>203</v>
      </c>
      <c r="C65" s="24" t="s">
        <v>204</v>
      </c>
      <c r="D65" s="25">
        <v>530811</v>
      </c>
      <c r="E65" s="26">
        <v>15000</v>
      </c>
      <c r="F65" s="27"/>
      <c r="G65" s="28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</row>
    <row r="66" spans="1:62" s="30" customFormat="1" ht="14.45" customHeight="1" x14ac:dyDescent="0.25">
      <c r="A66" s="22" t="s">
        <v>114</v>
      </c>
      <c r="B66" s="23" t="s">
        <v>205</v>
      </c>
      <c r="C66" s="24" t="s">
        <v>206</v>
      </c>
      <c r="D66" s="25">
        <v>530403</v>
      </c>
      <c r="E66" s="26">
        <v>6600</v>
      </c>
      <c r="F66" s="35">
        <v>0</v>
      </c>
      <c r="G66" s="28">
        <v>0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2"/>
      <c r="BG66" s="32"/>
      <c r="BH66" s="32"/>
      <c r="BI66" s="32"/>
      <c r="BJ66" s="53" t="s">
        <v>70</v>
      </c>
    </row>
    <row r="67" spans="1:62" s="30" customFormat="1" ht="14.45" customHeight="1" x14ac:dyDescent="0.25">
      <c r="A67" s="22" t="s">
        <v>114</v>
      </c>
      <c r="B67" s="23" t="s">
        <v>207</v>
      </c>
      <c r="C67" s="24" t="s">
        <v>208</v>
      </c>
      <c r="D67" s="25">
        <v>530404</v>
      </c>
      <c r="E67" s="26">
        <v>6600</v>
      </c>
      <c r="F67" s="27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</row>
    <row r="68" spans="1:62" s="30" customFormat="1" ht="14.45" customHeight="1" x14ac:dyDescent="0.25">
      <c r="A68" s="22" t="s">
        <v>114</v>
      </c>
      <c r="B68" s="23" t="s">
        <v>209</v>
      </c>
      <c r="C68" s="24" t="s">
        <v>210</v>
      </c>
      <c r="D68" s="25">
        <v>530404</v>
      </c>
      <c r="E68" s="26">
        <v>1000</v>
      </c>
      <c r="F68" s="27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</row>
    <row r="69" spans="1:62" s="30" customFormat="1" ht="14.45" customHeight="1" x14ac:dyDescent="0.25">
      <c r="A69" s="22" t="s">
        <v>114</v>
      </c>
      <c r="B69" s="23" t="s">
        <v>211</v>
      </c>
      <c r="C69" s="24" t="s">
        <v>212</v>
      </c>
      <c r="D69" s="25">
        <v>530404</v>
      </c>
      <c r="E69" s="26">
        <v>180</v>
      </c>
      <c r="F69" s="35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62" s="30" customFormat="1" ht="14.45" customHeight="1" x14ac:dyDescent="0.25">
      <c r="A70" s="22" t="s">
        <v>114</v>
      </c>
      <c r="B70" s="23" t="s">
        <v>213</v>
      </c>
      <c r="C70" s="24" t="s">
        <v>214</v>
      </c>
      <c r="D70" s="25">
        <v>840104</v>
      </c>
      <c r="E70" s="26">
        <v>0</v>
      </c>
      <c r="F70" s="35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</row>
    <row r="71" spans="1:62" s="30" customFormat="1" ht="14.45" customHeight="1" x14ac:dyDescent="0.25">
      <c r="A71" s="22" t="s">
        <v>114</v>
      </c>
      <c r="B71" s="23" t="s">
        <v>213</v>
      </c>
      <c r="C71" s="24" t="s">
        <v>215</v>
      </c>
      <c r="D71" s="25">
        <v>531407</v>
      </c>
      <c r="E71" s="26">
        <v>0</v>
      </c>
      <c r="F71" s="35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</row>
    <row r="72" spans="1:62" s="30" customFormat="1" ht="14.45" customHeight="1" x14ac:dyDescent="0.25">
      <c r="A72" s="22" t="s">
        <v>114</v>
      </c>
      <c r="B72" s="23" t="s">
        <v>216</v>
      </c>
      <c r="C72" s="24" t="s">
        <v>217</v>
      </c>
      <c r="D72" s="36">
        <v>530404</v>
      </c>
      <c r="E72" s="26">
        <v>1000</v>
      </c>
      <c r="F72" s="49">
        <v>1000</v>
      </c>
      <c r="G72" s="24">
        <v>1</v>
      </c>
      <c r="H72" s="33">
        <v>46118</v>
      </c>
      <c r="I72" s="33">
        <v>46119</v>
      </c>
      <c r="J72" s="33">
        <v>46125</v>
      </c>
      <c r="K72" s="33">
        <v>46125</v>
      </c>
      <c r="L72" s="33">
        <v>46125</v>
      </c>
      <c r="M72" s="33">
        <v>46126</v>
      </c>
      <c r="N72" s="33">
        <v>46127</v>
      </c>
      <c r="O72" s="33">
        <v>46127</v>
      </c>
      <c r="P72" s="33">
        <v>46128</v>
      </c>
      <c r="Q72" s="33">
        <v>46189</v>
      </c>
      <c r="R72" s="33">
        <v>46128</v>
      </c>
      <c r="S72" s="33">
        <v>46129</v>
      </c>
      <c r="T72" s="33">
        <v>46133</v>
      </c>
      <c r="U72" s="33">
        <v>46134</v>
      </c>
      <c r="V72" s="33">
        <v>46135</v>
      </c>
      <c r="W72" s="33">
        <v>46135</v>
      </c>
      <c r="X72" s="33">
        <v>46136</v>
      </c>
      <c r="Y72" s="33">
        <v>46139</v>
      </c>
      <c r="Z72" s="33">
        <v>46139</v>
      </c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>
        <v>46139</v>
      </c>
      <c r="AO72" s="33">
        <v>46139</v>
      </c>
      <c r="AP72" s="33">
        <v>46139</v>
      </c>
      <c r="AQ72" s="33"/>
      <c r="AR72" s="33"/>
      <c r="AS72" s="33"/>
      <c r="AT72" s="33">
        <v>46142</v>
      </c>
      <c r="AU72" s="33">
        <v>46122</v>
      </c>
      <c r="AV72" s="33"/>
      <c r="AW72" s="33"/>
      <c r="AX72" s="33"/>
      <c r="AY72" s="33"/>
      <c r="AZ72" s="33"/>
      <c r="BA72" s="33"/>
      <c r="BB72" s="33"/>
      <c r="BC72" s="33"/>
      <c r="BD72" s="33"/>
      <c r="BE72" s="33">
        <v>46122</v>
      </c>
      <c r="BF72" s="34"/>
      <c r="BG72" s="34" t="s">
        <v>73</v>
      </c>
      <c r="BH72" s="34" t="s">
        <v>74</v>
      </c>
      <c r="BI72" s="34" t="s">
        <v>123</v>
      </c>
      <c r="BJ72" s="34"/>
    </row>
    <row r="73" spans="1:62" s="30" customFormat="1" ht="14.45" customHeight="1" x14ac:dyDescent="0.25">
      <c r="A73" s="22" t="s">
        <v>114</v>
      </c>
      <c r="B73" s="23" t="s">
        <v>218</v>
      </c>
      <c r="C73" s="24" t="s">
        <v>219</v>
      </c>
      <c r="D73" s="25">
        <v>530203</v>
      </c>
      <c r="E73" s="26">
        <v>500</v>
      </c>
      <c r="F73" s="27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</row>
    <row r="74" spans="1:62" s="30" customFormat="1" ht="14.45" customHeight="1" x14ac:dyDescent="0.25">
      <c r="A74" s="22" t="s">
        <v>114</v>
      </c>
      <c r="B74" s="23" t="s">
        <v>220</v>
      </c>
      <c r="C74" s="24" t="s">
        <v>221</v>
      </c>
      <c r="D74" s="36">
        <v>530404</v>
      </c>
      <c r="E74" s="26">
        <v>6000</v>
      </c>
      <c r="F74" s="49">
        <v>6000</v>
      </c>
      <c r="G74" s="24">
        <v>1</v>
      </c>
      <c r="H74" s="33">
        <v>46118</v>
      </c>
      <c r="I74" s="33">
        <v>46119</v>
      </c>
      <c r="J74" s="33">
        <v>46125</v>
      </c>
      <c r="K74" s="33">
        <v>46125</v>
      </c>
      <c r="L74" s="33">
        <v>46125</v>
      </c>
      <c r="M74" s="33">
        <v>46126</v>
      </c>
      <c r="N74" s="33">
        <v>46127</v>
      </c>
      <c r="O74" s="33">
        <v>46127</v>
      </c>
      <c r="P74" s="33">
        <v>46128</v>
      </c>
      <c r="Q74" s="33">
        <v>46189</v>
      </c>
      <c r="R74" s="33">
        <v>46128</v>
      </c>
      <c r="S74" s="33">
        <v>46129</v>
      </c>
      <c r="T74" s="33">
        <v>46133</v>
      </c>
      <c r="U74" s="33">
        <v>46134</v>
      </c>
      <c r="V74" s="33">
        <v>46135</v>
      </c>
      <c r="W74" s="33">
        <v>46135</v>
      </c>
      <c r="X74" s="33">
        <v>46136</v>
      </c>
      <c r="Y74" s="33">
        <v>46139</v>
      </c>
      <c r="Z74" s="33">
        <v>46139</v>
      </c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>
        <v>46139</v>
      </c>
      <c r="AO74" s="33">
        <v>46139</v>
      </c>
      <c r="AP74" s="33">
        <v>46139</v>
      </c>
      <c r="AQ74" s="33"/>
      <c r="AR74" s="33"/>
      <c r="AS74" s="33"/>
      <c r="AT74" s="33">
        <v>46142</v>
      </c>
      <c r="AU74" s="33">
        <v>46122</v>
      </c>
      <c r="AV74" s="33"/>
      <c r="AW74" s="33"/>
      <c r="AX74" s="33"/>
      <c r="AY74" s="33"/>
      <c r="AZ74" s="33"/>
      <c r="BA74" s="33"/>
      <c r="BB74" s="33"/>
      <c r="BC74" s="33"/>
      <c r="BD74" s="33"/>
      <c r="BE74" s="33">
        <v>46090</v>
      </c>
      <c r="BF74" s="34"/>
      <c r="BG74" s="34" t="s">
        <v>73</v>
      </c>
      <c r="BH74" s="34" t="s">
        <v>74</v>
      </c>
      <c r="BI74" s="34" t="s">
        <v>201</v>
      </c>
      <c r="BJ74" s="34" t="s">
        <v>202</v>
      </c>
    </row>
    <row r="75" spans="1:62" s="30" customFormat="1" ht="14.45" customHeight="1" x14ac:dyDescent="0.25">
      <c r="A75" s="22" t="s">
        <v>114</v>
      </c>
      <c r="B75" s="23" t="s">
        <v>222</v>
      </c>
      <c r="C75" s="24" t="s">
        <v>223</v>
      </c>
      <c r="D75" s="25">
        <v>530404</v>
      </c>
      <c r="E75" s="26">
        <v>6600</v>
      </c>
      <c r="F75" s="27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</row>
    <row r="76" spans="1:62" s="30" customFormat="1" ht="14.45" customHeight="1" x14ac:dyDescent="0.25">
      <c r="A76" s="22" t="s">
        <v>114</v>
      </c>
      <c r="B76" s="23" t="s">
        <v>224</v>
      </c>
      <c r="C76" s="24" t="s">
        <v>225</v>
      </c>
      <c r="D76" s="25">
        <v>530404</v>
      </c>
      <c r="E76" s="26">
        <v>1000</v>
      </c>
      <c r="F76" s="27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</row>
    <row r="77" spans="1:62" s="30" customFormat="1" ht="14.45" customHeight="1" x14ac:dyDescent="0.25">
      <c r="A77" s="22" t="s">
        <v>114</v>
      </c>
      <c r="B77" s="23" t="s">
        <v>226</v>
      </c>
      <c r="C77" s="24" t="s">
        <v>227</v>
      </c>
      <c r="D77" s="36">
        <v>530405</v>
      </c>
      <c r="E77" s="26">
        <v>10000</v>
      </c>
      <c r="F77" s="51">
        <v>10000</v>
      </c>
      <c r="G77" s="24">
        <v>1</v>
      </c>
      <c r="H77" s="48">
        <v>46055</v>
      </c>
      <c r="I77" s="48">
        <v>46055</v>
      </c>
      <c r="J77" s="48">
        <v>46079</v>
      </c>
      <c r="K77" s="48">
        <v>46079</v>
      </c>
      <c r="L77" s="48">
        <v>46086</v>
      </c>
      <c r="M77" s="48">
        <v>46087</v>
      </c>
      <c r="N77" s="48">
        <v>46090</v>
      </c>
      <c r="O77" s="48">
        <v>46091</v>
      </c>
      <c r="P77" s="48">
        <v>46092</v>
      </c>
      <c r="Q77" s="48">
        <v>46092</v>
      </c>
      <c r="R77" s="48">
        <v>46092</v>
      </c>
      <c r="S77" s="48">
        <v>46093</v>
      </c>
      <c r="T77" s="48">
        <v>46094</v>
      </c>
      <c r="U77" s="33">
        <v>46097</v>
      </c>
      <c r="V77" s="33">
        <v>46097</v>
      </c>
      <c r="W77" s="33">
        <v>46097</v>
      </c>
      <c r="X77" s="33">
        <v>46098</v>
      </c>
      <c r="Y77" s="33">
        <v>46098</v>
      </c>
      <c r="Z77" s="33">
        <v>46098</v>
      </c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>
        <v>46098</v>
      </c>
      <c r="AO77" s="29">
        <v>46098</v>
      </c>
      <c r="AP77" s="29">
        <v>46099</v>
      </c>
      <c r="AQ77" s="29">
        <v>46100</v>
      </c>
      <c r="AR77" s="29">
        <v>46100</v>
      </c>
      <c r="AS77" s="29">
        <v>46101</v>
      </c>
      <c r="AT77" s="29">
        <v>46101</v>
      </c>
      <c r="AU77" s="29">
        <v>46105</v>
      </c>
      <c r="AV77" s="29">
        <v>46107</v>
      </c>
      <c r="AW77" s="29">
        <v>46111</v>
      </c>
      <c r="AX77" s="29">
        <v>46114</v>
      </c>
      <c r="AY77" s="29">
        <v>46118</v>
      </c>
      <c r="AZ77" s="29">
        <v>46122</v>
      </c>
      <c r="BA77" s="29">
        <v>46125</v>
      </c>
      <c r="BB77" s="29">
        <v>46126</v>
      </c>
      <c r="BC77" s="29">
        <v>46126</v>
      </c>
      <c r="BD77" s="29">
        <v>46129</v>
      </c>
      <c r="BE77" s="29">
        <v>46101</v>
      </c>
      <c r="BF77" s="54"/>
      <c r="BG77" s="34" t="s">
        <v>91</v>
      </c>
      <c r="BH77" s="54" t="s">
        <v>228</v>
      </c>
      <c r="BI77" s="54" t="s">
        <v>123</v>
      </c>
      <c r="BJ77" s="54" t="s">
        <v>229</v>
      </c>
    </row>
    <row r="78" spans="1:62" s="30" customFormat="1" ht="14.45" customHeight="1" x14ac:dyDescent="0.25">
      <c r="A78" s="22" t="s">
        <v>114</v>
      </c>
      <c r="B78" s="23" t="s">
        <v>230</v>
      </c>
      <c r="C78" s="24" t="s">
        <v>231</v>
      </c>
      <c r="D78" s="25">
        <v>530405</v>
      </c>
      <c r="E78" s="26">
        <v>2500</v>
      </c>
      <c r="F78" s="27">
        <v>2500</v>
      </c>
      <c r="G78" s="28">
        <v>1</v>
      </c>
      <c r="H78" s="55">
        <v>46055</v>
      </c>
      <c r="I78" s="55">
        <v>46055</v>
      </c>
      <c r="J78" s="55">
        <v>46056</v>
      </c>
      <c r="K78" s="55">
        <v>46056</v>
      </c>
      <c r="L78" s="55">
        <v>46056</v>
      </c>
      <c r="M78" s="55">
        <v>46057</v>
      </c>
      <c r="N78" s="55">
        <v>46058</v>
      </c>
      <c r="O78" s="55">
        <v>46059</v>
      </c>
      <c r="P78" s="55">
        <v>46062</v>
      </c>
      <c r="Q78" s="55">
        <v>46063</v>
      </c>
      <c r="R78" s="55">
        <v>46064</v>
      </c>
      <c r="S78" s="55">
        <v>46064</v>
      </c>
      <c r="T78" s="55">
        <v>46065</v>
      </c>
      <c r="U78" s="55">
        <v>46066</v>
      </c>
      <c r="V78" s="55">
        <v>46069</v>
      </c>
      <c r="W78" s="55">
        <v>46070</v>
      </c>
      <c r="X78" s="55">
        <v>46070</v>
      </c>
      <c r="Y78" s="55">
        <v>46071</v>
      </c>
      <c r="Z78" s="55">
        <v>46071</v>
      </c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>
        <v>46072</v>
      </c>
      <c r="AO78" s="33">
        <v>46073</v>
      </c>
      <c r="AP78" s="33">
        <v>46073</v>
      </c>
      <c r="AQ78" s="33"/>
      <c r="AR78" s="33"/>
      <c r="AS78" s="33"/>
      <c r="AT78" s="33">
        <v>46073</v>
      </c>
      <c r="AU78" s="33">
        <v>46079</v>
      </c>
      <c r="AV78" s="33"/>
      <c r="AW78" s="33"/>
      <c r="AX78" s="33"/>
      <c r="AY78" s="33"/>
      <c r="AZ78" s="33"/>
      <c r="BA78" s="33"/>
      <c r="BB78" s="33"/>
      <c r="BC78" s="33"/>
      <c r="BD78" s="33"/>
      <c r="BE78" s="33">
        <v>46079</v>
      </c>
      <c r="BF78" s="34"/>
      <c r="BG78" s="34" t="s">
        <v>73</v>
      </c>
      <c r="BH78" s="34" t="s">
        <v>74</v>
      </c>
      <c r="BI78" s="34" t="s">
        <v>232</v>
      </c>
      <c r="BJ78" s="34" t="s">
        <v>233</v>
      </c>
    </row>
    <row r="79" spans="1:62" s="30" customFormat="1" ht="14.45" customHeight="1" x14ac:dyDescent="0.25">
      <c r="A79" s="22" t="s">
        <v>114</v>
      </c>
      <c r="B79" s="23" t="s">
        <v>234</v>
      </c>
      <c r="C79" s="24" t="s">
        <v>235</v>
      </c>
      <c r="D79" s="36">
        <v>530405</v>
      </c>
      <c r="E79" s="26">
        <v>2500</v>
      </c>
      <c r="F79" s="49">
        <v>2500</v>
      </c>
      <c r="G79" s="24">
        <v>1</v>
      </c>
      <c r="H79" s="33">
        <v>46035</v>
      </c>
      <c r="I79" s="33">
        <v>46037</v>
      </c>
      <c r="J79" s="33">
        <v>46056</v>
      </c>
      <c r="K79" s="33">
        <v>46056</v>
      </c>
      <c r="L79" s="33">
        <v>46056</v>
      </c>
      <c r="M79" s="33">
        <v>46057</v>
      </c>
      <c r="N79" s="33">
        <v>46058</v>
      </c>
      <c r="O79" s="33">
        <v>46059</v>
      </c>
      <c r="P79" s="33">
        <v>46062</v>
      </c>
      <c r="Q79" s="33">
        <v>46063</v>
      </c>
      <c r="R79" s="33">
        <v>46064</v>
      </c>
      <c r="S79" s="33">
        <v>46064</v>
      </c>
      <c r="T79" s="33">
        <v>46065</v>
      </c>
      <c r="U79" s="33">
        <v>46066</v>
      </c>
      <c r="V79" s="33">
        <v>46069</v>
      </c>
      <c r="W79" s="33">
        <v>46070</v>
      </c>
      <c r="X79" s="33">
        <v>46070</v>
      </c>
      <c r="Y79" s="33">
        <v>46071</v>
      </c>
      <c r="Z79" s="33">
        <v>46071</v>
      </c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>
        <v>46072</v>
      </c>
      <c r="AO79" s="29">
        <v>46092</v>
      </c>
      <c r="AP79" s="29">
        <v>46092</v>
      </c>
      <c r="AQ79" s="33"/>
      <c r="AR79" s="33"/>
      <c r="AS79" s="33"/>
      <c r="AT79" s="29">
        <v>46101</v>
      </c>
      <c r="AU79" s="33">
        <v>46079</v>
      </c>
      <c r="AV79" s="33"/>
      <c r="AW79" s="33"/>
      <c r="AX79" s="33"/>
      <c r="AY79" s="33"/>
      <c r="AZ79" s="33"/>
      <c r="BA79" s="33"/>
      <c r="BB79" s="33"/>
      <c r="BC79" s="33"/>
      <c r="BD79" s="33"/>
      <c r="BE79" s="33">
        <v>46079</v>
      </c>
      <c r="BF79" s="34"/>
      <c r="BG79" s="34" t="s">
        <v>73</v>
      </c>
      <c r="BH79" s="34" t="s">
        <v>74</v>
      </c>
      <c r="BI79" s="34" t="s">
        <v>201</v>
      </c>
      <c r="BJ79" s="34" t="s">
        <v>233</v>
      </c>
    </row>
    <row r="80" spans="1:62" s="30" customFormat="1" ht="14.45" customHeight="1" x14ac:dyDescent="0.25">
      <c r="A80" s="22" t="s">
        <v>236</v>
      </c>
      <c r="B80" s="23" t="s">
        <v>237</v>
      </c>
      <c r="C80" s="24" t="s">
        <v>238</v>
      </c>
      <c r="D80" s="25">
        <v>630207</v>
      </c>
      <c r="E80" s="26">
        <v>84951.1</v>
      </c>
      <c r="F80" s="27"/>
      <c r="G80" s="2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</row>
    <row r="81" spans="1:62" s="30" customFormat="1" ht="14.45" customHeight="1" x14ac:dyDescent="0.25">
      <c r="A81" s="22" t="s">
        <v>239</v>
      </c>
      <c r="B81" s="23" t="s">
        <v>237</v>
      </c>
      <c r="C81" s="24" t="s">
        <v>240</v>
      </c>
      <c r="D81" s="25">
        <v>630207</v>
      </c>
      <c r="E81" s="26">
        <v>84951.1</v>
      </c>
      <c r="F81" s="27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</row>
    <row r="82" spans="1:62" s="30" customFormat="1" ht="14.45" customHeight="1" x14ac:dyDescent="0.25">
      <c r="A82" s="22" t="s">
        <v>239</v>
      </c>
      <c r="B82" s="23" t="s">
        <v>241</v>
      </c>
      <c r="C82" s="24" t="s">
        <v>242</v>
      </c>
      <c r="D82" s="25">
        <v>630207</v>
      </c>
      <c r="E82" s="26">
        <v>50000</v>
      </c>
      <c r="F82" s="27">
        <v>0</v>
      </c>
      <c r="G82" s="28">
        <v>0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>
        <v>3</v>
      </c>
      <c r="AW82" s="31">
        <v>5</v>
      </c>
      <c r="AX82" s="31">
        <v>9</v>
      </c>
      <c r="AY82" s="31">
        <v>10</v>
      </c>
      <c r="AZ82" s="31">
        <v>11</v>
      </c>
      <c r="BA82" s="31">
        <v>13</v>
      </c>
      <c r="BB82" s="31">
        <v>16</v>
      </c>
      <c r="BC82" s="31">
        <v>16</v>
      </c>
      <c r="BD82" s="31">
        <v>19</v>
      </c>
      <c r="BE82" s="31"/>
      <c r="BF82" s="32"/>
      <c r="BG82" s="32"/>
      <c r="BH82" s="32"/>
      <c r="BI82" s="32"/>
      <c r="BJ82" s="32" t="s">
        <v>133</v>
      </c>
    </row>
    <row r="83" spans="1:62" s="30" customFormat="1" ht="14.45" customHeight="1" x14ac:dyDescent="0.25">
      <c r="A83" s="22" t="s">
        <v>95</v>
      </c>
      <c r="B83" s="23" t="s">
        <v>237</v>
      </c>
      <c r="C83" s="24" t="s">
        <v>243</v>
      </c>
      <c r="D83" s="25">
        <v>630207</v>
      </c>
      <c r="E83" s="26">
        <v>25485.23</v>
      </c>
      <c r="F83" s="27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</row>
    <row r="84" spans="1:62" s="30" customFormat="1" ht="14.45" customHeight="1" x14ac:dyDescent="0.25">
      <c r="A84" s="22" t="s">
        <v>95</v>
      </c>
      <c r="B84" s="23" t="s">
        <v>241</v>
      </c>
      <c r="C84" s="24" t="s">
        <v>244</v>
      </c>
      <c r="D84" s="25">
        <v>630207</v>
      </c>
      <c r="E84" s="26">
        <v>40000</v>
      </c>
      <c r="F84" s="27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</row>
    <row r="85" spans="1:62" s="30" customFormat="1" ht="14.45" customHeight="1" x14ac:dyDescent="0.25">
      <c r="A85" s="22" t="s">
        <v>161</v>
      </c>
      <c r="B85" s="23" t="s">
        <v>245</v>
      </c>
      <c r="C85" s="24" t="s">
        <v>246</v>
      </c>
      <c r="D85" s="25">
        <v>580101</v>
      </c>
      <c r="E85" s="26">
        <v>29000</v>
      </c>
      <c r="F85" s="27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</row>
    <row r="86" spans="1:62" s="30" customFormat="1" ht="14.45" customHeight="1" x14ac:dyDescent="0.25">
      <c r="A86" s="22" t="s">
        <v>114</v>
      </c>
      <c r="B86" s="23" t="s">
        <v>247</v>
      </c>
      <c r="C86" s="24" t="s">
        <v>248</v>
      </c>
      <c r="D86" s="25">
        <v>530606</v>
      </c>
      <c r="E86" s="26">
        <v>0</v>
      </c>
      <c r="F86" s="35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</row>
    <row r="87" spans="1:62" s="30" customFormat="1" ht="14.45" customHeight="1" x14ac:dyDescent="0.25">
      <c r="A87" s="22" t="s">
        <v>114</v>
      </c>
      <c r="B87" s="23" t="s">
        <v>249</v>
      </c>
      <c r="C87" s="24" t="s">
        <v>250</v>
      </c>
      <c r="D87" s="25">
        <v>530605</v>
      </c>
      <c r="E87" s="26">
        <v>0</v>
      </c>
      <c r="F87" s="27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</row>
    <row r="88" spans="1:62" s="30" customFormat="1" ht="14.45" customHeight="1" x14ac:dyDescent="0.25">
      <c r="A88" s="22" t="s">
        <v>67</v>
      </c>
      <c r="B88" s="23" t="s">
        <v>251</v>
      </c>
      <c r="C88" s="24" t="s">
        <v>252</v>
      </c>
      <c r="D88" s="25">
        <v>530601</v>
      </c>
      <c r="E88" s="26">
        <v>10000</v>
      </c>
      <c r="F88" s="27">
        <v>0</v>
      </c>
      <c r="G88" s="28">
        <v>0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2"/>
      <c r="BG88" s="32"/>
      <c r="BH88" s="32"/>
      <c r="BI88" s="32"/>
      <c r="BJ88" s="32" t="s">
        <v>70</v>
      </c>
    </row>
    <row r="89" spans="1:62" s="30" customFormat="1" ht="14.45" customHeight="1" x14ac:dyDescent="0.25">
      <c r="A89" s="22" t="s">
        <v>253</v>
      </c>
      <c r="B89" s="23" t="s">
        <v>254</v>
      </c>
      <c r="C89" s="24" t="s">
        <v>255</v>
      </c>
      <c r="D89" s="25">
        <v>670204</v>
      </c>
      <c r="E89" s="26">
        <v>3000</v>
      </c>
      <c r="F89" s="27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</row>
    <row r="90" spans="1:62" s="30" customFormat="1" ht="14.45" customHeight="1" x14ac:dyDescent="0.25">
      <c r="A90" s="22" t="s">
        <v>117</v>
      </c>
      <c r="B90" s="23" t="s">
        <v>256</v>
      </c>
      <c r="C90" s="24" t="s">
        <v>257</v>
      </c>
      <c r="D90" s="25">
        <v>510306</v>
      </c>
      <c r="E90" s="26">
        <v>3758.4</v>
      </c>
      <c r="F90" s="27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</row>
    <row r="91" spans="1:62" s="30" customFormat="1" ht="14.45" customHeight="1" x14ac:dyDescent="0.25">
      <c r="A91" s="22" t="s">
        <v>117</v>
      </c>
      <c r="B91" s="23" t="s">
        <v>258</v>
      </c>
      <c r="C91" s="24" t="s">
        <v>259</v>
      </c>
      <c r="D91" s="25">
        <v>510601</v>
      </c>
      <c r="E91" s="26">
        <v>193836.66999999998</v>
      </c>
      <c r="F91" s="27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</row>
    <row r="92" spans="1:62" s="30" customFormat="1" ht="14.45" customHeight="1" x14ac:dyDescent="0.25">
      <c r="A92" s="22" t="s">
        <v>117</v>
      </c>
      <c r="B92" s="23" t="s">
        <v>260</v>
      </c>
      <c r="C92" s="24" t="s">
        <v>261</v>
      </c>
      <c r="D92" s="25">
        <v>510704</v>
      </c>
      <c r="E92" s="26">
        <v>22302</v>
      </c>
      <c r="F92" s="27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</row>
    <row r="93" spans="1:62" s="30" customFormat="1" ht="14.45" customHeight="1" x14ac:dyDescent="0.25">
      <c r="A93" s="22" t="s">
        <v>117</v>
      </c>
      <c r="B93" s="23" t="s">
        <v>262</v>
      </c>
      <c r="C93" s="24" t="s">
        <v>263</v>
      </c>
      <c r="D93" s="25">
        <v>510304</v>
      </c>
      <c r="E93" s="26">
        <v>522</v>
      </c>
      <c r="F93" s="27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</row>
    <row r="94" spans="1:62" s="30" customFormat="1" ht="14.45" customHeight="1" x14ac:dyDescent="0.25">
      <c r="A94" s="22" t="s">
        <v>117</v>
      </c>
      <c r="B94" s="23" t="s">
        <v>264</v>
      </c>
      <c r="C94" s="24" t="s">
        <v>265</v>
      </c>
      <c r="D94" s="25">
        <v>510707</v>
      </c>
      <c r="E94" s="26">
        <v>31317.69999999999</v>
      </c>
      <c r="F94" s="27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</row>
    <row r="95" spans="1:62" s="30" customFormat="1" ht="14.45" customHeight="1" x14ac:dyDescent="0.25">
      <c r="A95" s="22" t="s">
        <v>117</v>
      </c>
      <c r="B95" s="23" t="s">
        <v>266</v>
      </c>
      <c r="C95" s="24" t="s">
        <v>267</v>
      </c>
      <c r="D95" s="25">
        <v>510204</v>
      </c>
      <c r="E95" s="26">
        <v>44160</v>
      </c>
      <c r="F95" s="27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</row>
    <row r="96" spans="1:62" s="30" customFormat="1" ht="14.45" customHeight="1" x14ac:dyDescent="0.25">
      <c r="A96" s="22" t="s">
        <v>117</v>
      </c>
      <c r="B96" s="23" t="s">
        <v>268</v>
      </c>
      <c r="C96" s="24" t="s">
        <v>269</v>
      </c>
      <c r="D96" s="25">
        <v>510203</v>
      </c>
      <c r="E96" s="26">
        <v>136687.44999999998</v>
      </c>
      <c r="F96" s="27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</row>
    <row r="97" spans="1:62" s="30" customFormat="1" ht="14.45" customHeight="1" x14ac:dyDescent="0.25">
      <c r="A97" s="22" t="s">
        <v>117</v>
      </c>
      <c r="B97" s="23" t="s">
        <v>270</v>
      </c>
      <c r="C97" s="24" t="s">
        <v>271</v>
      </c>
      <c r="D97" s="25">
        <v>510513</v>
      </c>
      <c r="E97" s="26">
        <v>10766.630000000001</v>
      </c>
      <c r="F97" s="27"/>
      <c r="G97" s="28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</row>
    <row r="98" spans="1:62" s="30" customFormat="1" ht="14.45" customHeight="1" x14ac:dyDescent="0.25">
      <c r="A98" s="22" t="s">
        <v>117</v>
      </c>
      <c r="B98" s="23" t="s">
        <v>272</v>
      </c>
      <c r="C98" s="24" t="s">
        <v>273</v>
      </c>
      <c r="D98" s="25">
        <v>510602</v>
      </c>
      <c r="E98" s="26">
        <v>106188.31</v>
      </c>
      <c r="F98" s="27"/>
      <c r="G98" s="28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</row>
    <row r="99" spans="1:62" s="30" customFormat="1" ht="14.45" customHeight="1" x14ac:dyDescent="0.25">
      <c r="A99" s="22" t="s">
        <v>117</v>
      </c>
      <c r="B99" s="23" t="s">
        <v>274</v>
      </c>
      <c r="C99" s="24" t="s">
        <v>275</v>
      </c>
      <c r="D99" s="25">
        <v>510509</v>
      </c>
      <c r="E99" s="26">
        <v>52597.97</v>
      </c>
      <c r="F99" s="27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</row>
    <row r="100" spans="1:62" s="30" customFormat="1" ht="14.45" customHeight="1" x14ac:dyDescent="0.25">
      <c r="A100" s="22" t="s">
        <v>117</v>
      </c>
      <c r="B100" s="23" t="s">
        <v>276</v>
      </c>
      <c r="C100" s="24" t="s">
        <v>277</v>
      </c>
      <c r="D100" s="25">
        <v>510105</v>
      </c>
      <c r="E100" s="26">
        <v>847680</v>
      </c>
      <c r="F100" s="27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</row>
    <row r="101" spans="1:62" s="30" customFormat="1" ht="14.45" customHeight="1" x14ac:dyDescent="0.25">
      <c r="A101" s="22" t="s">
        <v>117</v>
      </c>
      <c r="B101" s="23" t="s">
        <v>278</v>
      </c>
      <c r="C101" s="24" t="s">
        <v>279</v>
      </c>
      <c r="D101" s="25">
        <v>510106</v>
      </c>
      <c r="E101" s="26">
        <v>34656</v>
      </c>
      <c r="F101" s="27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</row>
    <row r="102" spans="1:62" s="30" customFormat="1" ht="14.45" customHeight="1" x14ac:dyDescent="0.25">
      <c r="A102" s="22" t="s">
        <v>117</v>
      </c>
      <c r="B102" s="23" t="s">
        <v>280</v>
      </c>
      <c r="C102" s="24" t="s">
        <v>281</v>
      </c>
      <c r="D102" s="25">
        <v>510510</v>
      </c>
      <c r="E102" s="26">
        <v>728292</v>
      </c>
      <c r="F102" s="27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</row>
    <row r="103" spans="1:62" s="30" customFormat="1" ht="14.45" customHeight="1" x14ac:dyDescent="0.25">
      <c r="A103" s="22" t="s">
        <v>117</v>
      </c>
      <c r="B103" s="23" t="s">
        <v>282</v>
      </c>
      <c r="C103" s="24" t="s">
        <v>283</v>
      </c>
      <c r="D103" s="25">
        <v>510512</v>
      </c>
      <c r="E103" s="26">
        <v>10766.630000000001</v>
      </c>
      <c r="F103" s="27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</row>
    <row r="104" spans="1:62" s="30" customFormat="1" ht="14.45" customHeight="1" x14ac:dyDescent="0.25">
      <c r="A104" s="22" t="s">
        <v>284</v>
      </c>
      <c r="B104" s="23" t="s">
        <v>285</v>
      </c>
      <c r="C104" s="24" t="s">
        <v>286</v>
      </c>
      <c r="D104" s="25">
        <v>530404</v>
      </c>
      <c r="E104" s="26">
        <v>3000</v>
      </c>
      <c r="F104" s="35">
        <v>3000</v>
      </c>
      <c r="G104" s="28">
        <v>2</v>
      </c>
      <c r="H104" s="33">
        <v>46087</v>
      </c>
      <c r="I104" s="33">
        <v>46087</v>
      </c>
      <c r="J104" s="33">
        <v>46090</v>
      </c>
      <c r="K104" s="33">
        <v>46090</v>
      </c>
      <c r="L104" s="33">
        <v>46090</v>
      </c>
      <c r="M104" s="33">
        <v>46091</v>
      </c>
      <c r="N104" s="33">
        <v>46092</v>
      </c>
      <c r="O104" s="33">
        <v>46093</v>
      </c>
      <c r="P104" s="33">
        <v>46094</v>
      </c>
      <c r="Q104" s="33">
        <v>46097</v>
      </c>
      <c r="R104" s="33">
        <v>46098</v>
      </c>
      <c r="S104" s="33">
        <v>46098</v>
      </c>
      <c r="T104" s="33">
        <v>46099</v>
      </c>
      <c r="U104" s="33">
        <v>46100</v>
      </c>
      <c r="V104" s="33">
        <v>46101</v>
      </c>
      <c r="W104" s="33">
        <v>46104</v>
      </c>
      <c r="X104" s="33">
        <v>46104</v>
      </c>
      <c r="Y104" s="33">
        <v>46105</v>
      </c>
      <c r="Z104" s="33">
        <v>46105</v>
      </c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>
        <v>46106</v>
      </c>
      <c r="AO104" s="33">
        <v>46107</v>
      </c>
      <c r="AP104" s="33">
        <v>46107</v>
      </c>
      <c r="AQ104" s="33"/>
      <c r="AR104" s="33"/>
      <c r="AS104" s="33"/>
      <c r="AT104" s="33">
        <v>46107</v>
      </c>
      <c r="AU104" s="33">
        <v>46113</v>
      </c>
      <c r="AV104" s="33"/>
      <c r="AW104" s="33"/>
      <c r="AX104" s="33"/>
      <c r="AY104" s="33"/>
      <c r="AZ104" s="33"/>
      <c r="BA104" s="33"/>
      <c r="BB104" s="33"/>
      <c r="BC104" s="33"/>
      <c r="BD104" s="33"/>
      <c r="BE104" s="33">
        <v>46113</v>
      </c>
      <c r="BF104" s="34"/>
      <c r="BG104" s="34" t="s">
        <v>73</v>
      </c>
      <c r="BH104" s="34" t="s">
        <v>74</v>
      </c>
      <c r="BI104" s="34" t="s">
        <v>287</v>
      </c>
      <c r="BJ104" s="34"/>
    </row>
    <row r="105" spans="1:62" s="30" customFormat="1" ht="14.45" customHeight="1" x14ac:dyDescent="0.25">
      <c r="A105" s="22" t="s">
        <v>95</v>
      </c>
      <c r="B105" s="23" t="s">
        <v>288</v>
      </c>
      <c r="C105" s="24" t="s">
        <v>289</v>
      </c>
      <c r="D105" s="25">
        <v>530207</v>
      </c>
      <c r="E105" s="26">
        <v>0</v>
      </c>
      <c r="F105" s="27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</row>
    <row r="106" spans="1:62" s="30" customFormat="1" ht="14.45" customHeight="1" x14ac:dyDescent="0.25">
      <c r="A106" s="22" t="s">
        <v>114</v>
      </c>
      <c r="B106" s="23" t="s">
        <v>290</v>
      </c>
      <c r="C106" s="24" t="s">
        <v>291</v>
      </c>
      <c r="D106" s="25">
        <v>570201</v>
      </c>
      <c r="E106" s="26">
        <v>0</v>
      </c>
      <c r="F106" s="27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</row>
    <row r="107" spans="1:62" s="30" customFormat="1" ht="14.45" customHeight="1" x14ac:dyDescent="0.25">
      <c r="A107" s="22" t="s">
        <v>114</v>
      </c>
      <c r="B107" s="23" t="s">
        <v>292</v>
      </c>
      <c r="C107" s="24" t="s">
        <v>293</v>
      </c>
      <c r="D107" s="25">
        <v>530402</v>
      </c>
      <c r="E107" s="26">
        <v>102695.5</v>
      </c>
      <c r="F107" s="42">
        <v>249995.5</v>
      </c>
      <c r="G107" s="28">
        <v>2</v>
      </c>
      <c r="H107" s="33">
        <v>46118</v>
      </c>
      <c r="I107" s="33">
        <v>46118</v>
      </c>
      <c r="J107" s="33">
        <v>46119</v>
      </c>
      <c r="K107" s="33">
        <v>46119</v>
      </c>
      <c r="L107" s="33">
        <v>46119</v>
      </c>
      <c r="M107" s="33">
        <v>46120</v>
      </c>
      <c r="N107" s="33">
        <v>46121</v>
      </c>
      <c r="O107" s="33">
        <v>46122</v>
      </c>
      <c r="P107" s="33">
        <v>46125</v>
      </c>
      <c r="Q107" s="33">
        <v>46126</v>
      </c>
      <c r="R107" s="33">
        <v>46127</v>
      </c>
      <c r="S107" s="33">
        <v>46127</v>
      </c>
      <c r="T107" s="33">
        <v>46128</v>
      </c>
      <c r="U107" s="33">
        <v>46129</v>
      </c>
      <c r="V107" s="33">
        <v>46132</v>
      </c>
      <c r="W107" s="33">
        <v>46133</v>
      </c>
      <c r="X107" s="33">
        <v>46133</v>
      </c>
      <c r="Y107" s="33">
        <v>46134</v>
      </c>
      <c r="Z107" s="33">
        <v>46134</v>
      </c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>
        <v>46135</v>
      </c>
      <c r="AO107" s="33">
        <v>46136</v>
      </c>
      <c r="AP107" s="33">
        <v>46136</v>
      </c>
      <c r="AQ107" s="33">
        <v>46139</v>
      </c>
      <c r="AR107" s="33">
        <v>46140</v>
      </c>
      <c r="AS107" s="33">
        <v>46141</v>
      </c>
      <c r="AT107" s="33">
        <v>46142</v>
      </c>
      <c r="AU107" s="33">
        <v>46142</v>
      </c>
      <c r="AV107" s="33">
        <v>46149</v>
      </c>
      <c r="AW107" s="33">
        <v>46153</v>
      </c>
      <c r="AX107" s="33">
        <v>46157</v>
      </c>
      <c r="AY107" s="33">
        <v>46160</v>
      </c>
      <c r="AZ107" s="33">
        <v>46161</v>
      </c>
      <c r="BA107" s="33">
        <v>46163</v>
      </c>
      <c r="BB107" s="33">
        <v>46164</v>
      </c>
      <c r="BC107" s="33">
        <v>46164</v>
      </c>
      <c r="BD107" s="33">
        <v>46170</v>
      </c>
      <c r="BE107" s="33">
        <v>46175</v>
      </c>
      <c r="BF107" s="34"/>
      <c r="BG107" s="34" t="s">
        <v>91</v>
      </c>
      <c r="BH107" s="34" t="s">
        <v>294</v>
      </c>
      <c r="BI107" s="34" t="s">
        <v>295</v>
      </c>
      <c r="BJ107" s="34" t="s">
        <v>296</v>
      </c>
    </row>
    <row r="108" spans="1:62" s="30" customFormat="1" ht="14.45" customHeight="1" x14ac:dyDescent="0.25">
      <c r="A108" s="22" t="s">
        <v>67</v>
      </c>
      <c r="B108" s="23" t="s">
        <v>297</v>
      </c>
      <c r="C108" s="24" t="s">
        <v>298</v>
      </c>
      <c r="D108" s="25">
        <v>530404</v>
      </c>
      <c r="E108" s="26">
        <v>2000</v>
      </c>
      <c r="F108" s="27">
        <v>2000</v>
      </c>
      <c r="G108" s="28">
        <v>2</v>
      </c>
      <c r="H108" s="33">
        <v>46211</v>
      </c>
      <c r="I108" s="33">
        <v>46212</v>
      </c>
      <c r="J108" s="33">
        <v>46212</v>
      </c>
      <c r="K108" s="33">
        <v>46212</v>
      </c>
      <c r="L108" s="33">
        <v>46213</v>
      </c>
      <c r="M108" s="33">
        <v>46216</v>
      </c>
      <c r="N108" s="33">
        <v>46217</v>
      </c>
      <c r="O108" s="33">
        <v>46218</v>
      </c>
      <c r="P108" s="33">
        <v>46219</v>
      </c>
      <c r="Q108" s="33">
        <v>46220</v>
      </c>
      <c r="R108" s="33">
        <v>46220</v>
      </c>
      <c r="S108" s="33">
        <v>46223</v>
      </c>
      <c r="T108" s="33">
        <v>46224</v>
      </c>
      <c r="U108" s="33">
        <v>46225</v>
      </c>
      <c r="V108" s="33">
        <v>46226</v>
      </c>
      <c r="W108" s="33">
        <v>46226</v>
      </c>
      <c r="X108" s="33">
        <v>46227</v>
      </c>
      <c r="Y108" s="33">
        <v>46227</v>
      </c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>
        <v>46230</v>
      </c>
      <c r="AN108" s="33">
        <v>46231</v>
      </c>
      <c r="AO108" s="33">
        <v>46231</v>
      </c>
      <c r="AP108" s="33"/>
      <c r="AQ108" s="33"/>
      <c r="AR108" s="33"/>
      <c r="AS108" s="33">
        <v>46231</v>
      </c>
      <c r="AT108" s="33">
        <v>46237</v>
      </c>
      <c r="AU108" s="33">
        <v>18</v>
      </c>
      <c r="AV108" s="33"/>
      <c r="AW108" s="33"/>
      <c r="AX108" s="33"/>
      <c r="AY108" s="33"/>
      <c r="AZ108" s="33"/>
      <c r="BA108" s="33"/>
      <c r="BB108" s="33"/>
      <c r="BC108" s="33"/>
      <c r="BD108" s="33">
        <v>46237</v>
      </c>
      <c r="BE108" s="33"/>
      <c r="BF108" s="34" t="s">
        <v>74</v>
      </c>
      <c r="BG108" s="34" t="s">
        <v>91</v>
      </c>
      <c r="BH108" s="34" t="s">
        <v>75</v>
      </c>
      <c r="BI108" s="34"/>
    </row>
    <row r="109" spans="1:62" s="30" customFormat="1" ht="14.45" customHeight="1" x14ac:dyDescent="0.25">
      <c r="A109" s="22" t="s">
        <v>114</v>
      </c>
      <c r="B109" s="23" t="s">
        <v>299</v>
      </c>
      <c r="C109" s="24" t="s">
        <v>300</v>
      </c>
      <c r="D109" s="25">
        <v>530404</v>
      </c>
      <c r="E109" s="26">
        <v>40000</v>
      </c>
      <c r="F109" s="27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</row>
    <row r="110" spans="1:62" s="30" customFormat="1" ht="14.45" customHeight="1" x14ac:dyDescent="0.25">
      <c r="A110" s="22" t="s">
        <v>67</v>
      </c>
      <c r="B110" s="23" t="s">
        <v>301</v>
      </c>
      <c r="C110" s="24" t="s">
        <v>302</v>
      </c>
      <c r="D110" s="25">
        <v>530404</v>
      </c>
      <c r="E110" s="26">
        <v>1000</v>
      </c>
      <c r="F110" s="27">
        <v>1000</v>
      </c>
      <c r="G110" s="28">
        <v>2</v>
      </c>
      <c r="H110" s="33">
        <v>46211</v>
      </c>
      <c r="I110" s="33">
        <v>46211</v>
      </c>
      <c r="J110" s="33">
        <v>46212</v>
      </c>
      <c r="K110" s="33">
        <v>46212</v>
      </c>
      <c r="L110" s="33">
        <v>46212</v>
      </c>
      <c r="M110" s="33">
        <v>46213</v>
      </c>
      <c r="N110" s="33">
        <v>46216</v>
      </c>
      <c r="O110" s="33">
        <v>46217</v>
      </c>
      <c r="P110" s="33">
        <v>46218</v>
      </c>
      <c r="Q110" s="33">
        <v>46219</v>
      </c>
      <c r="R110" s="33">
        <v>46220</v>
      </c>
      <c r="S110" s="33">
        <v>46220</v>
      </c>
      <c r="T110" s="33">
        <v>46223</v>
      </c>
      <c r="U110" s="33">
        <v>46224</v>
      </c>
      <c r="V110" s="33">
        <v>46225</v>
      </c>
      <c r="W110" s="33">
        <v>46226</v>
      </c>
      <c r="X110" s="33">
        <v>46226</v>
      </c>
      <c r="Y110" s="33">
        <v>46227</v>
      </c>
      <c r="Z110" s="33">
        <v>46227</v>
      </c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>
        <v>46230</v>
      </c>
      <c r="AO110" s="33">
        <v>46231</v>
      </c>
      <c r="AP110" s="33">
        <v>46231</v>
      </c>
      <c r="AQ110" s="33"/>
      <c r="AR110" s="33"/>
      <c r="AS110" s="33"/>
      <c r="AT110" s="33">
        <v>46231</v>
      </c>
      <c r="AU110" s="33">
        <v>46236</v>
      </c>
      <c r="AV110" s="33"/>
      <c r="AW110" s="33"/>
      <c r="AX110" s="33"/>
      <c r="AY110" s="33"/>
      <c r="AZ110" s="33"/>
      <c r="BA110" s="33"/>
      <c r="BB110" s="33"/>
      <c r="BC110" s="33"/>
      <c r="BD110" s="33"/>
      <c r="BE110" s="33">
        <v>46236</v>
      </c>
      <c r="BF110" s="34"/>
      <c r="BG110" s="34" t="s">
        <v>73</v>
      </c>
      <c r="BH110" s="34" t="s">
        <v>74</v>
      </c>
      <c r="BI110" s="34" t="s">
        <v>75</v>
      </c>
      <c r="BJ110" s="34" t="s">
        <v>303</v>
      </c>
    </row>
    <row r="111" spans="1:62" s="30" customFormat="1" ht="14.45" customHeight="1" x14ac:dyDescent="0.25">
      <c r="A111" s="22" t="s">
        <v>67</v>
      </c>
      <c r="B111" s="23" t="s">
        <v>304</v>
      </c>
      <c r="C111" s="24" t="s">
        <v>305</v>
      </c>
      <c r="D111" s="25">
        <v>530701</v>
      </c>
      <c r="E111" s="26">
        <v>0</v>
      </c>
      <c r="F111" s="27">
        <v>60000</v>
      </c>
      <c r="G111" s="28">
        <v>2</v>
      </c>
      <c r="H111" s="33">
        <v>46162</v>
      </c>
      <c r="I111" s="33">
        <v>46162</v>
      </c>
      <c r="J111" s="33">
        <v>46163</v>
      </c>
      <c r="K111" s="33">
        <v>46163</v>
      </c>
      <c r="L111" s="33">
        <v>46163</v>
      </c>
      <c r="M111" s="33">
        <v>46164</v>
      </c>
      <c r="N111" s="33">
        <v>46167</v>
      </c>
      <c r="O111" s="33">
        <v>46168</v>
      </c>
      <c r="P111" s="33">
        <v>46169</v>
      </c>
      <c r="Q111" s="33">
        <v>46170</v>
      </c>
      <c r="R111" s="33">
        <v>46171</v>
      </c>
      <c r="S111" s="33">
        <v>46171</v>
      </c>
      <c r="T111" s="33">
        <v>46174</v>
      </c>
      <c r="U111" s="33">
        <v>46175</v>
      </c>
      <c r="V111" s="33">
        <v>46176</v>
      </c>
      <c r="W111" s="33">
        <v>46177</v>
      </c>
      <c r="X111" s="33">
        <v>46177</v>
      </c>
      <c r="Y111" s="33">
        <v>46178</v>
      </c>
      <c r="Z111" s="33">
        <v>46178</v>
      </c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>
        <v>46181</v>
      </c>
      <c r="AO111" s="33">
        <v>46182</v>
      </c>
      <c r="AP111" s="33">
        <v>46182</v>
      </c>
      <c r="AQ111" s="33">
        <v>46183</v>
      </c>
      <c r="AR111" s="33">
        <v>46184</v>
      </c>
      <c r="AS111" s="33">
        <v>46185</v>
      </c>
      <c r="AT111" s="33">
        <v>46188</v>
      </c>
      <c r="AU111" s="33">
        <v>46188</v>
      </c>
      <c r="AV111" s="33">
        <v>46190</v>
      </c>
      <c r="AW111" s="33">
        <v>46192</v>
      </c>
      <c r="AX111" s="33">
        <v>46196</v>
      </c>
      <c r="AY111" s="33">
        <v>46197</v>
      </c>
      <c r="AZ111" s="33">
        <v>46198</v>
      </c>
      <c r="BA111" s="33">
        <v>46202</v>
      </c>
      <c r="BB111" s="33">
        <v>46203</v>
      </c>
      <c r="BC111" s="33">
        <v>46203</v>
      </c>
      <c r="BD111" s="33">
        <v>46206</v>
      </c>
      <c r="BE111" s="33">
        <v>46211</v>
      </c>
      <c r="BF111" s="34"/>
      <c r="BG111" s="34" t="s">
        <v>91</v>
      </c>
      <c r="BH111" s="34" t="s">
        <v>306</v>
      </c>
      <c r="BI111" s="34" t="s">
        <v>307</v>
      </c>
      <c r="BJ111" s="34" t="s">
        <v>308</v>
      </c>
    </row>
    <row r="112" spans="1:62" s="30" customFormat="1" ht="14.45" customHeight="1" x14ac:dyDescent="0.25">
      <c r="A112" s="22" t="s">
        <v>114</v>
      </c>
      <c r="B112" s="23" t="s">
        <v>309</v>
      </c>
      <c r="C112" s="24" t="s">
        <v>310</v>
      </c>
      <c r="D112" s="25">
        <v>530404</v>
      </c>
      <c r="E112" s="26">
        <f>80000-5400</f>
        <v>74600</v>
      </c>
      <c r="F112" s="27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</row>
    <row r="113" spans="1:62" s="30" customFormat="1" ht="14.45" customHeight="1" x14ac:dyDescent="0.25">
      <c r="A113" s="22" t="s">
        <v>67</v>
      </c>
      <c r="B113" s="23" t="s">
        <v>311</v>
      </c>
      <c r="C113" s="24" t="s">
        <v>312</v>
      </c>
      <c r="D113" s="25">
        <v>530404</v>
      </c>
      <c r="E113" s="26">
        <v>3500</v>
      </c>
      <c r="F113" s="27">
        <v>3500</v>
      </c>
      <c r="G113" s="28">
        <v>3</v>
      </c>
      <c r="H113" s="33">
        <v>46254</v>
      </c>
      <c r="I113" s="33">
        <v>46254</v>
      </c>
      <c r="J113" s="33">
        <v>46255</v>
      </c>
      <c r="K113" s="33">
        <v>46255</v>
      </c>
      <c r="L113" s="33">
        <v>46255</v>
      </c>
      <c r="M113" s="33">
        <v>46258</v>
      </c>
      <c r="N113" s="33">
        <v>46259</v>
      </c>
      <c r="O113" s="33">
        <v>46260</v>
      </c>
      <c r="P113" s="33">
        <v>46261</v>
      </c>
      <c r="Q113" s="33">
        <v>46262</v>
      </c>
      <c r="R113" s="33">
        <v>46265</v>
      </c>
      <c r="S113" s="33">
        <v>46265</v>
      </c>
      <c r="T113" s="33">
        <v>46266</v>
      </c>
      <c r="U113" s="33">
        <v>46267</v>
      </c>
      <c r="V113" s="33">
        <v>46268</v>
      </c>
      <c r="W113" s="33">
        <v>46269</v>
      </c>
      <c r="X113" s="33">
        <v>46269</v>
      </c>
      <c r="Y113" s="33">
        <v>46272</v>
      </c>
      <c r="Z113" s="33">
        <v>46272</v>
      </c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>
        <v>46273</v>
      </c>
      <c r="AO113" s="33">
        <v>46274</v>
      </c>
      <c r="AP113" s="33">
        <v>46274</v>
      </c>
      <c r="AQ113" s="33"/>
      <c r="AR113" s="33"/>
      <c r="AS113" s="33"/>
      <c r="AT113" s="33">
        <v>46274</v>
      </c>
      <c r="AU113" s="33">
        <v>46280</v>
      </c>
      <c r="AV113" s="33"/>
      <c r="AW113" s="33"/>
      <c r="AX113" s="33"/>
      <c r="AY113" s="33"/>
      <c r="AZ113" s="33"/>
      <c r="BA113" s="33"/>
      <c r="BB113" s="33"/>
      <c r="BC113" s="33"/>
      <c r="BD113" s="33"/>
      <c r="BE113" s="33">
        <v>46280</v>
      </c>
      <c r="BF113" s="34"/>
      <c r="BG113" s="34" t="s">
        <v>73</v>
      </c>
      <c r="BH113" s="34" t="s">
        <v>74</v>
      </c>
      <c r="BI113" s="34" t="s">
        <v>137</v>
      </c>
      <c r="BJ113" s="34" t="s">
        <v>303</v>
      </c>
    </row>
    <row r="114" spans="1:62" s="30" customFormat="1" ht="14.45" customHeight="1" x14ac:dyDescent="0.25">
      <c r="A114" s="22" t="s">
        <v>67</v>
      </c>
      <c r="B114" s="23" t="s">
        <v>313</v>
      </c>
      <c r="C114" s="24" t="s">
        <v>314</v>
      </c>
      <c r="D114" s="25">
        <v>530404</v>
      </c>
      <c r="E114" s="26">
        <v>3000</v>
      </c>
      <c r="F114" s="35">
        <v>0</v>
      </c>
      <c r="G114" s="28">
        <v>0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2"/>
      <c r="BG114" s="32"/>
      <c r="BH114" s="32"/>
      <c r="BI114" s="32"/>
      <c r="BJ114" s="32" t="s">
        <v>315</v>
      </c>
    </row>
    <row r="115" spans="1:62" s="30" customFormat="1" ht="14.45" customHeight="1" x14ac:dyDescent="0.25">
      <c r="A115" s="22" t="s">
        <v>67</v>
      </c>
      <c r="B115" s="23" t="s">
        <v>316</v>
      </c>
      <c r="C115" s="24" t="s">
        <v>317</v>
      </c>
      <c r="D115" s="36">
        <v>530404</v>
      </c>
      <c r="E115" s="26">
        <v>2000</v>
      </c>
      <c r="F115" s="27">
        <v>2000</v>
      </c>
      <c r="G115" s="28">
        <v>1</v>
      </c>
      <c r="H115" s="33">
        <v>46057</v>
      </c>
      <c r="I115" s="33">
        <v>46057</v>
      </c>
      <c r="J115" s="33">
        <v>46058</v>
      </c>
      <c r="K115" s="33">
        <v>46058</v>
      </c>
      <c r="L115" s="33">
        <v>46058</v>
      </c>
      <c r="M115" s="33">
        <v>46059</v>
      </c>
      <c r="N115" s="33">
        <v>46062</v>
      </c>
      <c r="O115" s="33">
        <v>46063</v>
      </c>
      <c r="P115" s="33">
        <v>46064</v>
      </c>
      <c r="Q115" s="33">
        <v>46065</v>
      </c>
      <c r="R115" s="33">
        <v>46066</v>
      </c>
      <c r="S115" s="33">
        <v>46066</v>
      </c>
      <c r="T115" s="33">
        <v>46069</v>
      </c>
      <c r="U115" s="33">
        <v>46070</v>
      </c>
      <c r="V115" s="33">
        <v>46071</v>
      </c>
      <c r="W115" s="33">
        <v>46072</v>
      </c>
      <c r="X115" s="33">
        <v>46072</v>
      </c>
      <c r="Y115" s="33">
        <v>46073</v>
      </c>
      <c r="Z115" s="33">
        <v>46073</v>
      </c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>
        <v>46076</v>
      </c>
      <c r="AO115" s="33">
        <v>46077</v>
      </c>
      <c r="AP115" s="33">
        <v>46077</v>
      </c>
      <c r="AQ115" s="33"/>
      <c r="AR115" s="33"/>
      <c r="AS115" s="33"/>
      <c r="AT115" s="33">
        <v>46077</v>
      </c>
      <c r="AU115" s="33">
        <v>46083</v>
      </c>
      <c r="AV115" s="33"/>
      <c r="AW115" s="33"/>
      <c r="AX115" s="33"/>
      <c r="AY115" s="33"/>
      <c r="AZ115" s="33"/>
      <c r="BA115" s="33"/>
      <c r="BB115" s="33"/>
      <c r="BC115" s="33"/>
      <c r="BD115" s="33"/>
      <c r="BE115" s="33">
        <v>46083</v>
      </c>
      <c r="BF115" s="34"/>
      <c r="BG115" s="34" t="s">
        <v>73</v>
      </c>
      <c r="BH115" s="34" t="s">
        <v>74</v>
      </c>
      <c r="BI115" s="34" t="s">
        <v>137</v>
      </c>
      <c r="BJ115" s="34"/>
    </row>
    <row r="116" spans="1:62" s="30" customFormat="1" ht="14.45" customHeight="1" x14ac:dyDescent="0.25">
      <c r="A116" s="22" t="s">
        <v>67</v>
      </c>
      <c r="B116" s="23" t="s">
        <v>318</v>
      </c>
      <c r="C116" s="24" t="s">
        <v>319</v>
      </c>
      <c r="D116" s="25">
        <v>530704</v>
      </c>
      <c r="E116" s="26">
        <v>0</v>
      </c>
      <c r="F116" s="35"/>
      <c r="G116" s="28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</row>
    <row r="117" spans="1:62" s="30" customFormat="1" ht="14.45" customHeight="1" x14ac:dyDescent="0.25">
      <c r="A117" s="22" t="s">
        <v>114</v>
      </c>
      <c r="B117" s="23" t="s">
        <v>320</v>
      </c>
      <c r="C117" s="24" t="s">
        <v>321</v>
      </c>
      <c r="D117" s="25">
        <v>530811</v>
      </c>
      <c r="E117" s="26">
        <v>1000</v>
      </c>
      <c r="F117" s="35">
        <v>1000</v>
      </c>
      <c r="G117" s="28">
        <v>2</v>
      </c>
      <c r="H117" s="33">
        <v>46120</v>
      </c>
      <c r="I117" s="33">
        <v>46120</v>
      </c>
      <c r="J117" s="33">
        <v>46121</v>
      </c>
      <c r="K117" s="33">
        <v>46121</v>
      </c>
      <c r="L117" s="33">
        <v>46121</v>
      </c>
      <c r="M117" s="33">
        <v>46122</v>
      </c>
      <c r="N117" s="33">
        <v>46125</v>
      </c>
      <c r="O117" s="33">
        <v>46126</v>
      </c>
      <c r="P117" s="33">
        <v>46127</v>
      </c>
      <c r="Q117" s="33">
        <v>46128</v>
      </c>
      <c r="R117" s="33">
        <v>46129</v>
      </c>
      <c r="S117" s="33">
        <v>46129</v>
      </c>
      <c r="T117" s="33">
        <v>46132</v>
      </c>
      <c r="U117" s="33">
        <v>46133</v>
      </c>
      <c r="V117" s="33">
        <v>46134</v>
      </c>
      <c r="W117" s="33">
        <v>46135</v>
      </c>
      <c r="X117" s="33">
        <v>46135</v>
      </c>
      <c r="Y117" s="33">
        <v>46136</v>
      </c>
      <c r="Z117" s="33">
        <v>46136</v>
      </c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>
        <v>46139</v>
      </c>
      <c r="AO117" s="33">
        <v>46140</v>
      </c>
      <c r="AP117" s="33">
        <v>46140</v>
      </c>
      <c r="AQ117" s="33"/>
      <c r="AR117" s="33"/>
      <c r="AS117" s="33"/>
      <c r="AT117" s="33">
        <v>46140</v>
      </c>
      <c r="AU117" s="33">
        <v>46144</v>
      </c>
      <c r="AV117" s="33"/>
      <c r="AW117" s="33"/>
      <c r="AX117" s="33"/>
      <c r="AY117" s="33"/>
      <c r="AZ117" s="33"/>
      <c r="BA117" s="33"/>
      <c r="BB117" s="33"/>
      <c r="BC117" s="33"/>
      <c r="BD117" s="33"/>
      <c r="BE117" s="33">
        <v>46144</v>
      </c>
      <c r="BF117" s="34"/>
      <c r="BG117" s="34" t="s">
        <v>73</v>
      </c>
      <c r="BH117" s="34" t="s">
        <v>74</v>
      </c>
      <c r="BI117" s="34" t="s">
        <v>232</v>
      </c>
      <c r="BJ117" s="34"/>
    </row>
    <row r="118" spans="1:62" s="30" customFormat="1" ht="14.45" customHeight="1" x14ac:dyDescent="0.25">
      <c r="A118" s="22" t="s">
        <v>253</v>
      </c>
      <c r="B118" s="56" t="s">
        <v>322</v>
      </c>
      <c r="C118" s="57"/>
      <c r="D118" s="25" t="s">
        <v>323</v>
      </c>
      <c r="E118" s="26">
        <v>0</v>
      </c>
      <c r="F118" s="58"/>
      <c r="G118" s="28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  <row r="119" spans="1:62" s="30" customFormat="1" ht="14.45" customHeight="1" x14ac:dyDescent="0.25">
      <c r="A119" s="22" t="s">
        <v>236</v>
      </c>
      <c r="B119" s="56" t="s">
        <v>322</v>
      </c>
      <c r="C119" s="57"/>
      <c r="D119" s="25" t="s">
        <v>323</v>
      </c>
      <c r="E119" s="26">
        <v>0</v>
      </c>
      <c r="F119" s="58"/>
      <c r="G119" s="2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</row>
    <row r="120" spans="1:62" s="30" customFormat="1" ht="14.45" customHeight="1" x14ac:dyDescent="0.25">
      <c r="A120" s="22" t="s">
        <v>239</v>
      </c>
      <c r="B120" s="56" t="s">
        <v>322</v>
      </c>
      <c r="C120" s="57"/>
      <c r="D120" s="25" t="s">
        <v>323</v>
      </c>
      <c r="E120" s="26">
        <v>0</v>
      </c>
      <c r="F120" s="58"/>
      <c r="G120" s="28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</row>
    <row r="121" spans="1:62" s="30" customFormat="1" ht="14.45" customHeight="1" x14ac:dyDescent="0.25">
      <c r="A121" s="22" t="s">
        <v>169</v>
      </c>
      <c r="B121" s="56" t="s">
        <v>322</v>
      </c>
      <c r="C121" s="57"/>
      <c r="D121" s="25" t="s">
        <v>323</v>
      </c>
      <c r="E121" s="26">
        <v>0</v>
      </c>
      <c r="F121" s="58"/>
      <c r="G121" s="28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</row>
    <row r="122" spans="1:62" s="30" customFormat="1" ht="14.45" customHeight="1" x14ac:dyDescent="0.25">
      <c r="A122" s="22" t="s">
        <v>95</v>
      </c>
      <c r="B122" s="56" t="s">
        <v>322</v>
      </c>
      <c r="C122" s="57"/>
      <c r="D122" s="25" t="s">
        <v>323</v>
      </c>
      <c r="E122" s="26">
        <v>0</v>
      </c>
      <c r="F122" s="58"/>
      <c r="G122" s="28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</row>
    <row r="123" spans="1:62" s="30" customFormat="1" ht="14.45" customHeight="1" x14ac:dyDescent="0.25">
      <c r="A123" s="22" t="s">
        <v>161</v>
      </c>
      <c r="B123" s="23" t="s">
        <v>324</v>
      </c>
      <c r="C123" s="24" t="s">
        <v>325</v>
      </c>
      <c r="D123" s="25">
        <v>570203</v>
      </c>
      <c r="E123" s="26">
        <v>5700</v>
      </c>
      <c r="F123" s="27"/>
      <c r="G123" s="28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</row>
    <row r="124" spans="1:62" s="30" customFormat="1" ht="14.45" customHeight="1" x14ac:dyDescent="0.25">
      <c r="A124" s="22" t="s">
        <v>161</v>
      </c>
      <c r="B124" s="23" t="s">
        <v>326</v>
      </c>
      <c r="C124" s="24" t="s">
        <v>327</v>
      </c>
      <c r="D124" s="25">
        <v>570203</v>
      </c>
      <c r="E124" s="26">
        <v>3000</v>
      </c>
      <c r="F124" s="27"/>
      <c r="G124" s="2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</row>
    <row r="125" spans="1:62" s="30" customFormat="1" ht="14.45" customHeight="1" x14ac:dyDescent="0.25">
      <c r="A125" s="22" t="s">
        <v>114</v>
      </c>
      <c r="B125" s="23" t="s">
        <v>328</v>
      </c>
      <c r="C125" s="24" t="s">
        <v>329</v>
      </c>
      <c r="D125" s="25">
        <v>570102</v>
      </c>
      <c r="E125" s="26">
        <v>29311</v>
      </c>
      <c r="F125" s="27"/>
      <c r="G125" s="2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</row>
    <row r="126" spans="1:62" s="30" customFormat="1" ht="14.45" customHeight="1" x14ac:dyDescent="0.25">
      <c r="A126" s="22" t="s">
        <v>114</v>
      </c>
      <c r="B126" s="23" t="s">
        <v>330</v>
      </c>
      <c r="C126" s="24" t="s">
        <v>331</v>
      </c>
      <c r="D126" s="25">
        <v>530101</v>
      </c>
      <c r="E126" s="26">
        <v>6000</v>
      </c>
      <c r="F126" s="27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</row>
    <row r="127" spans="1:62" s="30" customFormat="1" ht="14.45" customHeight="1" x14ac:dyDescent="0.25">
      <c r="A127" s="22" t="s">
        <v>114</v>
      </c>
      <c r="B127" s="23" t="s">
        <v>332</v>
      </c>
      <c r="C127" s="24" t="s">
        <v>333</v>
      </c>
      <c r="D127" s="25">
        <v>530104</v>
      </c>
      <c r="E127" s="26">
        <v>28000</v>
      </c>
      <c r="F127" s="27"/>
      <c r="G127" s="28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</row>
    <row r="128" spans="1:62" s="30" customFormat="1" ht="14.45" customHeight="1" x14ac:dyDescent="0.25">
      <c r="A128" s="22" t="s">
        <v>114</v>
      </c>
      <c r="B128" s="23" t="s">
        <v>334</v>
      </c>
      <c r="C128" s="24" t="s">
        <v>335</v>
      </c>
      <c r="D128" s="25">
        <v>530105</v>
      </c>
      <c r="E128" s="26">
        <v>6000</v>
      </c>
      <c r="F128" s="27"/>
      <c r="G128" s="28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</row>
    <row r="129" spans="1:62" s="30" customFormat="1" ht="14.45" customHeight="1" x14ac:dyDescent="0.25">
      <c r="A129" s="22" t="s">
        <v>114</v>
      </c>
      <c r="B129" s="23" t="s">
        <v>336</v>
      </c>
      <c r="C129" s="24" t="s">
        <v>337</v>
      </c>
      <c r="D129" s="25">
        <v>570102</v>
      </c>
      <c r="E129" s="26">
        <v>49020</v>
      </c>
      <c r="F129" s="27"/>
      <c r="G129" s="28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</row>
    <row r="130" spans="1:62" s="30" customFormat="1" ht="14.45" customHeight="1" x14ac:dyDescent="0.25">
      <c r="A130" s="22" t="s">
        <v>95</v>
      </c>
      <c r="B130" s="23" t="s">
        <v>338</v>
      </c>
      <c r="C130" s="24" t="s">
        <v>339</v>
      </c>
      <c r="D130" s="25">
        <v>630207</v>
      </c>
      <c r="E130" s="26">
        <f>50000</f>
        <v>50000</v>
      </c>
      <c r="F130" s="27"/>
      <c r="G130" s="28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</row>
    <row r="131" spans="1:62" s="30" customFormat="1" ht="14.45" customHeight="1" x14ac:dyDescent="0.25">
      <c r="A131" s="22" t="s">
        <v>253</v>
      </c>
      <c r="B131" s="23" t="s">
        <v>340</v>
      </c>
      <c r="C131" s="24" t="s">
        <v>341</v>
      </c>
      <c r="D131" s="25">
        <v>631203</v>
      </c>
      <c r="E131" s="26">
        <v>50000</v>
      </c>
      <c r="F131" s="27"/>
      <c r="G131" s="28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</row>
    <row r="132" spans="1:62" s="30" customFormat="1" ht="14.45" customHeight="1" x14ac:dyDescent="0.25">
      <c r="A132" s="22" t="s">
        <v>236</v>
      </c>
      <c r="B132" s="23" t="s">
        <v>342</v>
      </c>
      <c r="C132" s="24" t="s">
        <v>343</v>
      </c>
      <c r="D132" s="25">
        <v>630204</v>
      </c>
      <c r="E132" s="26">
        <v>100</v>
      </c>
      <c r="F132" s="27"/>
      <c r="G132" s="28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</row>
    <row r="133" spans="1:62" s="30" customFormat="1" ht="14.45" customHeight="1" x14ac:dyDescent="0.25">
      <c r="A133" s="22" t="s">
        <v>236</v>
      </c>
      <c r="B133" s="23" t="s">
        <v>344</v>
      </c>
      <c r="C133" s="24" t="s">
        <v>345</v>
      </c>
      <c r="D133" s="25">
        <v>630502</v>
      </c>
      <c r="E133" s="26">
        <v>60000</v>
      </c>
      <c r="F133" s="27"/>
      <c r="G133" s="28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</row>
    <row r="134" spans="1:62" s="30" customFormat="1" ht="14.45" customHeight="1" x14ac:dyDescent="0.25">
      <c r="A134" s="22" t="s">
        <v>67</v>
      </c>
      <c r="B134" s="23" t="s">
        <v>346</v>
      </c>
      <c r="C134" s="24" t="s">
        <v>347</v>
      </c>
      <c r="D134" s="36">
        <v>530702</v>
      </c>
      <c r="E134" s="26">
        <v>6600</v>
      </c>
      <c r="F134" s="27">
        <v>6600</v>
      </c>
      <c r="G134" s="28">
        <v>1</v>
      </c>
      <c r="H134" s="33">
        <v>46071</v>
      </c>
      <c r="I134" s="33">
        <v>46071</v>
      </c>
      <c r="J134" s="33">
        <v>46072</v>
      </c>
      <c r="K134" s="33">
        <v>46072</v>
      </c>
      <c r="L134" s="33">
        <v>46072</v>
      </c>
      <c r="M134" s="33">
        <v>46073</v>
      </c>
      <c r="N134" s="33">
        <v>46076</v>
      </c>
      <c r="O134" s="33">
        <v>46077</v>
      </c>
      <c r="P134" s="33">
        <v>46078</v>
      </c>
      <c r="Q134" s="33">
        <v>46079</v>
      </c>
      <c r="R134" s="33">
        <v>46080</v>
      </c>
      <c r="S134" s="33">
        <v>46080</v>
      </c>
      <c r="T134" s="33">
        <v>46083</v>
      </c>
      <c r="U134" s="33">
        <v>46084</v>
      </c>
      <c r="V134" s="33">
        <v>46085</v>
      </c>
      <c r="W134" s="33">
        <v>46086</v>
      </c>
      <c r="X134" s="33">
        <v>46086</v>
      </c>
      <c r="Y134" s="33">
        <v>46087</v>
      </c>
      <c r="Z134" s="33">
        <v>46087</v>
      </c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>
        <v>46090</v>
      </c>
      <c r="AO134" s="33">
        <v>46091</v>
      </c>
      <c r="AP134" s="33">
        <v>46091</v>
      </c>
      <c r="AQ134" s="33"/>
      <c r="AR134" s="33"/>
      <c r="AS134" s="33"/>
      <c r="AT134" s="33">
        <v>46091</v>
      </c>
      <c r="AU134" s="33">
        <v>46096</v>
      </c>
      <c r="AV134" s="33"/>
      <c r="AW134" s="33"/>
      <c r="AX134" s="33"/>
      <c r="AY134" s="33"/>
      <c r="AZ134" s="33"/>
      <c r="BA134" s="33"/>
      <c r="BB134" s="33"/>
      <c r="BC134" s="33"/>
      <c r="BD134" s="33"/>
      <c r="BE134" s="33">
        <v>46096</v>
      </c>
      <c r="BF134" s="34"/>
      <c r="BG134" s="34" t="s">
        <v>73</v>
      </c>
      <c r="BH134" s="34" t="s">
        <v>74</v>
      </c>
      <c r="BI134" s="34" t="s">
        <v>81</v>
      </c>
      <c r="BJ134" s="34" t="s">
        <v>82</v>
      </c>
    </row>
    <row r="135" spans="1:62" s="30" customFormat="1" ht="14.45" customHeight="1" x14ac:dyDescent="0.25">
      <c r="A135" s="22" t="s">
        <v>67</v>
      </c>
      <c r="B135" s="23" t="s">
        <v>348</v>
      </c>
      <c r="C135" s="24" t="s">
        <v>349</v>
      </c>
      <c r="D135" s="25">
        <v>530702</v>
      </c>
      <c r="E135" s="26">
        <v>33000</v>
      </c>
      <c r="F135" s="27">
        <v>0</v>
      </c>
      <c r="G135" s="28">
        <v>0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>
        <v>3</v>
      </c>
      <c r="AW135" s="31">
        <v>5</v>
      </c>
      <c r="AX135" s="31">
        <v>9</v>
      </c>
      <c r="AY135" s="31">
        <v>10</v>
      </c>
      <c r="AZ135" s="31">
        <v>11</v>
      </c>
      <c r="BA135" s="31">
        <v>13</v>
      </c>
      <c r="BB135" s="31">
        <v>16</v>
      </c>
      <c r="BC135" s="31">
        <v>18</v>
      </c>
      <c r="BD135" s="31">
        <v>23</v>
      </c>
      <c r="BE135" s="31"/>
      <c r="BF135" s="32"/>
      <c r="BG135" s="32"/>
      <c r="BH135" s="32"/>
      <c r="BI135" s="32"/>
      <c r="BJ135" s="32" t="s">
        <v>133</v>
      </c>
    </row>
    <row r="136" spans="1:62" s="30" customFormat="1" ht="14.45" customHeight="1" x14ac:dyDescent="0.25">
      <c r="A136" s="22" t="s">
        <v>67</v>
      </c>
      <c r="B136" s="23" t="s">
        <v>350</v>
      </c>
      <c r="C136" s="24" t="s">
        <v>351</v>
      </c>
      <c r="D136" s="25">
        <v>530702</v>
      </c>
      <c r="E136" s="26">
        <v>2000</v>
      </c>
      <c r="F136" s="27">
        <v>0</v>
      </c>
      <c r="G136" s="28">
        <v>0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2"/>
      <c r="BG136" s="32"/>
      <c r="BH136" s="32"/>
      <c r="BI136" s="32"/>
      <c r="BJ136" s="32" t="s">
        <v>70</v>
      </c>
    </row>
    <row r="137" spans="1:62" s="30" customFormat="1" ht="14.45" customHeight="1" x14ac:dyDescent="0.25">
      <c r="A137" s="22" t="s">
        <v>67</v>
      </c>
      <c r="B137" s="23" t="s">
        <v>352</v>
      </c>
      <c r="C137" s="24" t="s">
        <v>353</v>
      </c>
      <c r="D137" s="25">
        <v>530702</v>
      </c>
      <c r="E137" s="26">
        <v>7000</v>
      </c>
      <c r="F137" s="27">
        <v>7000</v>
      </c>
      <c r="G137" s="28">
        <v>2</v>
      </c>
      <c r="H137" s="33">
        <v>46188</v>
      </c>
      <c r="I137" s="33">
        <v>46188</v>
      </c>
      <c r="J137" s="33">
        <v>46189</v>
      </c>
      <c r="K137" s="33">
        <v>46189</v>
      </c>
      <c r="L137" s="33">
        <v>46189</v>
      </c>
      <c r="M137" s="33">
        <v>46190</v>
      </c>
      <c r="N137" s="33">
        <v>46191</v>
      </c>
      <c r="O137" s="33">
        <v>46192</v>
      </c>
      <c r="P137" s="33">
        <v>46195</v>
      </c>
      <c r="Q137" s="33">
        <v>46196</v>
      </c>
      <c r="R137" s="33">
        <v>46197</v>
      </c>
      <c r="S137" s="33">
        <v>46197</v>
      </c>
      <c r="T137" s="33">
        <v>46198</v>
      </c>
      <c r="U137" s="33">
        <v>46199</v>
      </c>
      <c r="V137" s="33">
        <v>46202</v>
      </c>
      <c r="W137" s="33">
        <v>46203</v>
      </c>
      <c r="X137" s="33">
        <v>46203</v>
      </c>
      <c r="Y137" s="33">
        <v>46204</v>
      </c>
      <c r="Z137" s="33">
        <v>46204</v>
      </c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>
        <v>46205</v>
      </c>
      <c r="AO137" s="33">
        <v>46206</v>
      </c>
      <c r="AP137" s="33">
        <v>46206</v>
      </c>
      <c r="AQ137" s="33"/>
      <c r="AR137" s="33"/>
      <c r="AS137" s="33"/>
      <c r="AT137" s="33">
        <v>46206</v>
      </c>
      <c r="AU137" s="33">
        <v>46212</v>
      </c>
      <c r="AV137" s="33"/>
      <c r="AW137" s="33"/>
      <c r="AX137" s="33"/>
      <c r="AY137" s="33"/>
      <c r="AZ137" s="33"/>
      <c r="BA137" s="33"/>
      <c r="BB137" s="33"/>
      <c r="BC137" s="33"/>
      <c r="BD137" s="33"/>
      <c r="BE137" s="33">
        <v>46212</v>
      </c>
      <c r="BF137" s="34"/>
      <c r="BG137" s="34" t="s">
        <v>73</v>
      </c>
      <c r="BH137" s="34" t="s">
        <v>74</v>
      </c>
      <c r="BI137" s="34" t="s">
        <v>81</v>
      </c>
      <c r="BJ137" s="34"/>
    </row>
    <row r="138" spans="1:62" s="30" customFormat="1" ht="14.45" customHeight="1" x14ac:dyDescent="0.25">
      <c r="A138" s="22" t="s">
        <v>67</v>
      </c>
      <c r="B138" s="23" t="s">
        <v>354</v>
      </c>
      <c r="C138" s="24" t="s">
        <v>355</v>
      </c>
      <c r="D138" s="25">
        <v>530702</v>
      </c>
      <c r="E138" s="26">
        <v>7200</v>
      </c>
      <c r="F138" s="27">
        <v>7200</v>
      </c>
      <c r="G138" s="28">
        <v>3</v>
      </c>
      <c r="H138" s="33">
        <v>46316</v>
      </c>
      <c r="I138" s="33">
        <v>46316</v>
      </c>
      <c r="J138" s="33">
        <v>46317</v>
      </c>
      <c r="K138" s="33">
        <v>46317</v>
      </c>
      <c r="L138" s="33">
        <v>46317</v>
      </c>
      <c r="M138" s="33">
        <v>46318</v>
      </c>
      <c r="N138" s="33">
        <v>46321</v>
      </c>
      <c r="O138" s="33">
        <v>46322</v>
      </c>
      <c r="P138" s="33">
        <v>46323</v>
      </c>
      <c r="Q138" s="33">
        <v>46324</v>
      </c>
      <c r="R138" s="33">
        <v>46325</v>
      </c>
      <c r="S138" s="33">
        <v>46325</v>
      </c>
      <c r="T138" s="33">
        <v>46328</v>
      </c>
      <c r="U138" s="33">
        <v>46329</v>
      </c>
      <c r="V138" s="33">
        <v>46330</v>
      </c>
      <c r="W138" s="33">
        <v>46331</v>
      </c>
      <c r="X138" s="33">
        <v>46331</v>
      </c>
      <c r="Y138" s="33">
        <v>46332</v>
      </c>
      <c r="Z138" s="33">
        <v>46332</v>
      </c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>
        <v>46335</v>
      </c>
      <c r="AO138" s="33">
        <v>46336</v>
      </c>
      <c r="AP138" s="33">
        <v>46336</v>
      </c>
      <c r="AQ138" s="33"/>
      <c r="AR138" s="33"/>
      <c r="AS138" s="33"/>
      <c r="AT138" s="33">
        <v>46336</v>
      </c>
      <c r="AU138" s="33">
        <v>46341</v>
      </c>
      <c r="AV138" s="33"/>
      <c r="AW138" s="33"/>
      <c r="AX138" s="33"/>
      <c r="AY138" s="33"/>
      <c r="AZ138" s="33"/>
      <c r="BA138" s="33"/>
      <c r="BB138" s="33"/>
      <c r="BC138" s="33"/>
      <c r="BD138" s="33"/>
      <c r="BE138" s="33">
        <v>46341</v>
      </c>
      <c r="BF138" s="34"/>
      <c r="BG138" s="34" t="s">
        <v>73</v>
      </c>
      <c r="BH138" s="34" t="s">
        <v>74</v>
      </c>
      <c r="BI138" s="34" t="s">
        <v>81</v>
      </c>
      <c r="BJ138" s="34"/>
    </row>
    <row r="139" spans="1:62" s="30" customFormat="1" ht="14.45" customHeight="1" x14ac:dyDescent="0.25">
      <c r="A139" s="22" t="s">
        <v>67</v>
      </c>
      <c r="B139" s="23" t="s">
        <v>356</v>
      </c>
      <c r="C139" s="24" t="s">
        <v>357</v>
      </c>
      <c r="D139" s="25">
        <v>530702</v>
      </c>
      <c r="E139" s="26">
        <v>8000</v>
      </c>
      <c r="F139" s="27">
        <v>8000</v>
      </c>
      <c r="G139" s="28">
        <v>2</v>
      </c>
      <c r="H139" s="33">
        <v>46120</v>
      </c>
      <c r="I139" s="33">
        <v>46120</v>
      </c>
      <c r="J139" s="33">
        <v>46121</v>
      </c>
      <c r="K139" s="33">
        <v>46121</v>
      </c>
      <c r="L139" s="33">
        <v>46121</v>
      </c>
      <c r="M139" s="33">
        <v>46122</v>
      </c>
      <c r="N139" s="33">
        <v>46125</v>
      </c>
      <c r="O139" s="33">
        <v>46126</v>
      </c>
      <c r="P139" s="33">
        <v>46127</v>
      </c>
      <c r="Q139" s="33">
        <v>46128</v>
      </c>
      <c r="R139" s="33">
        <v>46129</v>
      </c>
      <c r="S139" s="33">
        <v>46129</v>
      </c>
      <c r="T139" s="33">
        <v>46132</v>
      </c>
      <c r="U139" s="33">
        <v>46133</v>
      </c>
      <c r="V139" s="33">
        <v>46134</v>
      </c>
      <c r="W139" s="33">
        <v>46135</v>
      </c>
      <c r="X139" s="33">
        <v>46135</v>
      </c>
      <c r="Y139" s="33">
        <v>46136</v>
      </c>
      <c r="Z139" s="33">
        <v>46136</v>
      </c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>
        <v>46139</v>
      </c>
      <c r="AO139" s="33">
        <v>46140</v>
      </c>
      <c r="AP139" s="33">
        <v>46140</v>
      </c>
      <c r="AQ139" s="33"/>
      <c r="AR139" s="33"/>
      <c r="AS139" s="33"/>
      <c r="AT139" s="33">
        <v>46140</v>
      </c>
      <c r="AU139" s="33">
        <v>46146</v>
      </c>
      <c r="AV139" s="33"/>
      <c r="AW139" s="33"/>
      <c r="AX139" s="33"/>
      <c r="AY139" s="33"/>
      <c r="AZ139" s="33"/>
      <c r="BA139" s="33"/>
      <c r="BB139" s="33"/>
      <c r="BC139" s="33"/>
      <c r="BD139" s="33"/>
      <c r="BE139" s="33">
        <v>46146</v>
      </c>
      <c r="BF139" s="34"/>
      <c r="BG139" s="34" t="s">
        <v>73</v>
      </c>
      <c r="BH139" s="34" t="s">
        <v>74</v>
      </c>
      <c r="BI139" s="34" t="s">
        <v>81</v>
      </c>
      <c r="BJ139" s="34"/>
    </row>
    <row r="140" spans="1:62" s="30" customFormat="1" ht="14.45" customHeight="1" x14ac:dyDescent="0.25">
      <c r="A140" s="22" t="s">
        <v>67</v>
      </c>
      <c r="B140" s="23" t="s">
        <v>358</v>
      </c>
      <c r="C140" s="24" t="s">
        <v>359</v>
      </c>
      <c r="D140" s="25">
        <v>530702</v>
      </c>
      <c r="E140" s="26">
        <v>7000</v>
      </c>
      <c r="F140" s="27">
        <v>7000</v>
      </c>
      <c r="G140" s="28">
        <v>2</v>
      </c>
      <c r="H140" s="33">
        <v>46211</v>
      </c>
      <c r="I140" s="33">
        <v>46211</v>
      </c>
      <c r="J140" s="33">
        <v>46212</v>
      </c>
      <c r="K140" s="33">
        <v>46212</v>
      </c>
      <c r="L140" s="33">
        <v>46212</v>
      </c>
      <c r="M140" s="33">
        <v>46213</v>
      </c>
      <c r="N140" s="33">
        <v>46216</v>
      </c>
      <c r="O140" s="33">
        <v>46217</v>
      </c>
      <c r="P140" s="33">
        <v>46218</v>
      </c>
      <c r="Q140" s="33">
        <v>46219</v>
      </c>
      <c r="R140" s="33">
        <v>46220</v>
      </c>
      <c r="S140" s="33">
        <v>46220</v>
      </c>
      <c r="T140" s="33">
        <v>46223</v>
      </c>
      <c r="U140" s="33">
        <v>46224</v>
      </c>
      <c r="V140" s="33">
        <v>46225</v>
      </c>
      <c r="W140" s="33">
        <v>46226</v>
      </c>
      <c r="X140" s="33">
        <v>46226</v>
      </c>
      <c r="Y140" s="33">
        <v>46227</v>
      </c>
      <c r="Z140" s="33">
        <v>46227</v>
      </c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>
        <v>46230</v>
      </c>
      <c r="AO140" s="33">
        <v>46231</v>
      </c>
      <c r="AP140" s="33">
        <v>46231</v>
      </c>
      <c r="AQ140" s="33"/>
      <c r="AR140" s="33"/>
      <c r="AS140" s="33"/>
      <c r="AT140" s="33">
        <v>46231</v>
      </c>
      <c r="AU140" s="33">
        <v>46237</v>
      </c>
      <c r="AV140" s="33"/>
      <c r="AW140" s="33"/>
      <c r="AX140" s="33"/>
      <c r="AY140" s="33"/>
      <c r="AZ140" s="33"/>
      <c r="BA140" s="33"/>
      <c r="BB140" s="33"/>
      <c r="BC140" s="33"/>
      <c r="BD140" s="33"/>
      <c r="BE140" s="33">
        <v>46237</v>
      </c>
      <c r="BF140" s="34"/>
      <c r="BG140" s="34" t="s">
        <v>73</v>
      </c>
      <c r="BH140" s="34" t="s">
        <v>74</v>
      </c>
      <c r="BI140" s="34" t="s">
        <v>81</v>
      </c>
      <c r="BJ140" s="34"/>
    </row>
    <row r="141" spans="1:62" s="30" customFormat="1" ht="14.45" customHeight="1" x14ac:dyDescent="0.25">
      <c r="A141" s="22" t="s">
        <v>67</v>
      </c>
      <c r="B141" s="23" t="s">
        <v>360</v>
      </c>
      <c r="C141" s="24" t="s">
        <v>361</v>
      </c>
      <c r="D141" s="25">
        <v>530702</v>
      </c>
      <c r="E141" s="26">
        <v>7000</v>
      </c>
      <c r="F141" s="35">
        <v>7000</v>
      </c>
      <c r="G141" s="28">
        <v>3</v>
      </c>
      <c r="H141" s="33">
        <v>46274</v>
      </c>
      <c r="I141" s="33">
        <v>46274</v>
      </c>
      <c r="J141" s="33">
        <v>46275</v>
      </c>
      <c r="K141" s="33">
        <v>46275</v>
      </c>
      <c r="L141" s="33">
        <v>46275</v>
      </c>
      <c r="M141" s="33">
        <v>46276</v>
      </c>
      <c r="N141" s="33">
        <v>46279</v>
      </c>
      <c r="O141" s="33">
        <v>46280</v>
      </c>
      <c r="P141" s="33">
        <v>46281</v>
      </c>
      <c r="Q141" s="33">
        <v>46282</v>
      </c>
      <c r="R141" s="33">
        <v>46283</v>
      </c>
      <c r="S141" s="33">
        <v>46283</v>
      </c>
      <c r="T141" s="33">
        <v>46286</v>
      </c>
      <c r="U141" s="33">
        <v>46287</v>
      </c>
      <c r="V141" s="33">
        <v>46288</v>
      </c>
      <c r="W141" s="33">
        <v>46289</v>
      </c>
      <c r="X141" s="33">
        <v>46289</v>
      </c>
      <c r="Y141" s="33">
        <v>46290</v>
      </c>
      <c r="Z141" s="33">
        <v>46290</v>
      </c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>
        <v>46293</v>
      </c>
      <c r="AO141" s="33">
        <v>46294</v>
      </c>
      <c r="AP141" s="33">
        <v>46294</v>
      </c>
      <c r="AQ141" s="33"/>
      <c r="AR141" s="33"/>
      <c r="AS141" s="33"/>
      <c r="AT141" s="33">
        <v>46294</v>
      </c>
      <c r="AU141" s="33">
        <v>46300</v>
      </c>
      <c r="AV141" s="33"/>
      <c r="AW141" s="33"/>
      <c r="AX141" s="33"/>
      <c r="AY141" s="33"/>
      <c r="AZ141" s="33"/>
      <c r="BA141" s="33"/>
      <c r="BB141" s="33"/>
      <c r="BC141" s="33"/>
      <c r="BD141" s="33"/>
      <c r="BE141" s="33">
        <v>46300</v>
      </c>
      <c r="BF141" s="34"/>
      <c r="BG141" s="34" t="s">
        <v>73</v>
      </c>
      <c r="BH141" s="34" t="s">
        <v>74</v>
      </c>
      <c r="BI141" s="34" t="s">
        <v>81</v>
      </c>
      <c r="BJ141" s="34"/>
    </row>
    <row r="142" spans="1:62" s="30" customFormat="1" ht="14.45" customHeight="1" x14ac:dyDescent="0.25">
      <c r="A142" s="22" t="s">
        <v>114</v>
      </c>
      <c r="B142" s="23" t="s">
        <v>362</v>
      </c>
      <c r="C142" s="24" t="s">
        <v>363</v>
      </c>
      <c r="D142" s="25">
        <v>570102</v>
      </c>
      <c r="E142" s="26">
        <v>2000</v>
      </c>
      <c r="F142" s="27"/>
      <c r="G142" s="2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</row>
    <row r="143" spans="1:62" s="30" customFormat="1" ht="14.45" customHeight="1" x14ac:dyDescent="0.25">
      <c r="A143" s="22" t="s">
        <v>239</v>
      </c>
      <c r="B143" s="23" t="s">
        <v>364</v>
      </c>
      <c r="C143" s="24" t="s">
        <v>365</v>
      </c>
      <c r="D143" s="25">
        <v>530207</v>
      </c>
      <c r="E143" s="26">
        <v>100000</v>
      </c>
      <c r="F143" s="27"/>
      <c r="G143" s="28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</row>
    <row r="144" spans="1:62" s="30" customFormat="1" ht="14.45" customHeight="1" x14ac:dyDescent="0.25">
      <c r="A144" s="22" t="s">
        <v>95</v>
      </c>
      <c r="B144" s="23" t="s">
        <v>364</v>
      </c>
      <c r="C144" s="24" t="s">
        <v>366</v>
      </c>
      <c r="D144" s="25">
        <v>530207</v>
      </c>
      <c r="E144" s="26">
        <v>10000</v>
      </c>
      <c r="F144" s="27"/>
      <c r="G144" s="28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</row>
    <row r="145" spans="1:62" s="30" customFormat="1" ht="15" customHeight="1" x14ac:dyDescent="0.25">
      <c r="A145" s="22" t="s">
        <v>239</v>
      </c>
      <c r="B145" s="23" t="s">
        <v>367</v>
      </c>
      <c r="C145" s="24" t="s">
        <v>368</v>
      </c>
      <c r="D145" s="25">
        <v>630207</v>
      </c>
      <c r="E145" s="26">
        <f>80000-12500</f>
        <v>67500</v>
      </c>
      <c r="F145" s="27"/>
      <c r="G145" s="28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</row>
    <row r="146" spans="1:62" s="30" customFormat="1" ht="15" customHeight="1" x14ac:dyDescent="0.25">
      <c r="A146" s="22" t="s">
        <v>169</v>
      </c>
      <c r="B146" s="23" t="s">
        <v>367</v>
      </c>
      <c r="C146" s="24" t="s">
        <v>369</v>
      </c>
      <c r="D146" s="25">
        <v>630207</v>
      </c>
      <c r="E146" s="26">
        <v>20000</v>
      </c>
      <c r="F146" s="27"/>
      <c r="G146" s="28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</row>
    <row r="147" spans="1:62" s="30" customFormat="1" ht="15" customHeight="1" x14ac:dyDescent="0.25">
      <c r="A147" s="22" t="s">
        <v>95</v>
      </c>
      <c r="B147" s="23" t="s">
        <v>367</v>
      </c>
      <c r="C147" s="24" t="s">
        <v>370</v>
      </c>
      <c r="D147" s="25">
        <v>630207</v>
      </c>
      <c r="E147" s="26">
        <v>50000</v>
      </c>
      <c r="F147" s="27">
        <v>0</v>
      </c>
      <c r="G147" s="28">
        <v>0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>
        <v>5</v>
      </c>
      <c r="AW147" s="31">
        <v>9</v>
      </c>
      <c r="AX147" s="31">
        <v>13</v>
      </c>
      <c r="AY147" s="31">
        <v>16</v>
      </c>
      <c r="AZ147" s="31">
        <v>17</v>
      </c>
      <c r="BA147" s="31">
        <v>19</v>
      </c>
      <c r="BB147" s="31">
        <v>20</v>
      </c>
      <c r="BC147" s="31">
        <v>20</v>
      </c>
      <c r="BD147" s="31">
        <v>25</v>
      </c>
      <c r="BE147" s="31"/>
      <c r="BF147" s="32"/>
      <c r="BG147" s="32"/>
      <c r="BH147" s="32"/>
      <c r="BI147" s="32"/>
      <c r="BJ147" s="59" t="s">
        <v>371</v>
      </c>
    </row>
    <row r="148" spans="1:62" s="30" customFormat="1" ht="15" customHeight="1" x14ac:dyDescent="0.25">
      <c r="A148" s="22" t="s">
        <v>284</v>
      </c>
      <c r="B148" s="23" t="s">
        <v>372</v>
      </c>
      <c r="C148" s="24" t="s">
        <v>373</v>
      </c>
      <c r="D148" s="25">
        <v>530207</v>
      </c>
      <c r="E148" s="26">
        <v>47050</v>
      </c>
      <c r="F148" s="27"/>
      <c r="G148" s="28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</row>
    <row r="149" spans="1:62" s="30" customFormat="1" ht="15" customHeight="1" x14ac:dyDescent="0.25">
      <c r="A149" s="22" t="s">
        <v>284</v>
      </c>
      <c r="B149" s="23" t="s">
        <v>374</v>
      </c>
      <c r="C149" s="24" t="s">
        <v>375</v>
      </c>
      <c r="D149" s="36">
        <v>530207</v>
      </c>
      <c r="E149" s="26">
        <v>120000</v>
      </c>
      <c r="F149" s="27">
        <v>315000</v>
      </c>
      <c r="G149" s="28">
        <v>1</v>
      </c>
      <c r="H149" s="48">
        <v>46072</v>
      </c>
      <c r="I149" s="48">
        <v>46072</v>
      </c>
      <c r="J149" s="48">
        <v>46073</v>
      </c>
      <c r="K149" s="48">
        <v>46073</v>
      </c>
      <c r="L149" s="48">
        <v>46073</v>
      </c>
      <c r="M149" s="48">
        <v>46073</v>
      </c>
      <c r="N149" s="48">
        <v>46073</v>
      </c>
      <c r="O149" s="48">
        <v>46078</v>
      </c>
      <c r="P149" s="48">
        <v>46079</v>
      </c>
      <c r="Q149" s="48">
        <v>46080</v>
      </c>
      <c r="R149" s="48">
        <v>46083</v>
      </c>
      <c r="S149" s="48">
        <v>46090</v>
      </c>
      <c r="T149" s="48">
        <v>46090</v>
      </c>
      <c r="U149" s="48">
        <v>46090</v>
      </c>
      <c r="V149" s="46">
        <v>46091</v>
      </c>
      <c r="W149" s="46">
        <v>46092</v>
      </c>
      <c r="X149" s="46">
        <v>46092</v>
      </c>
      <c r="Y149" s="46">
        <v>46092</v>
      </c>
      <c r="Z149" s="46">
        <v>46092</v>
      </c>
      <c r="AA149" s="60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46">
        <v>46093</v>
      </c>
      <c r="AO149" s="46">
        <v>46093</v>
      </c>
      <c r="AP149" s="46">
        <v>46094</v>
      </c>
      <c r="AQ149" s="33">
        <v>46097</v>
      </c>
      <c r="AR149" s="33">
        <v>46098</v>
      </c>
      <c r="AS149" s="33">
        <v>46098</v>
      </c>
      <c r="AT149" s="33">
        <v>46098</v>
      </c>
      <c r="AU149" s="33">
        <v>46104</v>
      </c>
      <c r="AV149" s="33">
        <v>46106</v>
      </c>
      <c r="AW149" s="33">
        <v>46112</v>
      </c>
      <c r="AX149" s="33">
        <v>46113</v>
      </c>
      <c r="AY149" s="33">
        <v>46114</v>
      </c>
      <c r="AZ149" s="33">
        <v>46118</v>
      </c>
      <c r="BA149" s="33">
        <v>46119</v>
      </c>
      <c r="BB149" s="33">
        <v>46119</v>
      </c>
      <c r="BC149" s="33">
        <v>46119</v>
      </c>
      <c r="BD149" s="33">
        <v>46122</v>
      </c>
      <c r="BE149" s="33">
        <v>46127</v>
      </c>
      <c r="BF149" s="34"/>
      <c r="BG149" s="34" t="s">
        <v>91</v>
      </c>
      <c r="BH149" s="34" t="s">
        <v>376</v>
      </c>
      <c r="BI149" s="34" t="s">
        <v>287</v>
      </c>
      <c r="BJ149" s="45" t="s">
        <v>377</v>
      </c>
    </row>
    <row r="150" spans="1:62" s="30" customFormat="1" ht="15" customHeight="1" x14ac:dyDescent="0.25">
      <c r="A150" s="22" t="s">
        <v>114</v>
      </c>
      <c r="B150" s="23" t="s">
        <v>378</v>
      </c>
      <c r="C150" s="24" t="s">
        <v>379</v>
      </c>
      <c r="D150" s="25">
        <v>530209</v>
      </c>
      <c r="E150" s="26">
        <v>65000</v>
      </c>
      <c r="F150" s="27"/>
      <c r="G150" s="28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</row>
    <row r="151" spans="1:62" s="30" customFormat="1" ht="15" customHeight="1" x14ac:dyDescent="0.25">
      <c r="A151" s="22" t="s">
        <v>169</v>
      </c>
      <c r="B151" s="23" t="s">
        <v>380</v>
      </c>
      <c r="C151" s="24" t="s">
        <v>381</v>
      </c>
      <c r="D151" s="36">
        <v>630601</v>
      </c>
      <c r="E151" s="26">
        <v>85000</v>
      </c>
      <c r="F151" s="27">
        <v>85000</v>
      </c>
      <c r="G151" s="28">
        <v>1</v>
      </c>
      <c r="H151" s="33">
        <v>46098</v>
      </c>
      <c r="I151" s="33">
        <v>46098</v>
      </c>
      <c r="J151" s="33">
        <v>46099</v>
      </c>
      <c r="K151" s="33">
        <v>46099</v>
      </c>
      <c r="L151" s="33">
        <v>46099</v>
      </c>
      <c r="M151" s="33">
        <v>46100</v>
      </c>
      <c r="N151" s="33">
        <v>46101</v>
      </c>
      <c r="O151" s="33">
        <v>46104</v>
      </c>
      <c r="P151" s="33">
        <v>46105</v>
      </c>
      <c r="Q151" s="33">
        <v>46106</v>
      </c>
      <c r="R151" s="33">
        <v>46107</v>
      </c>
      <c r="S151" s="33">
        <v>46107</v>
      </c>
      <c r="T151" s="33">
        <v>46108</v>
      </c>
      <c r="U151" s="33">
        <v>46111</v>
      </c>
      <c r="V151" s="33">
        <v>46112</v>
      </c>
      <c r="W151" s="33">
        <v>46113</v>
      </c>
      <c r="X151" s="33">
        <v>46113</v>
      </c>
      <c r="Y151" s="33">
        <v>46114</v>
      </c>
      <c r="Z151" s="33">
        <v>46114</v>
      </c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>
        <v>46118</v>
      </c>
      <c r="AO151" s="33">
        <v>46118</v>
      </c>
      <c r="AP151" s="33">
        <v>46118</v>
      </c>
      <c r="AQ151" s="33">
        <v>46119</v>
      </c>
      <c r="AR151" s="33">
        <v>46120</v>
      </c>
      <c r="AS151" s="33">
        <v>46121</v>
      </c>
      <c r="AT151" s="33">
        <v>46122</v>
      </c>
      <c r="AU151" s="33">
        <v>46122</v>
      </c>
      <c r="AV151" s="33">
        <v>46126</v>
      </c>
      <c r="AW151" s="33">
        <v>46128</v>
      </c>
      <c r="AX151" s="33">
        <v>46132</v>
      </c>
      <c r="AY151" s="33">
        <v>46133</v>
      </c>
      <c r="AZ151" s="33">
        <v>46134</v>
      </c>
      <c r="BA151" s="33">
        <v>46136</v>
      </c>
      <c r="BB151" s="33">
        <v>46139</v>
      </c>
      <c r="BC151" s="33">
        <v>46139</v>
      </c>
      <c r="BD151" s="33">
        <v>46142</v>
      </c>
      <c r="BE151" s="33">
        <v>46147</v>
      </c>
      <c r="BF151" s="34"/>
      <c r="BG151" s="34" t="s">
        <v>91</v>
      </c>
      <c r="BH151" s="34" t="s">
        <v>167</v>
      </c>
      <c r="BI151" s="34" t="s">
        <v>382</v>
      </c>
      <c r="BJ151" s="34" t="s">
        <v>82</v>
      </c>
    </row>
    <row r="152" spans="1:62" s="30" customFormat="1" ht="15" customHeight="1" x14ac:dyDescent="0.25">
      <c r="A152" s="22" t="s">
        <v>253</v>
      </c>
      <c r="B152" s="23" t="s">
        <v>383</v>
      </c>
      <c r="C152" s="24" t="s">
        <v>384</v>
      </c>
      <c r="D152" s="36">
        <v>630602</v>
      </c>
      <c r="E152" s="26">
        <v>6600</v>
      </c>
      <c r="F152" s="35">
        <v>6600</v>
      </c>
      <c r="G152" s="28">
        <v>1</v>
      </c>
      <c r="H152" s="33">
        <v>46120</v>
      </c>
      <c r="I152" s="33">
        <v>46120</v>
      </c>
      <c r="J152" s="33">
        <v>46121</v>
      </c>
      <c r="K152" s="33">
        <v>46121</v>
      </c>
      <c r="L152" s="33">
        <v>46121</v>
      </c>
      <c r="M152" s="33">
        <v>46122</v>
      </c>
      <c r="N152" s="33">
        <v>46125</v>
      </c>
      <c r="O152" s="33">
        <v>46126</v>
      </c>
      <c r="P152" s="33">
        <v>46127</v>
      </c>
      <c r="Q152" s="33">
        <v>46128</v>
      </c>
      <c r="R152" s="33">
        <v>46129</v>
      </c>
      <c r="S152" s="33">
        <v>46129</v>
      </c>
      <c r="T152" s="33">
        <v>46132</v>
      </c>
      <c r="U152" s="33">
        <v>46133</v>
      </c>
      <c r="V152" s="33">
        <v>46134</v>
      </c>
      <c r="W152" s="33">
        <v>46135</v>
      </c>
      <c r="X152" s="33">
        <v>46135</v>
      </c>
      <c r="Y152" s="33">
        <v>46136</v>
      </c>
      <c r="Z152" s="33">
        <v>46136</v>
      </c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>
        <v>46139</v>
      </c>
      <c r="AO152" s="33">
        <v>46140</v>
      </c>
      <c r="AP152" s="33">
        <v>46140</v>
      </c>
      <c r="AQ152" s="33"/>
      <c r="AR152" s="33"/>
      <c r="AS152" s="33"/>
      <c r="AT152" s="33">
        <v>46140</v>
      </c>
      <c r="AU152" s="33">
        <v>46146</v>
      </c>
      <c r="AV152" s="33"/>
      <c r="AW152" s="33"/>
      <c r="AX152" s="33"/>
      <c r="AY152" s="33"/>
      <c r="AZ152" s="33"/>
      <c r="BA152" s="33"/>
      <c r="BB152" s="33"/>
      <c r="BC152" s="33"/>
      <c r="BD152" s="33"/>
      <c r="BE152" s="33">
        <v>46146</v>
      </c>
      <c r="BF152" s="34"/>
      <c r="BG152" s="34" t="s">
        <v>73</v>
      </c>
      <c r="BH152" s="34" t="s">
        <v>74</v>
      </c>
      <c r="BI152" s="34" t="s">
        <v>385</v>
      </c>
      <c r="BJ152" s="34" t="s">
        <v>82</v>
      </c>
    </row>
    <row r="153" spans="1:62" s="30" customFormat="1" ht="15" customHeight="1" x14ac:dyDescent="0.25">
      <c r="A153" s="22" t="s">
        <v>169</v>
      </c>
      <c r="B153" s="23" t="s">
        <v>386</v>
      </c>
      <c r="C153" s="24" t="s">
        <v>387</v>
      </c>
      <c r="D153" s="25">
        <v>530613</v>
      </c>
      <c r="E153" s="26">
        <v>51996.95</v>
      </c>
      <c r="F153" s="27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</row>
    <row r="154" spans="1:62" s="30" customFormat="1" ht="15" customHeight="1" x14ac:dyDescent="0.25">
      <c r="A154" s="22" t="s">
        <v>169</v>
      </c>
      <c r="B154" s="23" t="s">
        <v>388</v>
      </c>
      <c r="C154" s="24" t="s">
        <v>389</v>
      </c>
      <c r="D154" s="25">
        <v>530613</v>
      </c>
      <c r="E154" s="26">
        <v>0</v>
      </c>
      <c r="F154" s="42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</row>
    <row r="155" spans="1:62" s="30" customFormat="1" ht="15" customHeight="1" x14ac:dyDescent="0.25">
      <c r="A155" s="22" t="s">
        <v>169</v>
      </c>
      <c r="B155" s="23" t="s">
        <v>390</v>
      </c>
      <c r="C155" s="24" t="s">
        <v>391</v>
      </c>
      <c r="D155" s="25">
        <v>530613</v>
      </c>
      <c r="E155" s="26">
        <v>77339.55</v>
      </c>
      <c r="F155" s="27">
        <v>87195.75</v>
      </c>
      <c r="G155" s="28">
        <v>2</v>
      </c>
      <c r="H155" s="33">
        <v>46127</v>
      </c>
      <c r="I155" s="33">
        <v>46127</v>
      </c>
      <c r="J155" s="33">
        <v>46128</v>
      </c>
      <c r="K155" s="33">
        <v>46128</v>
      </c>
      <c r="L155" s="33">
        <v>46128</v>
      </c>
      <c r="M155" s="33">
        <v>46129</v>
      </c>
      <c r="N155" s="33">
        <v>46132</v>
      </c>
      <c r="O155" s="33">
        <v>46133</v>
      </c>
      <c r="P155" s="33">
        <v>46134</v>
      </c>
      <c r="Q155" s="33">
        <v>46135</v>
      </c>
      <c r="R155" s="33">
        <v>46136</v>
      </c>
      <c r="S155" s="33">
        <v>46136</v>
      </c>
      <c r="T155" s="33">
        <v>46139</v>
      </c>
      <c r="U155" s="33">
        <v>46140</v>
      </c>
      <c r="V155" s="33">
        <v>46141</v>
      </c>
      <c r="W155" s="33">
        <v>46142</v>
      </c>
      <c r="X155" s="33">
        <v>46142</v>
      </c>
      <c r="Y155" s="33">
        <v>46143</v>
      </c>
      <c r="Z155" s="33">
        <v>46143</v>
      </c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>
        <v>46146</v>
      </c>
      <c r="AO155" s="33">
        <v>46147</v>
      </c>
      <c r="AP155" s="33">
        <v>46147</v>
      </c>
      <c r="AQ155" s="33">
        <v>46148</v>
      </c>
      <c r="AR155" s="33">
        <v>46149</v>
      </c>
      <c r="AS155" s="33">
        <v>46150</v>
      </c>
      <c r="AT155" s="33">
        <v>46153</v>
      </c>
      <c r="AU155" s="33">
        <v>46153</v>
      </c>
      <c r="AV155" s="33">
        <v>46155</v>
      </c>
      <c r="AW155" s="33">
        <v>46157</v>
      </c>
      <c r="AX155" s="33">
        <v>46161</v>
      </c>
      <c r="AY155" s="33">
        <v>46162</v>
      </c>
      <c r="AZ155" s="33">
        <v>46163</v>
      </c>
      <c r="BA155" s="33">
        <v>46167</v>
      </c>
      <c r="BB155" s="33">
        <v>46168</v>
      </c>
      <c r="BC155" s="33">
        <v>46168</v>
      </c>
      <c r="BD155" s="33">
        <v>46171</v>
      </c>
      <c r="BE155" s="33">
        <v>46176</v>
      </c>
      <c r="BF155" s="34"/>
      <c r="BG155" s="34" t="s">
        <v>91</v>
      </c>
      <c r="BH155" s="34" t="s">
        <v>193</v>
      </c>
      <c r="BI155" s="34" t="s">
        <v>392</v>
      </c>
      <c r="BJ155" s="34" t="s">
        <v>393</v>
      </c>
    </row>
    <row r="156" spans="1:62" s="30" customFormat="1" ht="15" customHeight="1" x14ac:dyDescent="0.25">
      <c r="A156" s="22" t="s">
        <v>253</v>
      </c>
      <c r="B156" s="23" t="s">
        <v>394</v>
      </c>
      <c r="C156" s="24" t="s">
        <v>395</v>
      </c>
      <c r="D156" s="25">
        <v>630105</v>
      </c>
      <c r="E156" s="26">
        <v>1000</v>
      </c>
      <c r="F156" s="27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</row>
    <row r="157" spans="1:62" s="30" customFormat="1" ht="15" customHeight="1" x14ac:dyDescent="0.25">
      <c r="A157" s="22" t="s">
        <v>169</v>
      </c>
      <c r="B157" s="23" t="s">
        <v>396</v>
      </c>
      <c r="C157" s="24" t="s">
        <v>397</v>
      </c>
      <c r="D157" s="25">
        <v>630207</v>
      </c>
      <c r="E157" s="26">
        <v>9000</v>
      </c>
      <c r="F157" s="35">
        <v>9000</v>
      </c>
      <c r="G157" s="28">
        <v>2</v>
      </c>
      <c r="H157" s="33">
        <v>46148</v>
      </c>
      <c r="I157" s="33">
        <v>46148</v>
      </c>
      <c r="J157" s="33">
        <v>46149</v>
      </c>
      <c r="K157" s="33">
        <v>46149</v>
      </c>
      <c r="L157" s="33">
        <v>46149</v>
      </c>
      <c r="M157" s="33">
        <v>46150</v>
      </c>
      <c r="N157" s="33">
        <v>46153</v>
      </c>
      <c r="O157" s="33">
        <v>46154</v>
      </c>
      <c r="P157" s="33">
        <v>46155</v>
      </c>
      <c r="Q157" s="33">
        <v>46156</v>
      </c>
      <c r="R157" s="33">
        <v>46157</v>
      </c>
      <c r="S157" s="33">
        <v>46157</v>
      </c>
      <c r="T157" s="33">
        <v>46160</v>
      </c>
      <c r="U157" s="33">
        <v>46161</v>
      </c>
      <c r="V157" s="33">
        <v>46162</v>
      </c>
      <c r="W157" s="33">
        <v>46163</v>
      </c>
      <c r="X157" s="33">
        <v>46163</v>
      </c>
      <c r="Y157" s="33">
        <v>46164</v>
      </c>
      <c r="Z157" s="33">
        <v>46164</v>
      </c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>
        <v>46167</v>
      </c>
      <c r="AO157" s="33">
        <v>46168</v>
      </c>
      <c r="AP157" s="33">
        <v>46168</v>
      </c>
      <c r="AQ157" s="33"/>
      <c r="AR157" s="33"/>
      <c r="AS157" s="33"/>
      <c r="AT157" s="33">
        <v>46168</v>
      </c>
      <c r="AU157" s="33">
        <v>46173</v>
      </c>
      <c r="AV157" s="33"/>
      <c r="AW157" s="33"/>
      <c r="AX157" s="33"/>
      <c r="AY157" s="33"/>
      <c r="AZ157" s="33"/>
      <c r="BA157" s="33"/>
      <c r="BB157" s="33"/>
      <c r="BC157" s="33"/>
      <c r="BD157" s="33"/>
      <c r="BE157" s="33">
        <v>46173</v>
      </c>
      <c r="BF157" s="34"/>
      <c r="BG157" s="34" t="s">
        <v>73</v>
      </c>
      <c r="BH157" s="34" t="s">
        <v>74</v>
      </c>
      <c r="BI157" s="34" t="s">
        <v>398</v>
      </c>
      <c r="BJ157" s="34"/>
    </row>
    <row r="158" spans="1:62" s="30" customFormat="1" ht="15" customHeight="1" x14ac:dyDescent="0.25">
      <c r="A158" s="22" t="s">
        <v>67</v>
      </c>
      <c r="B158" s="23" t="s">
        <v>399</v>
      </c>
      <c r="C158" s="24" t="s">
        <v>400</v>
      </c>
      <c r="D158" s="25">
        <v>530105</v>
      </c>
      <c r="E158" s="26">
        <v>1710</v>
      </c>
      <c r="F158" s="27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</row>
    <row r="159" spans="1:62" s="30" customFormat="1" ht="15" customHeight="1" x14ac:dyDescent="0.25">
      <c r="A159" s="22" t="s">
        <v>67</v>
      </c>
      <c r="B159" s="23" t="s">
        <v>401</v>
      </c>
      <c r="C159" s="24" t="s">
        <v>402</v>
      </c>
      <c r="D159" s="25">
        <v>530105</v>
      </c>
      <c r="E159" s="26">
        <v>1400</v>
      </c>
      <c r="F159" s="35">
        <v>1400</v>
      </c>
      <c r="G159" s="28">
        <v>2</v>
      </c>
      <c r="H159" s="33">
        <v>46120</v>
      </c>
      <c r="I159" s="33">
        <v>46120</v>
      </c>
      <c r="J159" s="33">
        <v>46121</v>
      </c>
      <c r="K159" s="33">
        <v>46121</v>
      </c>
      <c r="L159" s="33">
        <v>46121</v>
      </c>
      <c r="M159" s="33">
        <v>46122</v>
      </c>
      <c r="N159" s="33">
        <v>46125</v>
      </c>
      <c r="O159" s="33">
        <v>46126</v>
      </c>
      <c r="P159" s="33">
        <v>46127</v>
      </c>
      <c r="Q159" s="33">
        <v>46128</v>
      </c>
      <c r="R159" s="33">
        <v>46129</v>
      </c>
      <c r="S159" s="33">
        <v>46129</v>
      </c>
      <c r="T159" s="33">
        <v>46132</v>
      </c>
      <c r="U159" s="33">
        <v>46133</v>
      </c>
      <c r="V159" s="33">
        <v>46134</v>
      </c>
      <c r="W159" s="33">
        <v>46135</v>
      </c>
      <c r="X159" s="33">
        <v>46135</v>
      </c>
      <c r="Y159" s="33">
        <v>46136</v>
      </c>
      <c r="Z159" s="33">
        <v>46136</v>
      </c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>
        <v>46139</v>
      </c>
      <c r="AO159" s="33">
        <v>46140</v>
      </c>
      <c r="AP159" s="33">
        <v>46140</v>
      </c>
      <c r="AQ159" s="33"/>
      <c r="AR159" s="33"/>
      <c r="AS159" s="33"/>
      <c r="AT159" s="33">
        <v>46140</v>
      </c>
      <c r="AU159" s="33">
        <v>46146</v>
      </c>
      <c r="AV159" s="33"/>
      <c r="AW159" s="33"/>
      <c r="AX159" s="33"/>
      <c r="AY159" s="33"/>
      <c r="AZ159" s="33"/>
      <c r="BA159" s="33"/>
      <c r="BB159" s="33"/>
      <c r="BC159" s="33"/>
      <c r="BD159" s="33"/>
      <c r="BE159" s="33">
        <v>46146</v>
      </c>
      <c r="BF159" s="34"/>
      <c r="BG159" s="34" t="s">
        <v>73</v>
      </c>
      <c r="BH159" s="34" t="s">
        <v>74</v>
      </c>
      <c r="BI159" s="34" t="s">
        <v>81</v>
      </c>
      <c r="BJ159" s="34"/>
    </row>
    <row r="160" spans="1:62" s="30" customFormat="1" ht="15" customHeight="1" x14ac:dyDescent="0.25">
      <c r="A160" s="22" t="s">
        <v>114</v>
      </c>
      <c r="B160" s="23" t="s">
        <v>403</v>
      </c>
      <c r="C160" s="24" t="s">
        <v>404</v>
      </c>
      <c r="D160" s="25">
        <v>530202</v>
      </c>
      <c r="E160" s="26">
        <v>2000</v>
      </c>
      <c r="F160" s="35">
        <v>0</v>
      </c>
      <c r="G160" s="28">
        <v>0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2"/>
      <c r="BG160" s="32"/>
      <c r="BH160" s="32"/>
      <c r="BI160" s="32"/>
      <c r="BJ160" s="61" t="s">
        <v>70</v>
      </c>
    </row>
    <row r="161" spans="1:62" s="30" customFormat="1" ht="15" customHeight="1" x14ac:dyDescent="0.25">
      <c r="A161" s="22" t="s">
        <v>169</v>
      </c>
      <c r="B161" s="23" t="s">
        <v>405</v>
      </c>
      <c r="C161" s="24" t="s">
        <v>406</v>
      </c>
      <c r="D161" s="25">
        <v>630204</v>
      </c>
      <c r="E161" s="26">
        <v>4000</v>
      </c>
      <c r="F161" s="35">
        <v>4000</v>
      </c>
      <c r="G161" s="28">
        <v>2</v>
      </c>
      <c r="H161" s="33">
        <v>46269</v>
      </c>
      <c r="I161" s="33">
        <v>46269</v>
      </c>
      <c r="J161" s="33">
        <v>46272</v>
      </c>
      <c r="K161" s="33">
        <v>46272</v>
      </c>
      <c r="L161" s="33">
        <v>46272</v>
      </c>
      <c r="M161" s="33">
        <v>46273</v>
      </c>
      <c r="N161" s="33">
        <v>46274</v>
      </c>
      <c r="O161" s="33">
        <v>46275</v>
      </c>
      <c r="P161" s="33">
        <v>46276</v>
      </c>
      <c r="Q161" s="33">
        <v>46279</v>
      </c>
      <c r="R161" s="33">
        <v>46280</v>
      </c>
      <c r="S161" s="33">
        <v>46280</v>
      </c>
      <c r="T161" s="33">
        <v>46281</v>
      </c>
      <c r="U161" s="33">
        <v>46282</v>
      </c>
      <c r="V161" s="33">
        <v>46283</v>
      </c>
      <c r="W161" s="33">
        <v>46286</v>
      </c>
      <c r="X161" s="33">
        <v>46286</v>
      </c>
      <c r="Y161" s="33">
        <v>46287</v>
      </c>
      <c r="Z161" s="33">
        <v>46287</v>
      </c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>
        <v>46288</v>
      </c>
      <c r="AO161" s="33">
        <v>46289</v>
      </c>
      <c r="AP161" s="33">
        <v>46289</v>
      </c>
      <c r="AQ161" s="33"/>
      <c r="AR161" s="33"/>
      <c r="AS161" s="33"/>
      <c r="AT161" s="33">
        <v>46289</v>
      </c>
      <c r="AU161" s="33">
        <v>46295</v>
      </c>
      <c r="AV161" s="33"/>
      <c r="AW161" s="33"/>
      <c r="AX161" s="33"/>
      <c r="AY161" s="33"/>
      <c r="AZ161" s="33"/>
      <c r="BA161" s="33"/>
      <c r="BB161" s="33"/>
      <c r="BC161" s="33"/>
      <c r="BD161" s="33"/>
      <c r="BE161" s="33">
        <v>46295</v>
      </c>
      <c r="BF161" s="34"/>
      <c r="BG161" s="34" t="s">
        <v>73</v>
      </c>
      <c r="BH161" s="34" t="s">
        <v>74</v>
      </c>
      <c r="BI161" s="34" t="s">
        <v>407</v>
      </c>
      <c r="BJ161" s="34"/>
    </row>
    <row r="162" spans="1:62" s="30" customFormat="1" ht="15" customHeight="1" x14ac:dyDescent="0.25">
      <c r="A162" s="22" t="s">
        <v>284</v>
      </c>
      <c r="B162" s="23" t="s">
        <v>408</v>
      </c>
      <c r="C162" s="24" t="s">
        <v>409</v>
      </c>
      <c r="D162" s="25">
        <v>530404</v>
      </c>
      <c r="E162" s="26">
        <v>25000</v>
      </c>
      <c r="F162" s="27">
        <v>0</v>
      </c>
      <c r="G162" s="28">
        <v>0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>
        <v>3</v>
      </c>
      <c r="AW162" s="31">
        <v>5</v>
      </c>
      <c r="AX162" s="31">
        <v>9</v>
      </c>
      <c r="AY162" s="31">
        <v>10</v>
      </c>
      <c r="AZ162" s="31">
        <v>11</v>
      </c>
      <c r="BA162" s="31">
        <v>13</v>
      </c>
      <c r="BB162" s="31">
        <v>16</v>
      </c>
      <c r="BC162" s="31">
        <v>18</v>
      </c>
      <c r="BD162" s="31">
        <v>23</v>
      </c>
      <c r="BE162" s="31"/>
      <c r="BF162" s="32"/>
      <c r="BG162" s="32"/>
      <c r="BH162" s="32"/>
      <c r="BI162" s="32"/>
      <c r="BJ162" s="32" t="s">
        <v>133</v>
      </c>
    </row>
    <row r="163" spans="1:62" s="30" customFormat="1" ht="15" customHeight="1" x14ac:dyDescent="0.25">
      <c r="A163" s="22" t="s">
        <v>67</v>
      </c>
      <c r="B163" s="23" t="s">
        <v>410</v>
      </c>
      <c r="C163" s="24" t="s">
        <v>411</v>
      </c>
      <c r="D163" s="25">
        <v>530105</v>
      </c>
      <c r="E163" s="26">
        <v>19000</v>
      </c>
      <c r="F163" s="27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</row>
    <row r="164" spans="1:62" s="30" customFormat="1" ht="15" customHeight="1" x14ac:dyDescent="0.25">
      <c r="A164" s="22" t="s">
        <v>67</v>
      </c>
      <c r="B164" s="23" t="s">
        <v>412</v>
      </c>
      <c r="C164" s="24" t="s">
        <v>413</v>
      </c>
      <c r="D164" s="25">
        <v>530105</v>
      </c>
      <c r="E164" s="26">
        <v>12500</v>
      </c>
      <c r="F164" s="43">
        <v>12500</v>
      </c>
      <c r="G164" s="28">
        <v>2</v>
      </c>
      <c r="H164" s="33">
        <v>46136</v>
      </c>
      <c r="I164" s="33">
        <v>46136</v>
      </c>
      <c r="J164" s="33">
        <v>46139</v>
      </c>
      <c r="K164" s="33">
        <v>46139</v>
      </c>
      <c r="L164" s="33">
        <v>46139</v>
      </c>
      <c r="M164" s="33">
        <v>46140</v>
      </c>
      <c r="N164" s="33">
        <v>46141</v>
      </c>
      <c r="O164" s="33">
        <v>46142</v>
      </c>
      <c r="P164" s="33">
        <v>46143</v>
      </c>
      <c r="Q164" s="33">
        <v>46146</v>
      </c>
      <c r="R164" s="33">
        <v>46147</v>
      </c>
      <c r="S164" s="33">
        <v>46147</v>
      </c>
      <c r="T164" s="33">
        <v>46148</v>
      </c>
      <c r="U164" s="33">
        <v>46149</v>
      </c>
      <c r="V164" s="33">
        <v>46150</v>
      </c>
      <c r="W164" s="33">
        <v>46153</v>
      </c>
      <c r="X164" s="33">
        <v>46153</v>
      </c>
      <c r="Y164" s="33">
        <v>46154</v>
      </c>
      <c r="Z164" s="33">
        <v>46154</v>
      </c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>
        <v>46155</v>
      </c>
      <c r="AO164" s="33">
        <v>46156</v>
      </c>
      <c r="AP164" s="33">
        <v>46156</v>
      </c>
      <c r="AQ164" s="33">
        <v>46157</v>
      </c>
      <c r="AR164" s="33">
        <v>46160</v>
      </c>
      <c r="AS164" s="33">
        <v>46161</v>
      </c>
      <c r="AT164" s="33">
        <v>46162</v>
      </c>
      <c r="AU164" s="33">
        <v>46162</v>
      </c>
      <c r="AV164" s="33">
        <v>46164</v>
      </c>
      <c r="AW164" s="33">
        <v>46168</v>
      </c>
      <c r="AX164" s="33">
        <v>46170</v>
      </c>
      <c r="AY164" s="33">
        <v>46171</v>
      </c>
      <c r="AZ164" s="33">
        <v>46174</v>
      </c>
      <c r="BA164" s="33">
        <v>46176</v>
      </c>
      <c r="BB164" s="33">
        <v>46177</v>
      </c>
      <c r="BC164" s="33">
        <v>46181</v>
      </c>
      <c r="BD164" s="33">
        <v>46184</v>
      </c>
      <c r="BE164" s="33">
        <v>46189</v>
      </c>
      <c r="BF164" s="34"/>
      <c r="BG164" s="34" t="s">
        <v>91</v>
      </c>
      <c r="BH164" s="34" t="s">
        <v>98</v>
      </c>
      <c r="BI164" s="34" t="s">
        <v>414</v>
      </c>
      <c r="BJ164" s="34"/>
    </row>
    <row r="165" spans="1:62" s="30" customFormat="1" ht="15" customHeight="1" x14ac:dyDescent="0.25">
      <c r="A165" s="22" t="s">
        <v>114</v>
      </c>
      <c r="B165" s="23" t="s">
        <v>415</v>
      </c>
      <c r="C165" s="24" t="s">
        <v>416</v>
      </c>
      <c r="D165" s="25">
        <v>530404</v>
      </c>
      <c r="E165" s="26">
        <v>1000</v>
      </c>
      <c r="F165" s="27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</row>
    <row r="166" spans="1:62" s="30" customFormat="1" ht="14.45" customHeight="1" x14ac:dyDescent="0.25">
      <c r="A166" s="22" t="s">
        <v>67</v>
      </c>
      <c r="B166" s="23" t="s">
        <v>417</v>
      </c>
      <c r="C166" s="24" t="s">
        <v>418</v>
      </c>
      <c r="D166" s="25">
        <v>530704</v>
      </c>
      <c r="E166" s="26">
        <v>1000</v>
      </c>
      <c r="F166" s="35">
        <v>1000</v>
      </c>
      <c r="G166" s="28">
        <v>3</v>
      </c>
      <c r="H166" s="33">
        <v>46307</v>
      </c>
      <c r="I166" s="33">
        <v>46307</v>
      </c>
      <c r="J166" s="33">
        <v>46308</v>
      </c>
      <c r="K166" s="33">
        <v>46308</v>
      </c>
      <c r="L166" s="33">
        <v>46308</v>
      </c>
      <c r="M166" s="33">
        <v>46309</v>
      </c>
      <c r="N166" s="33">
        <v>46310</v>
      </c>
      <c r="O166" s="33">
        <v>46311</v>
      </c>
      <c r="P166" s="33">
        <v>46314</v>
      </c>
      <c r="Q166" s="33">
        <v>46315</v>
      </c>
      <c r="R166" s="33">
        <v>46316</v>
      </c>
      <c r="S166" s="33">
        <v>46316</v>
      </c>
      <c r="T166" s="33">
        <v>46317</v>
      </c>
      <c r="U166" s="33">
        <v>46318</v>
      </c>
      <c r="V166" s="33">
        <v>46321</v>
      </c>
      <c r="W166" s="33">
        <v>46322</v>
      </c>
      <c r="X166" s="33">
        <v>46322</v>
      </c>
      <c r="Y166" s="33">
        <v>46323</v>
      </c>
      <c r="Z166" s="33">
        <v>46323</v>
      </c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>
        <v>46324</v>
      </c>
      <c r="AO166" s="33">
        <v>46325</v>
      </c>
      <c r="AP166" s="33">
        <v>46325</v>
      </c>
      <c r="AQ166" s="33"/>
      <c r="AR166" s="33"/>
      <c r="AS166" s="33"/>
      <c r="AT166" s="33">
        <v>46325</v>
      </c>
      <c r="AU166" s="33">
        <v>46331</v>
      </c>
      <c r="AV166" s="33"/>
      <c r="AW166" s="33"/>
      <c r="AX166" s="33"/>
      <c r="AY166" s="33"/>
      <c r="AZ166" s="33"/>
      <c r="BA166" s="33"/>
      <c r="BB166" s="33"/>
      <c r="BC166" s="33"/>
      <c r="BD166" s="33"/>
      <c r="BE166" s="33">
        <v>46331</v>
      </c>
      <c r="BF166" s="34"/>
      <c r="BG166" s="34" t="s">
        <v>73</v>
      </c>
      <c r="BH166" s="34" t="s">
        <v>74</v>
      </c>
      <c r="BI166" s="34" t="s">
        <v>307</v>
      </c>
      <c r="BJ166" s="34"/>
    </row>
    <row r="167" spans="1:62" s="30" customFormat="1" ht="14.45" customHeight="1" x14ac:dyDescent="0.25">
      <c r="A167" s="22" t="s">
        <v>67</v>
      </c>
      <c r="B167" s="23" t="s">
        <v>419</v>
      </c>
      <c r="C167" s="24" t="s">
        <v>420</v>
      </c>
      <c r="D167" s="25">
        <v>530704</v>
      </c>
      <c r="E167" s="26">
        <v>2000</v>
      </c>
      <c r="F167" s="35">
        <v>2000</v>
      </c>
      <c r="G167" s="28">
        <v>3</v>
      </c>
      <c r="H167" s="33">
        <v>46307</v>
      </c>
      <c r="I167" s="33">
        <v>46307</v>
      </c>
      <c r="J167" s="33">
        <v>46308</v>
      </c>
      <c r="K167" s="33">
        <v>46308</v>
      </c>
      <c r="L167" s="33">
        <v>46308</v>
      </c>
      <c r="M167" s="33">
        <v>46309</v>
      </c>
      <c r="N167" s="33">
        <v>46310</v>
      </c>
      <c r="O167" s="33">
        <v>46311</v>
      </c>
      <c r="P167" s="33">
        <v>46314</v>
      </c>
      <c r="Q167" s="33">
        <v>46315</v>
      </c>
      <c r="R167" s="33">
        <v>46316</v>
      </c>
      <c r="S167" s="33">
        <v>46316</v>
      </c>
      <c r="T167" s="33">
        <v>46317</v>
      </c>
      <c r="U167" s="33">
        <v>46318</v>
      </c>
      <c r="V167" s="33">
        <v>46321</v>
      </c>
      <c r="W167" s="33">
        <v>46322</v>
      </c>
      <c r="X167" s="33">
        <v>46322</v>
      </c>
      <c r="Y167" s="33">
        <v>46323</v>
      </c>
      <c r="Z167" s="33">
        <v>46323</v>
      </c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>
        <v>46324</v>
      </c>
      <c r="AO167" s="33">
        <v>46325</v>
      </c>
      <c r="AP167" s="33">
        <v>46325</v>
      </c>
      <c r="AQ167" s="33"/>
      <c r="AR167" s="33"/>
      <c r="AS167" s="33"/>
      <c r="AT167" s="33">
        <v>46325</v>
      </c>
      <c r="AU167" s="33">
        <v>46331</v>
      </c>
      <c r="AV167" s="33"/>
      <c r="AW167" s="33"/>
      <c r="AX167" s="33"/>
      <c r="AY167" s="33"/>
      <c r="AZ167" s="33"/>
      <c r="BA167" s="33"/>
      <c r="BB167" s="33"/>
      <c r="BC167" s="33"/>
      <c r="BD167" s="33"/>
      <c r="BE167" s="33">
        <v>46331</v>
      </c>
      <c r="BF167" s="34"/>
      <c r="BG167" s="34" t="s">
        <v>73</v>
      </c>
      <c r="BH167" s="34" t="s">
        <v>74</v>
      </c>
      <c r="BI167" s="34" t="s">
        <v>307</v>
      </c>
      <c r="BJ167" s="34"/>
    </row>
    <row r="168" spans="1:62" s="30" customFormat="1" ht="14.45" customHeight="1" x14ac:dyDescent="0.25">
      <c r="A168" s="22" t="s">
        <v>67</v>
      </c>
      <c r="B168" s="23" t="s">
        <v>421</v>
      </c>
      <c r="C168" s="24" t="s">
        <v>422</v>
      </c>
      <c r="D168" s="25">
        <v>530704</v>
      </c>
      <c r="E168" s="26">
        <v>1000</v>
      </c>
      <c r="F168" s="35">
        <v>0</v>
      </c>
      <c r="G168" s="28">
        <v>0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2"/>
      <c r="BG168" s="32"/>
      <c r="BH168" s="32"/>
      <c r="BI168" s="32"/>
      <c r="BJ168" s="32" t="s">
        <v>70</v>
      </c>
    </row>
    <row r="169" spans="1:62" s="30" customFormat="1" ht="14.45" customHeight="1" x14ac:dyDescent="0.25">
      <c r="A169" s="22" t="s">
        <v>67</v>
      </c>
      <c r="B169" s="23" t="s">
        <v>423</v>
      </c>
      <c r="C169" s="24" t="s">
        <v>424</v>
      </c>
      <c r="D169" s="25">
        <v>530704</v>
      </c>
      <c r="E169" s="26">
        <v>1000</v>
      </c>
      <c r="F169" s="35">
        <v>1000</v>
      </c>
      <c r="G169" s="28">
        <v>3</v>
      </c>
      <c r="H169" s="33">
        <v>46307</v>
      </c>
      <c r="I169" s="33">
        <v>46307</v>
      </c>
      <c r="J169" s="33">
        <v>46308</v>
      </c>
      <c r="K169" s="33">
        <v>46308</v>
      </c>
      <c r="L169" s="33">
        <v>46308</v>
      </c>
      <c r="M169" s="33">
        <v>46309</v>
      </c>
      <c r="N169" s="33">
        <v>46310</v>
      </c>
      <c r="O169" s="33">
        <v>46311</v>
      </c>
      <c r="P169" s="33">
        <v>46314</v>
      </c>
      <c r="Q169" s="33">
        <v>46315</v>
      </c>
      <c r="R169" s="33">
        <v>46316</v>
      </c>
      <c r="S169" s="33">
        <v>46316</v>
      </c>
      <c r="T169" s="33">
        <v>46317</v>
      </c>
      <c r="U169" s="33">
        <v>46318</v>
      </c>
      <c r="V169" s="33">
        <v>46321</v>
      </c>
      <c r="W169" s="33">
        <v>46322</v>
      </c>
      <c r="X169" s="33">
        <v>46322</v>
      </c>
      <c r="Y169" s="33">
        <v>46323</v>
      </c>
      <c r="Z169" s="33">
        <v>46323</v>
      </c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>
        <v>46324</v>
      </c>
      <c r="AO169" s="33">
        <v>46325</v>
      </c>
      <c r="AP169" s="33">
        <v>46325</v>
      </c>
      <c r="AQ169" s="33"/>
      <c r="AR169" s="33"/>
      <c r="AS169" s="33"/>
      <c r="AT169" s="33">
        <v>46325</v>
      </c>
      <c r="AU169" s="33">
        <v>46331</v>
      </c>
      <c r="AV169" s="33"/>
      <c r="AW169" s="33"/>
      <c r="AX169" s="33"/>
      <c r="AY169" s="33"/>
      <c r="AZ169" s="33"/>
      <c r="BA169" s="33"/>
      <c r="BB169" s="33"/>
      <c r="BC169" s="33"/>
      <c r="BD169" s="33"/>
      <c r="BE169" s="33">
        <v>46331</v>
      </c>
      <c r="BF169" s="34"/>
      <c r="BG169" s="34" t="s">
        <v>73</v>
      </c>
      <c r="BH169" s="34" t="s">
        <v>74</v>
      </c>
      <c r="BI169" s="34" t="s">
        <v>75</v>
      </c>
      <c r="BJ169" s="34"/>
    </row>
    <row r="170" spans="1:62" s="30" customFormat="1" ht="14.45" customHeight="1" x14ac:dyDescent="0.25">
      <c r="A170" s="22" t="s">
        <v>67</v>
      </c>
      <c r="B170" s="23" t="s">
        <v>425</v>
      </c>
      <c r="C170" s="24" t="s">
        <v>426</v>
      </c>
      <c r="D170" s="25">
        <v>530704</v>
      </c>
      <c r="E170" s="26">
        <v>1100</v>
      </c>
      <c r="F170" s="35">
        <v>1100</v>
      </c>
      <c r="G170" s="28">
        <v>3</v>
      </c>
      <c r="H170" s="33">
        <v>46307</v>
      </c>
      <c r="I170" s="33">
        <v>46307</v>
      </c>
      <c r="J170" s="33">
        <v>46308</v>
      </c>
      <c r="K170" s="33">
        <v>46308</v>
      </c>
      <c r="L170" s="33">
        <v>46308</v>
      </c>
      <c r="M170" s="33">
        <v>46309</v>
      </c>
      <c r="N170" s="33">
        <v>46310</v>
      </c>
      <c r="O170" s="33">
        <v>46311</v>
      </c>
      <c r="P170" s="33">
        <v>46314</v>
      </c>
      <c r="Q170" s="33">
        <v>46315</v>
      </c>
      <c r="R170" s="33">
        <v>46316</v>
      </c>
      <c r="S170" s="33">
        <v>46316</v>
      </c>
      <c r="T170" s="33">
        <v>46317</v>
      </c>
      <c r="U170" s="33">
        <v>46318</v>
      </c>
      <c r="V170" s="33">
        <v>46321</v>
      </c>
      <c r="W170" s="33">
        <v>46322</v>
      </c>
      <c r="X170" s="33">
        <v>46322</v>
      </c>
      <c r="Y170" s="33">
        <v>46323</v>
      </c>
      <c r="Z170" s="33">
        <v>46323</v>
      </c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>
        <v>46324</v>
      </c>
      <c r="AO170" s="33">
        <v>46325</v>
      </c>
      <c r="AP170" s="33">
        <v>46325</v>
      </c>
      <c r="AQ170" s="33"/>
      <c r="AR170" s="33"/>
      <c r="AS170" s="33"/>
      <c r="AT170" s="33">
        <v>46325</v>
      </c>
      <c r="AU170" s="33">
        <v>46331</v>
      </c>
      <c r="AV170" s="33"/>
      <c r="AW170" s="33"/>
      <c r="AX170" s="33"/>
      <c r="AY170" s="33"/>
      <c r="AZ170" s="33"/>
      <c r="BA170" s="33"/>
      <c r="BB170" s="33"/>
      <c r="BC170" s="33"/>
      <c r="BD170" s="33"/>
      <c r="BE170" s="33">
        <v>46331</v>
      </c>
      <c r="BF170" s="34"/>
      <c r="BG170" s="34" t="s">
        <v>73</v>
      </c>
      <c r="BH170" s="34" t="s">
        <v>74</v>
      </c>
      <c r="BI170" s="34" t="s">
        <v>75</v>
      </c>
      <c r="BJ170" s="34"/>
    </row>
    <row r="171" spans="1:62" s="30" customFormat="1" ht="14.45" customHeight="1" x14ac:dyDescent="0.25">
      <c r="A171" s="22" t="s">
        <v>67</v>
      </c>
      <c r="B171" s="23" t="s">
        <v>427</v>
      </c>
      <c r="C171" s="24" t="s">
        <v>428</v>
      </c>
      <c r="D171" s="25">
        <v>530704</v>
      </c>
      <c r="E171" s="26">
        <v>1000</v>
      </c>
      <c r="F171" s="27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</row>
    <row r="172" spans="1:62" s="30" customFormat="1" ht="14.45" customHeight="1" x14ac:dyDescent="0.25">
      <c r="A172" s="22" t="s">
        <v>67</v>
      </c>
      <c r="B172" s="23" t="s">
        <v>429</v>
      </c>
      <c r="C172" s="24" t="s">
        <v>430</v>
      </c>
      <c r="D172" s="25">
        <v>530704</v>
      </c>
      <c r="E172" s="26">
        <v>10000</v>
      </c>
      <c r="F172" s="35">
        <v>10000</v>
      </c>
      <c r="G172" s="28">
        <v>3</v>
      </c>
      <c r="H172" s="33">
        <v>46307</v>
      </c>
      <c r="I172" s="33">
        <v>46307</v>
      </c>
      <c r="J172" s="33">
        <v>46308</v>
      </c>
      <c r="K172" s="33">
        <v>46308</v>
      </c>
      <c r="L172" s="33">
        <v>46308</v>
      </c>
      <c r="M172" s="33">
        <v>46309</v>
      </c>
      <c r="N172" s="33">
        <v>46310</v>
      </c>
      <c r="O172" s="33">
        <v>46311</v>
      </c>
      <c r="P172" s="33">
        <v>46314</v>
      </c>
      <c r="Q172" s="33">
        <v>46315</v>
      </c>
      <c r="R172" s="33">
        <v>46316</v>
      </c>
      <c r="S172" s="33">
        <v>46316</v>
      </c>
      <c r="T172" s="33">
        <v>46317</v>
      </c>
      <c r="U172" s="33">
        <v>46318</v>
      </c>
      <c r="V172" s="33">
        <v>46321</v>
      </c>
      <c r="W172" s="33">
        <v>46322</v>
      </c>
      <c r="X172" s="33">
        <v>46322</v>
      </c>
      <c r="Y172" s="33">
        <v>46323</v>
      </c>
      <c r="Z172" s="33">
        <v>46323</v>
      </c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>
        <v>46324</v>
      </c>
      <c r="AO172" s="33">
        <v>46325</v>
      </c>
      <c r="AP172" s="33">
        <v>46325</v>
      </c>
      <c r="AQ172" s="33"/>
      <c r="AR172" s="33"/>
      <c r="AS172" s="33"/>
      <c r="AT172" s="33">
        <v>46325</v>
      </c>
      <c r="AU172" s="33">
        <v>46331</v>
      </c>
      <c r="AV172" s="33"/>
      <c r="AW172" s="33"/>
      <c r="AX172" s="33"/>
      <c r="AY172" s="33"/>
      <c r="AZ172" s="33"/>
      <c r="BA172" s="33"/>
      <c r="BB172" s="33"/>
      <c r="BC172" s="33"/>
      <c r="BD172" s="33"/>
      <c r="BE172" s="33">
        <v>46331</v>
      </c>
      <c r="BF172" s="34"/>
      <c r="BG172" s="34" t="s">
        <v>73</v>
      </c>
      <c r="BH172" s="34" t="s">
        <v>74</v>
      </c>
      <c r="BI172" s="34" t="s">
        <v>75</v>
      </c>
      <c r="BJ172" s="34" t="s">
        <v>431</v>
      </c>
    </row>
    <row r="173" spans="1:62" s="30" customFormat="1" ht="14.45" customHeight="1" x14ac:dyDescent="0.25">
      <c r="A173" s="22" t="s">
        <v>114</v>
      </c>
      <c r="B173" s="23" t="s">
        <v>432</v>
      </c>
      <c r="C173" s="24" t="s">
        <v>433</v>
      </c>
      <c r="D173" s="25">
        <v>530404</v>
      </c>
      <c r="E173" s="26">
        <v>1000</v>
      </c>
      <c r="F173" s="27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</row>
    <row r="174" spans="1:62" s="30" customFormat="1" ht="14.45" customHeight="1" x14ac:dyDescent="0.25">
      <c r="A174" s="22" t="s">
        <v>236</v>
      </c>
      <c r="B174" s="23" t="s">
        <v>434</v>
      </c>
      <c r="C174" s="24" t="s">
        <v>435</v>
      </c>
      <c r="D174" s="25">
        <v>530201</v>
      </c>
      <c r="E174" s="26">
        <v>2500</v>
      </c>
      <c r="F174" s="27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</row>
    <row r="175" spans="1:62" s="30" customFormat="1" ht="14.45" customHeight="1" x14ac:dyDescent="0.25">
      <c r="A175" s="22" t="s">
        <v>114</v>
      </c>
      <c r="B175" s="23" t="s">
        <v>436</v>
      </c>
      <c r="C175" s="24" t="s">
        <v>437</v>
      </c>
      <c r="D175" s="36">
        <v>530255</v>
      </c>
      <c r="E175" s="26">
        <v>6000</v>
      </c>
      <c r="F175" s="49">
        <v>6000</v>
      </c>
      <c r="G175" s="24">
        <v>1</v>
      </c>
      <c r="H175" s="33">
        <v>46078</v>
      </c>
      <c r="I175" s="33">
        <v>46078</v>
      </c>
      <c r="J175" s="33">
        <v>46079</v>
      </c>
      <c r="K175" s="33">
        <v>46079</v>
      </c>
      <c r="L175" s="33">
        <v>46079</v>
      </c>
      <c r="M175" s="33">
        <v>46080</v>
      </c>
      <c r="N175" s="33">
        <v>46083</v>
      </c>
      <c r="O175" s="33">
        <v>46084</v>
      </c>
      <c r="P175" s="33">
        <v>46085</v>
      </c>
      <c r="Q175" s="33">
        <v>46086</v>
      </c>
      <c r="R175" s="33">
        <v>46087</v>
      </c>
      <c r="S175" s="33">
        <v>46087</v>
      </c>
      <c r="T175" s="33">
        <v>46090</v>
      </c>
      <c r="U175" s="33">
        <v>46091</v>
      </c>
      <c r="V175" s="33">
        <v>46092</v>
      </c>
      <c r="W175" s="33">
        <v>46093</v>
      </c>
      <c r="X175" s="33">
        <v>46093</v>
      </c>
      <c r="Y175" s="33">
        <v>46094</v>
      </c>
      <c r="Z175" s="33">
        <v>46094</v>
      </c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>
        <v>46097</v>
      </c>
      <c r="AO175" s="33">
        <v>46098</v>
      </c>
      <c r="AP175" s="33">
        <v>46098</v>
      </c>
      <c r="AQ175" s="33"/>
      <c r="AR175" s="33"/>
      <c r="AS175" s="33"/>
      <c r="AT175" s="33">
        <v>46098</v>
      </c>
      <c r="AU175" s="33">
        <v>46104</v>
      </c>
      <c r="AV175" s="33"/>
      <c r="AW175" s="33"/>
      <c r="AX175" s="33"/>
      <c r="AY175" s="33"/>
      <c r="AZ175" s="33"/>
      <c r="BA175" s="33"/>
      <c r="BB175" s="33"/>
      <c r="BC175" s="33"/>
      <c r="BD175" s="33"/>
      <c r="BE175" s="33">
        <v>46104</v>
      </c>
      <c r="BF175" s="34"/>
      <c r="BG175" s="34" t="s">
        <v>73</v>
      </c>
      <c r="BH175" s="34" t="s">
        <v>74</v>
      </c>
      <c r="BI175" s="34" t="s">
        <v>123</v>
      </c>
      <c r="BJ175" s="34" t="s">
        <v>233</v>
      </c>
    </row>
    <row r="176" spans="1:62" s="30" customFormat="1" ht="14.45" customHeight="1" x14ac:dyDescent="0.25">
      <c r="A176" s="22" t="s">
        <v>114</v>
      </c>
      <c r="B176" s="23" t="s">
        <v>438</v>
      </c>
      <c r="C176" s="24" t="s">
        <v>439</v>
      </c>
      <c r="D176" s="25">
        <v>570199</v>
      </c>
      <c r="E176" s="26">
        <v>900</v>
      </c>
      <c r="F176" s="27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</row>
    <row r="177" spans="1:62" s="30" customFormat="1" ht="14.45" customHeight="1" x14ac:dyDescent="0.25">
      <c r="A177" s="22" t="s">
        <v>114</v>
      </c>
      <c r="B177" s="23" t="s">
        <v>440</v>
      </c>
      <c r="C177" s="24" t="s">
        <v>441</v>
      </c>
      <c r="D177" s="25">
        <v>530255</v>
      </c>
      <c r="E177" s="26">
        <v>6600</v>
      </c>
      <c r="F177" s="27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</row>
    <row r="178" spans="1:62" s="30" customFormat="1" ht="14.45" customHeight="1" x14ac:dyDescent="0.25">
      <c r="A178" s="22" t="s">
        <v>114</v>
      </c>
      <c r="B178" s="23" t="s">
        <v>442</v>
      </c>
      <c r="C178" s="24" t="s">
        <v>443</v>
      </c>
      <c r="D178" s="36">
        <v>530105</v>
      </c>
      <c r="E178" s="26">
        <v>283</v>
      </c>
      <c r="F178" s="49">
        <v>283</v>
      </c>
      <c r="G178" s="24">
        <v>1</v>
      </c>
      <c r="H178" s="33">
        <v>46118</v>
      </c>
      <c r="I178" s="33">
        <v>46119</v>
      </c>
      <c r="J178" s="33">
        <v>46125</v>
      </c>
      <c r="K178" s="33">
        <v>46125</v>
      </c>
      <c r="L178" s="33">
        <v>46125</v>
      </c>
      <c r="M178" s="33">
        <v>46126</v>
      </c>
      <c r="N178" s="33">
        <v>46127</v>
      </c>
      <c r="O178" s="33">
        <v>46127</v>
      </c>
      <c r="P178" s="33">
        <v>46128</v>
      </c>
      <c r="Q178" s="33">
        <v>46189</v>
      </c>
      <c r="R178" s="33">
        <v>46128</v>
      </c>
      <c r="S178" s="33">
        <v>46129</v>
      </c>
      <c r="T178" s="33">
        <v>46133</v>
      </c>
      <c r="U178" s="33">
        <v>46134</v>
      </c>
      <c r="V178" s="33">
        <v>46135</v>
      </c>
      <c r="W178" s="33">
        <v>46135</v>
      </c>
      <c r="X178" s="33">
        <v>46136</v>
      </c>
      <c r="Y178" s="33">
        <v>46139</v>
      </c>
      <c r="Z178" s="33">
        <v>46139</v>
      </c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>
        <v>46098</v>
      </c>
      <c r="AO178" s="33">
        <v>46099</v>
      </c>
      <c r="AP178" s="33">
        <v>46099</v>
      </c>
      <c r="AQ178" s="33"/>
      <c r="AR178" s="33"/>
      <c r="AS178" s="33"/>
      <c r="AT178" s="33">
        <v>46099</v>
      </c>
      <c r="AU178" s="33">
        <v>46105</v>
      </c>
      <c r="AV178" s="33"/>
      <c r="AW178" s="33"/>
      <c r="AX178" s="33"/>
      <c r="AY178" s="33"/>
      <c r="AZ178" s="33"/>
      <c r="BA178" s="33"/>
      <c r="BB178" s="33"/>
      <c r="BC178" s="33"/>
      <c r="BD178" s="33"/>
      <c r="BE178" s="33">
        <v>46105</v>
      </c>
      <c r="BF178" s="34"/>
      <c r="BG178" s="34" t="s">
        <v>73</v>
      </c>
      <c r="BH178" s="34" t="s">
        <v>74</v>
      </c>
      <c r="BI178" s="34" t="s">
        <v>123</v>
      </c>
      <c r="BJ178" s="34" t="s">
        <v>82</v>
      </c>
    </row>
    <row r="179" spans="1:62" s="30" customFormat="1" ht="14.45" customHeight="1" x14ac:dyDescent="0.25">
      <c r="A179" s="22" t="s">
        <v>239</v>
      </c>
      <c r="B179" s="23" t="s">
        <v>444</v>
      </c>
      <c r="C179" s="24" t="s">
        <v>445</v>
      </c>
      <c r="D179" s="25">
        <v>630207</v>
      </c>
      <c r="E179" s="26">
        <v>293975</v>
      </c>
      <c r="F179" s="27">
        <v>1127950</v>
      </c>
      <c r="G179" s="28">
        <v>1</v>
      </c>
      <c r="H179" s="62">
        <v>46064</v>
      </c>
      <c r="I179" s="62">
        <v>46065</v>
      </c>
      <c r="J179" s="62">
        <v>46080</v>
      </c>
      <c r="K179" s="62">
        <v>46080</v>
      </c>
      <c r="L179" s="62">
        <v>46080</v>
      </c>
      <c r="M179" s="62">
        <v>46080</v>
      </c>
      <c r="N179" s="62">
        <v>46080</v>
      </c>
      <c r="O179" s="62">
        <v>46083</v>
      </c>
      <c r="P179" s="62">
        <v>46083</v>
      </c>
      <c r="Q179" s="62">
        <v>46084</v>
      </c>
      <c r="R179" s="62">
        <v>46084</v>
      </c>
      <c r="S179" s="62">
        <v>46085</v>
      </c>
      <c r="T179" s="62">
        <v>46085</v>
      </c>
      <c r="U179" s="63">
        <v>46090</v>
      </c>
      <c r="V179" s="63">
        <v>46091</v>
      </c>
      <c r="W179" s="63">
        <v>46091</v>
      </c>
      <c r="X179" s="63">
        <v>46092</v>
      </c>
      <c r="Y179" s="34"/>
      <c r="Z179" s="34"/>
      <c r="AA179" s="34"/>
      <c r="AB179" s="34"/>
      <c r="AC179" s="34"/>
      <c r="AD179" s="34"/>
      <c r="AE179" s="63">
        <v>46092</v>
      </c>
      <c r="AF179" s="64">
        <v>46101</v>
      </c>
      <c r="AG179" s="64">
        <v>46101</v>
      </c>
      <c r="AH179" s="64">
        <v>46139</v>
      </c>
      <c r="AI179" s="64">
        <v>46142</v>
      </c>
      <c r="AJ179" s="64">
        <v>46142</v>
      </c>
      <c r="AK179" s="64">
        <v>46154</v>
      </c>
      <c r="AL179" s="34"/>
      <c r="AM179" s="34"/>
      <c r="AN179" s="64">
        <v>46154</v>
      </c>
      <c r="AO179" s="64">
        <v>46154</v>
      </c>
      <c r="AP179" s="64">
        <v>46155</v>
      </c>
      <c r="AQ179" s="64">
        <v>46156</v>
      </c>
      <c r="AR179" s="64">
        <v>46156</v>
      </c>
      <c r="AS179" s="64">
        <v>46157</v>
      </c>
      <c r="AT179" s="64">
        <v>46157</v>
      </c>
      <c r="AU179" s="64">
        <v>46157</v>
      </c>
      <c r="AV179" s="64">
        <v>46167</v>
      </c>
      <c r="AW179" s="64">
        <v>46174</v>
      </c>
      <c r="AX179" s="64">
        <v>46175</v>
      </c>
      <c r="AY179" s="64">
        <v>46176</v>
      </c>
      <c r="AZ179" s="64">
        <v>46178</v>
      </c>
      <c r="BA179" s="64">
        <v>46178</v>
      </c>
      <c r="BB179" s="64">
        <v>46178</v>
      </c>
      <c r="BC179" s="64">
        <v>46178</v>
      </c>
      <c r="BD179" s="64">
        <v>46183</v>
      </c>
      <c r="BE179" s="64">
        <v>46196</v>
      </c>
      <c r="BF179" s="64"/>
      <c r="BG179" s="64" t="s">
        <v>73</v>
      </c>
      <c r="BH179" s="34" t="s">
        <v>446</v>
      </c>
      <c r="BI179" s="34" t="s">
        <v>99</v>
      </c>
      <c r="BJ179" s="45" t="s">
        <v>447</v>
      </c>
    </row>
    <row r="180" spans="1:62" s="30" customFormat="1" ht="14.45" customHeight="1" x14ac:dyDescent="0.25">
      <c r="A180" s="22" t="s">
        <v>95</v>
      </c>
      <c r="B180" s="23" t="s">
        <v>444</v>
      </c>
      <c r="C180" s="24" t="s">
        <v>448</v>
      </c>
      <c r="D180" s="25">
        <v>630207</v>
      </c>
      <c r="E180" s="26">
        <v>125000</v>
      </c>
      <c r="F180" s="27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</row>
    <row r="181" spans="1:62" s="30" customFormat="1" ht="14.45" customHeight="1" x14ac:dyDescent="0.25">
      <c r="A181" s="22" t="s">
        <v>239</v>
      </c>
      <c r="B181" s="23" t="s">
        <v>449</v>
      </c>
      <c r="C181" s="24" t="s">
        <v>450</v>
      </c>
      <c r="D181" s="25">
        <v>630207</v>
      </c>
      <c r="E181" s="65">
        <v>350000</v>
      </c>
      <c r="F181" s="27">
        <v>1057000</v>
      </c>
      <c r="G181" s="28">
        <v>1</v>
      </c>
      <c r="H181" s="66">
        <v>46072</v>
      </c>
      <c r="I181" s="66">
        <v>46073</v>
      </c>
      <c r="J181" s="66">
        <v>46079</v>
      </c>
      <c r="K181" s="66">
        <v>46079</v>
      </c>
      <c r="L181" s="66">
        <v>46079</v>
      </c>
      <c r="M181" s="66">
        <v>46079</v>
      </c>
      <c r="N181" s="66">
        <v>46079</v>
      </c>
      <c r="O181" s="66">
        <v>46079</v>
      </c>
      <c r="P181" s="66">
        <v>46080</v>
      </c>
      <c r="Q181" s="66">
        <v>46080</v>
      </c>
      <c r="R181" s="66">
        <v>46080</v>
      </c>
      <c r="S181" s="66">
        <v>46080</v>
      </c>
      <c r="T181" s="66">
        <v>46080</v>
      </c>
      <c r="U181" s="67">
        <v>46090</v>
      </c>
      <c r="V181" s="67">
        <v>46091</v>
      </c>
      <c r="W181" s="67">
        <v>46091</v>
      </c>
      <c r="X181" s="67">
        <v>46092</v>
      </c>
      <c r="Y181" s="68"/>
      <c r="Z181" s="68"/>
      <c r="AA181" s="68"/>
      <c r="AB181" s="68"/>
      <c r="AC181" s="68"/>
      <c r="AD181" s="68"/>
      <c r="AE181" s="67">
        <v>46092</v>
      </c>
      <c r="AF181" s="68">
        <v>46101</v>
      </c>
      <c r="AG181" s="68">
        <v>46101</v>
      </c>
      <c r="AH181" s="68">
        <v>46139</v>
      </c>
      <c r="AI181" s="68">
        <v>46142</v>
      </c>
      <c r="AJ181" s="68">
        <v>46142</v>
      </c>
      <c r="AK181" s="68">
        <v>46154</v>
      </c>
      <c r="AL181" s="68"/>
      <c r="AM181" s="68"/>
      <c r="AN181" s="68">
        <v>46154</v>
      </c>
      <c r="AO181" s="68">
        <v>46154</v>
      </c>
      <c r="AP181" s="68">
        <v>46155</v>
      </c>
      <c r="AQ181" s="68">
        <v>46156</v>
      </c>
      <c r="AR181" s="68">
        <v>46156</v>
      </c>
      <c r="AS181" s="68">
        <v>46157</v>
      </c>
      <c r="AT181" s="68">
        <v>46157</v>
      </c>
      <c r="AU181" s="68">
        <v>46157</v>
      </c>
      <c r="AV181" s="68">
        <v>46167</v>
      </c>
      <c r="AW181" s="68">
        <v>46174</v>
      </c>
      <c r="AX181" s="68">
        <v>46175</v>
      </c>
      <c r="AY181" s="68">
        <v>46176</v>
      </c>
      <c r="AZ181" s="68">
        <v>46178</v>
      </c>
      <c r="BA181" s="68">
        <v>46178</v>
      </c>
      <c r="BB181" s="68">
        <v>46178</v>
      </c>
      <c r="BC181" s="68">
        <v>46178</v>
      </c>
      <c r="BD181" s="68">
        <v>46183</v>
      </c>
      <c r="BE181" s="68">
        <v>46196</v>
      </c>
      <c r="BF181" s="34"/>
      <c r="BG181" s="34" t="s">
        <v>73</v>
      </c>
      <c r="BH181" s="34" t="s">
        <v>446</v>
      </c>
      <c r="BI181" s="34" t="s">
        <v>451</v>
      </c>
      <c r="BJ181" s="45" t="s">
        <v>452</v>
      </c>
    </row>
    <row r="182" spans="1:62" s="30" customFormat="1" ht="14.45" customHeight="1" x14ac:dyDescent="0.25">
      <c r="A182" s="22" t="s">
        <v>95</v>
      </c>
      <c r="B182" s="23" t="s">
        <v>449</v>
      </c>
      <c r="C182" s="24" t="s">
        <v>453</v>
      </c>
      <c r="D182" s="25">
        <v>630207</v>
      </c>
      <c r="E182" s="26">
        <v>33500</v>
      </c>
      <c r="F182" s="27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</row>
    <row r="183" spans="1:62" s="30" customFormat="1" ht="14.45" customHeight="1" x14ac:dyDescent="0.25">
      <c r="A183" s="22" t="s">
        <v>114</v>
      </c>
      <c r="B183" s="23" t="s">
        <v>454</v>
      </c>
      <c r="C183" s="24" t="s">
        <v>455</v>
      </c>
      <c r="D183" s="25">
        <v>530208</v>
      </c>
      <c r="E183" s="26">
        <v>96030</v>
      </c>
      <c r="F183" s="27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</row>
    <row r="184" spans="1:62" s="30" customFormat="1" ht="14.45" customHeight="1" x14ac:dyDescent="0.25">
      <c r="A184" s="22" t="s">
        <v>114</v>
      </c>
      <c r="B184" s="23" t="s">
        <v>456</v>
      </c>
      <c r="C184" s="24" t="s">
        <v>457</v>
      </c>
      <c r="D184" s="25">
        <v>530208</v>
      </c>
      <c r="E184" s="26">
        <v>76980</v>
      </c>
      <c r="F184" s="27">
        <v>201453</v>
      </c>
      <c r="G184" s="28">
        <v>2</v>
      </c>
      <c r="H184" s="33">
        <v>46118</v>
      </c>
      <c r="I184" s="33">
        <v>46118</v>
      </c>
      <c r="J184" s="33">
        <v>46119</v>
      </c>
      <c r="K184" s="33">
        <v>46119</v>
      </c>
      <c r="L184" s="33">
        <v>46119</v>
      </c>
      <c r="M184" s="33">
        <v>46120</v>
      </c>
      <c r="N184" s="33">
        <v>46121</v>
      </c>
      <c r="O184" s="33">
        <v>46122</v>
      </c>
      <c r="P184" s="33">
        <v>46125</v>
      </c>
      <c r="Q184" s="33">
        <v>46126</v>
      </c>
      <c r="R184" s="33">
        <v>46127</v>
      </c>
      <c r="S184" s="33">
        <v>46127</v>
      </c>
      <c r="T184" s="33">
        <v>46128</v>
      </c>
      <c r="U184" s="33">
        <v>46129</v>
      </c>
      <c r="V184" s="33">
        <v>46132</v>
      </c>
      <c r="W184" s="33">
        <v>46133</v>
      </c>
      <c r="X184" s="33">
        <v>46133</v>
      </c>
      <c r="Y184" s="33">
        <v>46134</v>
      </c>
      <c r="Z184" s="33">
        <v>46134</v>
      </c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>
        <v>46135</v>
      </c>
      <c r="AO184" s="33">
        <v>46136</v>
      </c>
      <c r="AP184" s="33">
        <v>46136</v>
      </c>
      <c r="AQ184" s="33">
        <v>46139</v>
      </c>
      <c r="AR184" s="33">
        <v>46140</v>
      </c>
      <c r="AS184" s="33">
        <v>46141</v>
      </c>
      <c r="AT184" s="33">
        <v>46142</v>
      </c>
      <c r="AU184" s="33">
        <v>46142</v>
      </c>
      <c r="AV184" s="33"/>
      <c r="AW184" s="33"/>
      <c r="AX184" s="33"/>
      <c r="AY184" s="33"/>
      <c r="AZ184" s="33"/>
      <c r="BA184" s="33"/>
      <c r="BB184" s="33"/>
      <c r="BC184" s="33"/>
      <c r="BD184" s="33">
        <v>46147</v>
      </c>
      <c r="BE184" s="33">
        <v>46147</v>
      </c>
      <c r="BF184" s="34"/>
      <c r="BG184" s="34" t="s">
        <v>91</v>
      </c>
      <c r="BH184" s="34" t="s">
        <v>105</v>
      </c>
      <c r="BI184" s="34" t="s">
        <v>123</v>
      </c>
      <c r="BJ184" s="34"/>
    </row>
    <row r="185" spans="1:62" s="30" customFormat="1" ht="14.45" customHeight="1" x14ac:dyDescent="0.25">
      <c r="A185" s="22" t="s">
        <v>67</v>
      </c>
      <c r="B185" s="23" t="s">
        <v>458</v>
      </c>
      <c r="C185" s="24" t="s">
        <v>459</v>
      </c>
      <c r="D185" s="25">
        <v>530704</v>
      </c>
      <c r="E185" s="26">
        <v>0</v>
      </c>
      <c r="F185" s="35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</row>
    <row r="186" spans="1:62" s="30" customFormat="1" ht="14.45" customHeight="1" x14ac:dyDescent="0.25">
      <c r="A186" s="22" t="s">
        <v>169</v>
      </c>
      <c r="B186" s="23" t="s">
        <v>460</v>
      </c>
      <c r="C186" s="24" t="s">
        <v>461</v>
      </c>
      <c r="D186" s="25">
        <v>630201</v>
      </c>
      <c r="E186" s="26">
        <v>70000</v>
      </c>
      <c r="F186" s="27">
        <v>60500</v>
      </c>
      <c r="G186" s="28">
        <v>2</v>
      </c>
      <c r="H186" s="33">
        <v>46121</v>
      </c>
      <c r="I186" s="33">
        <v>46121</v>
      </c>
      <c r="J186" s="33">
        <v>46122</v>
      </c>
      <c r="K186" s="33">
        <v>46122</v>
      </c>
      <c r="L186" s="33">
        <v>46122</v>
      </c>
      <c r="M186" s="33">
        <v>46125</v>
      </c>
      <c r="N186" s="33">
        <v>46126</v>
      </c>
      <c r="O186" s="33">
        <v>46127</v>
      </c>
      <c r="P186" s="33">
        <v>46128</v>
      </c>
      <c r="Q186" s="33">
        <v>46129</v>
      </c>
      <c r="R186" s="33">
        <v>46132</v>
      </c>
      <c r="S186" s="33">
        <v>46132</v>
      </c>
      <c r="T186" s="33">
        <v>46133</v>
      </c>
      <c r="U186" s="33">
        <v>46134</v>
      </c>
      <c r="V186" s="33">
        <v>46135</v>
      </c>
      <c r="W186" s="33">
        <v>46136</v>
      </c>
      <c r="X186" s="33">
        <v>46136</v>
      </c>
      <c r="Y186" s="33">
        <v>46139</v>
      </c>
      <c r="Z186" s="33">
        <v>46139</v>
      </c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>
        <v>46140</v>
      </c>
      <c r="AO186" s="33">
        <v>46141</v>
      </c>
      <c r="AP186" s="33">
        <v>46141</v>
      </c>
      <c r="AQ186" s="33">
        <v>46142</v>
      </c>
      <c r="AR186" s="33">
        <v>46143</v>
      </c>
      <c r="AS186" s="33">
        <v>46146</v>
      </c>
      <c r="AT186" s="33">
        <v>46147</v>
      </c>
      <c r="AU186" s="33">
        <v>46147</v>
      </c>
      <c r="AV186" s="33">
        <v>46149</v>
      </c>
      <c r="AW186" s="33">
        <v>46153</v>
      </c>
      <c r="AX186" s="33">
        <v>46155</v>
      </c>
      <c r="AY186" s="33">
        <v>46156</v>
      </c>
      <c r="AZ186" s="33">
        <v>46157</v>
      </c>
      <c r="BA186" s="33">
        <v>46161</v>
      </c>
      <c r="BB186" s="33">
        <v>46162</v>
      </c>
      <c r="BC186" s="33">
        <v>46162</v>
      </c>
      <c r="BD186" s="33">
        <v>46167</v>
      </c>
      <c r="BE186" s="33">
        <v>46170</v>
      </c>
      <c r="BF186" s="34"/>
      <c r="BG186" s="34" t="s">
        <v>91</v>
      </c>
      <c r="BH186" s="34" t="s">
        <v>228</v>
      </c>
      <c r="BI186" s="34" t="s">
        <v>407</v>
      </c>
      <c r="BJ186" s="34" t="s">
        <v>462</v>
      </c>
    </row>
    <row r="187" spans="1:62" s="30" customFormat="1" ht="14.45" customHeight="1" x14ac:dyDescent="0.25">
      <c r="A187" s="22" t="s">
        <v>284</v>
      </c>
      <c r="B187" s="23" t="s">
        <v>463</v>
      </c>
      <c r="C187" s="24" t="s">
        <v>464</v>
      </c>
      <c r="D187" s="25">
        <v>530241</v>
      </c>
      <c r="E187" s="26">
        <v>1026</v>
      </c>
      <c r="F187" s="27"/>
      <c r="G187" s="28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</row>
    <row r="188" spans="1:62" s="30" customFormat="1" ht="14.45" customHeight="1" x14ac:dyDescent="0.25">
      <c r="A188" s="22" t="s">
        <v>284</v>
      </c>
      <c r="B188" s="23" t="s">
        <v>465</v>
      </c>
      <c r="C188" s="24" t="s">
        <v>466</v>
      </c>
      <c r="D188" s="25">
        <v>530241</v>
      </c>
      <c r="E188" s="26">
        <v>3500</v>
      </c>
      <c r="F188" s="35">
        <v>3500</v>
      </c>
      <c r="G188" s="28">
        <v>2</v>
      </c>
      <c r="H188" s="33">
        <v>46045</v>
      </c>
      <c r="I188" s="33">
        <v>46045</v>
      </c>
      <c r="J188" s="33">
        <v>46048</v>
      </c>
      <c r="K188" s="33">
        <v>46048</v>
      </c>
      <c r="L188" s="33">
        <v>46048</v>
      </c>
      <c r="M188" s="33">
        <v>46049</v>
      </c>
      <c r="N188" s="33">
        <v>46050</v>
      </c>
      <c r="O188" s="33">
        <v>46051</v>
      </c>
      <c r="P188" s="33">
        <v>46052</v>
      </c>
      <c r="Q188" s="33">
        <v>46055</v>
      </c>
      <c r="R188" s="33">
        <v>46056</v>
      </c>
      <c r="S188" s="33">
        <v>46056</v>
      </c>
      <c r="T188" s="33">
        <v>46057</v>
      </c>
      <c r="U188" s="33">
        <v>46058</v>
      </c>
      <c r="V188" s="33">
        <v>46059</v>
      </c>
      <c r="W188" s="33">
        <v>46062</v>
      </c>
      <c r="X188" s="33">
        <v>46062</v>
      </c>
      <c r="Y188" s="33">
        <v>46063</v>
      </c>
      <c r="Z188" s="33">
        <v>46063</v>
      </c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>
        <v>46064</v>
      </c>
      <c r="AO188" s="33">
        <v>46065</v>
      </c>
      <c r="AP188" s="33">
        <v>46065</v>
      </c>
      <c r="AQ188" s="33"/>
      <c r="AR188" s="33"/>
      <c r="AS188" s="33"/>
      <c r="AT188" s="33">
        <v>46065</v>
      </c>
      <c r="AU188" s="33">
        <v>46071</v>
      </c>
      <c r="AV188" s="33"/>
      <c r="AW188" s="33"/>
      <c r="AX188" s="33"/>
      <c r="AY188" s="33"/>
      <c r="AZ188" s="33"/>
      <c r="BA188" s="33"/>
      <c r="BB188" s="33"/>
      <c r="BC188" s="33"/>
      <c r="BD188" s="33"/>
      <c r="BE188" s="33">
        <v>46071</v>
      </c>
      <c r="BF188" s="34"/>
      <c r="BG188" s="34" t="s">
        <v>73</v>
      </c>
      <c r="BH188" s="34" t="s">
        <v>74</v>
      </c>
      <c r="BI188" s="34" t="s">
        <v>467</v>
      </c>
      <c r="BJ188" s="34"/>
    </row>
    <row r="189" spans="1:62" s="30" customFormat="1" ht="14.45" customHeight="1" x14ac:dyDescent="0.25">
      <c r="A189" s="22" t="s">
        <v>169</v>
      </c>
      <c r="B189" s="23" t="s">
        <v>468</v>
      </c>
      <c r="C189" s="24" t="s">
        <v>469</v>
      </c>
      <c r="D189" s="25">
        <v>630601</v>
      </c>
      <c r="E189" s="26">
        <v>25000</v>
      </c>
      <c r="F189" s="27">
        <v>25000</v>
      </c>
      <c r="G189" s="28">
        <v>2</v>
      </c>
      <c r="H189" s="33">
        <v>46177</v>
      </c>
      <c r="I189" s="33">
        <v>46177</v>
      </c>
      <c r="J189" s="33">
        <v>46178</v>
      </c>
      <c r="K189" s="33">
        <v>46178</v>
      </c>
      <c r="L189" s="33">
        <v>46178</v>
      </c>
      <c r="M189" s="33">
        <v>46181</v>
      </c>
      <c r="N189" s="33">
        <v>46182</v>
      </c>
      <c r="O189" s="33">
        <v>46183</v>
      </c>
      <c r="P189" s="33">
        <v>46184</v>
      </c>
      <c r="Q189" s="33">
        <v>46185</v>
      </c>
      <c r="R189" s="33">
        <v>46188</v>
      </c>
      <c r="S189" s="33">
        <v>46188</v>
      </c>
      <c r="T189" s="33">
        <v>46189</v>
      </c>
      <c r="U189" s="33">
        <v>46190</v>
      </c>
      <c r="V189" s="33">
        <v>46191</v>
      </c>
      <c r="W189" s="33">
        <v>46192</v>
      </c>
      <c r="X189" s="33">
        <v>46192</v>
      </c>
      <c r="Y189" s="33">
        <v>46195</v>
      </c>
      <c r="Z189" s="33">
        <v>46195</v>
      </c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>
        <v>46196</v>
      </c>
      <c r="AO189" s="33">
        <v>46197</v>
      </c>
      <c r="AP189" s="33">
        <v>46197</v>
      </c>
      <c r="AQ189" s="33">
        <v>46198</v>
      </c>
      <c r="AR189" s="33">
        <v>46199</v>
      </c>
      <c r="AS189" s="33">
        <v>46202</v>
      </c>
      <c r="AT189" s="33">
        <v>46203</v>
      </c>
      <c r="AU189" s="33">
        <v>46203</v>
      </c>
      <c r="AV189" s="33">
        <v>46205</v>
      </c>
      <c r="AW189" s="33">
        <v>46209</v>
      </c>
      <c r="AX189" s="33">
        <v>46211</v>
      </c>
      <c r="AY189" s="33">
        <v>46212</v>
      </c>
      <c r="AZ189" s="33">
        <v>46213</v>
      </c>
      <c r="BA189" s="33">
        <v>46217</v>
      </c>
      <c r="BB189" s="33">
        <v>46218</v>
      </c>
      <c r="BC189" s="33">
        <v>46218</v>
      </c>
      <c r="BD189" s="33">
        <v>46223</v>
      </c>
      <c r="BE189" s="33">
        <v>46226</v>
      </c>
      <c r="BF189" s="34"/>
      <c r="BG189" s="34" t="s">
        <v>91</v>
      </c>
      <c r="BH189" s="34" t="s">
        <v>167</v>
      </c>
      <c r="BI189" s="34" t="s">
        <v>382</v>
      </c>
      <c r="BJ189" s="34"/>
    </row>
    <row r="190" spans="1:62" s="30" customFormat="1" ht="14.45" customHeight="1" x14ac:dyDescent="0.25">
      <c r="A190" s="22" t="s">
        <v>239</v>
      </c>
      <c r="B190" s="23" t="s">
        <v>470</v>
      </c>
      <c r="C190" s="24" t="s">
        <v>471</v>
      </c>
      <c r="D190" s="25">
        <v>530606</v>
      </c>
      <c r="E190" s="26">
        <v>12500</v>
      </c>
      <c r="F190" s="27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</row>
    <row r="191" spans="1:62" s="30" customFormat="1" ht="14.45" customHeight="1" x14ac:dyDescent="0.25">
      <c r="A191" s="22" t="s">
        <v>67</v>
      </c>
      <c r="B191" s="23" t="s">
        <v>472</v>
      </c>
      <c r="C191" s="24" t="s">
        <v>473</v>
      </c>
      <c r="D191" s="25">
        <v>530701</v>
      </c>
      <c r="E191" s="26">
        <v>50000</v>
      </c>
      <c r="F191" s="42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</row>
    <row r="192" spans="1:62" s="30" customFormat="1" ht="14.45" customHeight="1" x14ac:dyDescent="0.25">
      <c r="A192" s="22" t="s">
        <v>67</v>
      </c>
      <c r="B192" s="69" t="s">
        <v>474</v>
      </c>
      <c r="C192" s="24" t="s">
        <v>475</v>
      </c>
      <c r="D192" s="25">
        <v>530702</v>
      </c>
      <c r="E192" s="26">
        <v>0</v>
      </c>
      <c r="F192" s="70">
        <v>9259.93</v>
      </c>
      <c r="G192" s="28">
        <v>2</v>
      </c>
      <c r="H192" s="33">
        <v>46178</v>
      </c>
      <c r="I192" s="33">
        <v>46178</v>
      </c>
      <c r="J192" s="33">
        <v>46181</v>
      </c>
      <c r="K192" s="33">
        <v>46181</v>
      </c>
      <c r="L192" s="33">
        <v>46181</v>
      </c>
      <c r="M192" s="33">
        <v>46182</v>
      </c>
      <c r="N192" s="33">
        <v>46183</v>
      </c>
      <c r="O192" s="33">
        <v>46184</v>
      </c>
      <c r="P192" s="33">
        <v>46185</v>
      </c>
      <c r="Q192" s="33">
        <v>46188</v>
      </c>
      <c r="R192" s="33">
        <v>46189</v>
      </c>
      <c r="S192" s="33">
        <v>46189</v>
      </c>
      <c r="T192" s="33">
        <v>46190</v>
      </c>
      <c r="U192" s="33">
        <v>46191</v>
      </c>
      <c r="V192" s="33">
        <v>46192</v>
      </c>
      <c r="W192" s="33">
        <v>46195</v>
      </c>
      <c r="X192" s="33">
        <v>46195</v>
      </c>
      <c r="Y192" s="33">
        <v>46196</v>
      </c>
      <c r="Z192" s="33">
        <v>46196</v>
      </c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>
        <v>46197</v>
      </c>
      <c r="AO192" s="33">
        <v>46198</v>
      </c>
      <c r="AP192" s="33">
        <v>46198</v>
      </c>
      <c r="AQ192" s="33"/>
      <c r="AR192" s="33"/>
      <c r="AS192" s="33"/>
      <c r="AT192" s="33">
        <v>46198</v>
      </c>
      <c r="AU192" s="33">
        <v>46204</v>
      </c>
      <c r="AV192" s="33"/>
      <c r="AW192" s="33"/>
      <c r="AX192" s="33"/>
      <c r="AY192" s="33"/>
      <c r="AZ192" s="33"/>
      <c r="BA192" s="33"/>
      <c r="BB192" s="33"/>
      <c r="BC192" s="33"/>
      <c r="BD192" s="33"/>
      <c r="BE192" s="33">
        <v>46204</v>
      </c>
      <c r="BF192" s="34"/>
      <c r="BG192" s="34" t="s">
        <v>73</v>
      </c>
      <c r="BH192" s="34" t="s">
        <v>74</v>
      </c>
      <c r="BI192" s="34" t="s">
        <v>75</v>
      </c>
      <c r="BJ192" s="34"/>
    </row>
    <row r="193" spans="1:62" s="30" customFormat="1" ht="14.45" customHeight="1" x14ac:dyDescent="0.25">
      <c r="A193" s="22" t="s">
        <v>67</v>
      </c>
      <c r="B193" s="69" t="s">
        <v>476</v>
      </c>
      <c r="C193" s="24" t="s">
        <v>477</v>
      </c>
      <c r="D193" s="25">
        <v>530702</v>
      </c>
      <c r="E193" s="26">
        <v>0</v>
      </c>
      <c r="F193" s="43">
        <v>65000</v>
      </c>
      <c r="G193" s="28">
        <v>2</v>
      </c>
      <c r="H193" s="33">
        <v>46167</v>
      </c>
      <c r="I193" s="33">
        <v>46167</v>
      </c>
      <c r="J193" s="33">
        <v>46168</v>
      </c>
      <c r="K193" s="33">
        <v>46168</v>
      </c>
      <c r="L193" s="33">
        <v>46168</v>
      </c>
      <c r="M193" s="33">
        <v>46169</v>
      </c>
      <c r="N193" s="33">
        <v>46170</v>
      </c>
      <c r="O193" s="33">
        <v>46171</v>
      </c>
      <c r="P193" s="33">
        <v>46174</v>
      </c>
      <c r="Q193" s="33">
        <v>46175</v>
      </c>
      <c r="R193" s="33">
        <v>46176</v>
      </c>
      <c r="S193" s="33">
        <v>46176</v>
      </c>
      <c r="T193" s="33">
        <v>46177</v>
      </c>
      <c r="U193" s="33">
        <v>46178</v>
      </c>
      <c r="V193" s="33">
        <v>46181</v>
      </c>
      <c r="W193" s="33">
        <v>46182</v>
      </c>
      <c r="X193" s="33">
        <v>46182</v>
      </c>
      <c r="Y193" s="33">
        <v>46183</v>
      </c>
      <c r="Z193" s="33">
        <v>46183</v>
      </c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>
        <v>46184</v>
      </c>
      <c r="AO193" s="33">
        <v>46185</v>
      </c>
      <c r="AP193" s="33">
        <v>46185</v>
      </c>
      <c r="AQ193" s="33">
        <v>46188</v>
      </c>
      <c r="AR193" s="33">
        <v>46189</v>
      </c>
      <c r="AS193" s="33">
        <v>46190</v>
      </c>
      <c r="AT193" s="33">
        <v>46191</v>
      </c>
      <c r="AU193" s="33">
        <v>46191</v>
      </c>
      <c r="AV193" s="33">
        <v>46195</v>
      </c>
      <c r="AW193" s="33">
        <v>46197</v>
      </c>
      <c r="AX193" s="33">
        <v>46199</v>
      </c>
      <c r="AY193" s="33">
        <v>46202</v>
      </c>
      <c r="AZ193" s="33">
        <v>46203</v>
      </c>
      <c r="BA193" s="33">
        <v>46205</v>
      </c>
      <c r="BB193" s="33">
        <v>46206</v>
      </c>
      <c r="BC193" s="33">
        <v>46206</v>
      </c>
      <c r="BD193" s="33">
        <v>46211</v>
      </c>
      <c r="BE193" s="33">
        <v>46216</v>
      </c>
      <c r="BF193" s="34"/>
      <c r="BG193" s="34" t="s">
        <v>91</v>
      </c>
      <c r="BH193" s="34" t="s">
        <v>92</v>
      </c>
      <c r="BI193" s="34" t="s">
        <v>75</v>
      </c>
      <c r="BJ193" s="34"/>
    </row>
    <row r="194" spans="1:62" s="30" customFormat="1" ht="14.45" customHeight="1" x14ac:dyDescent="0.25">
      <c r="A194" s="22" t="s">
        <v>67</v>
      </c>
      <c r="B194" s="23" t="s">
        <v>478</v>
      </c>
      <c r="C194" s="24" t="s">
        <v>479</v>
      </c>
      <c r="D194" s="25">
        <v>530702</v>
      </c>
      <c r="E194" s="26">
        <v>28000</v>
      </c>
      <c r="F194" s="27">
        <v>0</v>
      </c>
      <c r="G194" s="28">
        <v>0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>
        <v>3</v>
      </c>
      <c r="AW194" s="31">
        <v>5</v>
      </c>
      <c r="AX194" s="31">
        <v>9</v>
      </c>
      <c r="AY194" s="31">
        <v>10</v>
      </c>
      <c r="AZ194" s="31">
        <v>11</v>
      </c>
      <c r="BA194" s="31">
        <v>13</v>
      </c>
      <c r="BB194" s="31">
        <v>16</v>
      </c>
      <c r="BC194" s="31">
        <v>16</v>
      </c>
      <c r="BD194" s="31">
        <v>19</v>
      </c>
      <c r="BE194" s="31"/>
      <c r="BF194" s="32"/>
      <c r="BG194" s="32"/>
      <c r="BH194" s="32"/>
      <c r="BI194" s="32"/>
      <c r="BJ194" s="32" t="s">
        <v>133</v>
      </c>
    </row>
    <row r="195" spans="1:62" s="30" customFormat="1" ht="14.45" customHeight="1" x14ac:dyDescent="0.25">
      <c r="A195" s="22" t="s">
        <v>67</v>
      </c>
      <c r="B195" s="23" t="s">
        <v>478</v>
      </c>
      <c r="C195" s="24" t="s">
        <v>480</v>
      </c>
      <c r="D195" s="25">
        <v>530702</v>
      </c>
      <c r="E195" s="26">
        <v>8000</v>
      </c>
      <c r="F195" s="27">
        <v>0</v>
      </c>
      <c r="G195" s="28">
        <v>0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>
        <v>3</v>
      </c>
      <c r="AW195" s="31">
        <v>5</v>
      </c>
      <c r="AX195" s="31">
        <v>9</v>
      </c>
      <c r="AY195" s="31">
        <v>10</v>
      </c>
      <c r="AZ195" s="31">
        <v>11</v>
      </c>
      <c r="BA195" s="31">
        <v>13</v>
      </c>
      <c r="BB195" s="31">
        <v>16</v>
      </c>
      <c r="BC195" s="31">
        <v>16</v>
      </c>
      <c r="BD195" s="31">
        <v>19</v>
      </c>
      <c r="BE195" s="31"/>
      <c r="BF195" s="32"/>
      <c r="BG195" s="32"/>
      <c r="BH195" s="32"/>
      <c r="BI195" s="32"/>
      <c r="BJ195" s="32" t="s">
        <v>133</v>
      </c>
    </row>
    <row r="196" spans="1:62" s="30" customFormat="1" ht="14.45" customHeight="1" x14ac:dyDescent="0.25">
      <c r="A196" s="22" t="s">
        <v>67</v>
      </c>
      <c r="B196" s="69" t="s">
        <v>481</v>
      </c>
      <c r="C196" s="24" t="s">
        <v>482</v>
      </c>
      <c r="D196" s="25">
        <v>530702</v>
      </c>
      <c r="E196" s="26">
        <v>0</v>
      </c>
      <c r="F196" s="43">
        <v>26000</v>
      </c>
      <c r="G196" s="71">
        <v>3</v>
      </c>
      <c r="H196" s="33">
        <v>46169</v>
      </c>
      <c r="I196" s="33">
        <v>46169</v>
      </c>
      <c r="J196" s="33">
        <v>46170</v>
      </c>
      <c r="K196" s="33">
        <v>46170</v>
      </c>
      <c r="L196" s="33">
        <v>46170</v>
      </c>
      <c r="M196" s="33">
        <v>46171</v>
      </c>
      <c r="N196" s="33">
        <v>46174</v>
      </c>
      <c r="O196" s="33">
        <v>46175</v>
      </c>
      <c r="P196" s="33">
        <v>46176</v>
      </c>
      <c r="Q196" s="33">
        <v>46177</v>
      </c>
      <c r="R196" s="33">
        <v>46178</v>
      </c>
      <c r="S196" s="33">
        <v>46178</v>
      </c>
      <c r="T196" s="33">
        <v>46181</v>
      </c>
      <c r="U196" s="33">
        <v>46182</v>
      </c>
      <c r="V196" s="33">
        <v>46183</v>
      </c>
      <c r="W196" s="33">
        <v>46184</v>
      </c>
      <c r="X196" s="33">
        <v>46184</v>
      </c>
      <c r="Y196" s="33">
        <v>46185</v>
      </c>
      <c r="Z196" s="33">
        <v>46185</v>
      </c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>
        <v>46188</v>
      </c>
      <c r="AO196" s="33">
        <v>46189</v>
      </c>
      <c r="AP196" s="33">
        <v>46189</v>
      </c>
      <c r="AQ196" s="33">
        <v>46190</v>
      </c>
      <c r="AR196" s="33">
        <v>46191</v>
      </c>
      <c r="AS196" s="33">
        <v>46192</v>
      </c>
      <c r="AT196" s="33">
        <v>46195</v>
      </c>
      <c r="AU196" s="33">
        <v>46193</v>
      </c>
      <c r="AV196" s="33">
        <v>46196</v>
      </c>
      <c r="AW196" s="33">
        <v>46198</v>
      </c>
      <c r="AX196" s="33">
        <v>46202</v>
      </c>
      <c r="AY196" s="33">
        <v>46203</v>
      </c>
      <c r="AZ196" s="33">
        <v>46204</v>
      </c>
      <c r="BA196" s="33">
        <v>46206</v>
      </c>
      <c r="BB196" s="33">
        <v>46209</v>
      </c>
      <c r="BC196" s="33">
        <v>46209</v>
      </c>
      <c r="BD196" s="33">
        <v>46212</v>
      </c>
      <c r="BE196" s="33">
        <v>46217</v>
      </c>
      <c r="BF196" s="34"/>
      <c r="BG196" s="34" t="s">
        <v>91</v>
      </c>
      <c r="BH196" s="34" t="s">
        <v>92</v>
      </c>
      <c r="BI196" s="34" t="s">
        <v>75</v>
      </c>
      <c r="BJ196" s="34"/>
    </row>
    <row r="197" spans="1:62" s="30" customFormat="1" ht="14.45" customHeight="1" x14ac:dyDescent="0.25">
      <c r="A197" s="22" t="s">
        <v>117</v>
      </c>
      <c r="B197" s="23" t="s">
        <v>483</v>
      </c>
      <c r="C197" s="24" t="s">
        <v>484</v>
      </c>
      <c r="D197" s="25">
        <v>530303</v>
      </c>
      <c r="E197" s="26">
        <v>8000</v>
      </c>
      <c r="F197" s="27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</row>
    <row r="198" spans="1:62" s="30" customFormat="1" ht="14.45" customHeight="1" x14ac:dyDescent="0.25">
      <c r="A198" s="22" t="s">
        <v>117</v>
      </c>
      <c r="B198" s="23" t="s">
        <v>483</v>
      </c>
      <c r="C198" s="24" t="s">
        <v>485</v>
      </c>
      <c r="D198" s="25">
        <v>530304</v>
      </c>
      <c r="E198" s="26">
        <v>54000</v>
      </c>
      <c r="F198" s="27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</row>
    <row r="199" spans="1:62" s="30" customFormat="1" ht="14.45" customHeight="1" x14ac:dyDescent="0.25">
      <c r="A199" s="22" t="s">
        <v>239</v>
      </c>
      <c r="B199" s="23" t="s">
        <v>486</v>
      </c>
      <c r="C199" s="24" t="s">
        <v>487</v>
      </c>
      <c r="D199" s="25">
        <v>730207</v>
      </c>
      <c r="E199" s="26">
        <v>70000</v>
      </c>
      <c r="F199" s="27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</row>
    <row r="200" spans="1:62" s="30" customFormat="1" ht="14.45" customHeight="1" x14ac:dyDescent="0.25">
      <c r="A200" s="22" t="s">
        <v>236</v>
      </c>
      <c r="B200" s="23" t="s">
        <v>488</v>
      </c>
      <c r="C200" s="24" t="s">
        <v>489</v>
      </c>
      <c r="D200" s="25">
        <v>730249</v>
      </c>
      <c r="E200" s="26">
        <v>310000</v>
      </c>
      <c r="F200" s="27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G200" s="34" t="s">
        <v>91</v>
      </c>
    </row>
    <row r="201" spans="1:62" s="30" customFormat="1" ht="14.45" customHeight="1" x14ac:dyDescent="0.25">
      <c r="A201" s="22" t="s">
        <v>236</v>
      </c>
      <c r="B201" s="23" t="s">
        <v>490</v>
      </c>
      <c r="C201" s="24" t="s">
        <v>491</v>
      </c>
      <c r="D201" s="25">
        <v>730207</v>
      </c>
      <c r="E201" s="26">
        <v>0</v>
      </c>
      <c r="F201" s="27">
        <v>120000</v>
      </c>
      <c r="G201" s="28">
        <v>1</v>
      </c>
      <c r="H201" s="48">
        <v>46048</v>
      </c>
      <c r="I201" s="48">
        <v>46048</v>
      </c>
      <c r="J201" s="48">
        <v>46049</v>
      </c>
      <c r="K201" s="48">
        <v>46049</v>
      </c>
      <c r="L201" s="48">
        <v>46049</v>
      </c>
      <c r="M201" s="48">
        <v>46050</v>
      </c>
      <c r="N201" s="48">
        <v>46051</v>
      </c>
      <c r="O201" s="48">
        <v>46052</v>
      </c>
      <c r="P201" s="48">
        <v>46055</v>
      </c>
      <c r="Q201" s="48">
        <v>46056</v>
      </c>
      <c r="R201" s="48">
        <v>46057</v>
      </c>
      <c r="S201" s="48">
        <v>46057</v>
      </c>
      <c r="T201" s="48">
        <v>46058</v>
      </c>
      <c r="U201" s="48">
        <v>46059</v>
      </c>
      <c r="V201" s="48">
        <v>46062</v>
      </c>
      <c r="W201" s="48">
        <v>46063</v>
      </c>
      <c r="X201" s="48">
        <v>46063</v>
      </c>
      <c r="Y201" s="48">
        <v>46064</v>
      </c>
      <c r="Z201" s="48">
        <v>46064</v>
      </c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>
        <v>46065</v>
      </c>
      <c r="AO201" s="48">
        <v>46066</v>
      </c>
      <c r="AP201" s="48">
        <v>46066</v>
      </c>
      <c r="AQ201" s="48">
        <v>46069</v>
      </c>
      <c r="AR201" s="48">
        <v>46070</v>
      </c>
      <c r="AS201" s="48">
        <v>46071</v>
      </c>
      <c r="AT201" s="48">
        <v>46072</v>
      </c>
      <c r="AU201" s="48">
        <v>46072</v>
      </c>
      <c r="AV201" s="48">
        <v>46078</v>
      </c>
      <c r="AW201" s="48">
        <v>46080</v>
      </c>
      <c r="AX201" s="48">
        <v>46086</v>
      </c>
      <c r="AY201" s="72">
        <v>46087</v>
      </c>
      <c r="AZ201" s="72">
        <v>46090</v>
      </c>
      <c r="BA201" s="33">
        <v>46092</v>
      </c>
      <c r="BB201" s="33">
        <v>46093</v>
      </c>
      <c r="BC201" s="33">
        <v>46093</v>
      </c>
      <c r="BD201" s="33">
        <v>46098</v>
      </c>
      <c r="BE201" s="33">
        <v>46101</v>
      </c>
      <c r="BF201" s="34"/>
      <c r="BG201" s="34" t="s">
        <v>91</v>
      </c>
      <c r="BH201" s="34" t="s">
        <v>492</v>
      </c>
      <c r="BI201" s="34" t="s">
        <v>493</v>
      </c>
      <c r="BJ201" s="45" t="s">
        <v>494</v>
      </c>
    </row>
    <row r="202" spans="1:62" s="30" customFormat="1" ht="14.45" customHeight="1" x14ac:dyDescent="0.25">
      <c r="A202" s="22" t="s">
        <v>239</v>
      </c>
      <c r="B202" s="23" t="s">
        <v>495</v>
      </c>
      <c r="C202" s="24" t="s">
        <v>496</v>
      </c>
      <c r="D202" s="36">
        <v>730249</v>
      </c>
      <c r="E202" s="65">
        <v>340000</v>
      </c>
      <c r="F202" s="27">
        <v>1918669.92</v>
      </c>
      <c r="G202" s="28">
        <v>1</v>
      </c>
      <c r="H202" s="48">
        <v>46080</v>
      </c>
      <c r="I202" s="48">
        <v>46083</v>
      </c>
      <c r="J202" s="46">
        <v>46086</v>
      </c>
      <c r="K202" s="46">
        <v>46086</v>
      </c>
      <c r="L202" s="46">
        <v>46086</v>
      </c>
      <c r="M202" s="46">
        <v>46087</v>
      </c>
      <c r="N202" s="73">
        <v>46087</v>
      </c>
      <c r="O202" s="73">
        <v>46087</v>
      </c>
      <c r="P202" s="73">
        <v>46090</v>
      </c>
      <c r="Q202" s="73">
        <v>46090</v>
      </c>
      <c r="R202" s="74">
        <v>46091</v>
      </c>
      <c r="S202" s="73">
        <v>46092</v>
      </c>
      <c r="T202" s="73">
        <v>46092</v>
      </c>
      <c r="U202" s="75">
        <v>46097</v>
      </c>
      <c r="V202" s="75">
        <v>46098</v>
      </c>
      <c r="W202" s="75">
        <v>46099</v>
      </c>
      <c r="X202" s="75">
        <v>46100</v>
      </c>
      <c r="Y202" s="75">
        <v>46100</v>
      </c>
      <c r="Z202" s="75">
        <v>46100</v>
      </c>
      <c r="AA202" s="75">
        <v>46104</v>
      </c>
      <c r="AB202" s="76">
        <v>46118</v>
      </c>
      <c r="AC202" s="76">
        <v>46127</v>
      </c>
      <c r="AD202" s="76">
        <v>46127</v>
      </c>
      <c r="AE202" s="33"/>
      <c r="AF202" s="33"/>
      <c r="AG202" s="33"/>
      <c r="AH202" s="33"/>
      <c r="AI202" s="33"/>
      <c r="AJ202" s="76">
        <v>46128</v>
      </c>
      <c r="AK202" s="76">
        <v>46142</v>
      </c>
      <c r="AL202" s="33"/>
      <c r="AM202" s="33"/>
      <c r="AN202" s="33">
        <v>46146</v>
      </c>
      <c r="AO202" s="33">
        <v>46146</v>
      </c>
      <c r="AP202" s="33">
        <v>46147</v>
      </c>
      <c r="AQ202" s="33">
        <v>46149</v>
      </c>
      <c r="AR202" s="33">
        <v>46149</v>
      </c>
      <c r="AS202" s="33">
        <v>46153</v>
      </c>
      <c r="AT202" s="33">
        <v>46153</v>
      </c>
      <c r="AU202" s="33">
        <v>46153</v>
      </c>
      <c r="AV202" s="33">
        <v>46161</v>
      </c>
      <c r="AW202" s="33">
        <v>46163</v>
      </c>
      <c r="AX202" s="33">
        <v>46178</v>
      </c>
      <c r="AY202" s="33">
        <v>46150</v>
      </c>
      <c r="AZ202" s="33">
        <v>46182</v>
      </c>
      <c r="BA202" s="33">
        <v>46184</v>
      </c>
      <c r="BB202" s="33">
        <v>46185</v>
      </c>
      <c r="BC202" s="33">
        <v>46185</v>
      </c>
      <c r="BD202" s="33">
        <v>46190</v>
      </c>
      <c r="BE202" s="33">
        <v>46195</v>
      </c>
      <c r="BF202" s="34"/>
      <c r="BG202" s="34" t="s">
        <v>91</v>
      </c>
      <c r="BH202" s="34" t="s">
        <v>193</v>
      </c>
      <c r="BI202" s="34" t="s">
        <v>451</v>
      </c>
      <c r="BJ202" s="34" t="s">
        <v>497</v>
      </c>
    </row>
    <row r="203" spans="1:62" s="30" customFormat="1" ht="14.45" customHeight="1" x14ac:dyDescent="0.25">
      <c r="A203" s="22" t="s">
        <v>95</v>
      </c>
      <c r="B203" s="23" t="s">
        <v>498</v>
      </c>
      <c r="C203" s="24" t="s">
        <v>499</v>
      </c>
      <c r="D203" s="25">
        <v>730249</v>
      </c>
      <c r="E203" s="26">
        <f>35000</f>
        <v>35000</v>
      </c>
      <c r="F203" s="27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G203" s="34" t="s">
        <v>91</v>
      </c>
    </row>
    <row r="204" spans="1:62" s="30" customFormat="1" ht="14.45" customHeight="1" x14ac:dyDescent="0.25">
      <c r="A204" s="22" t="s">
        <v>169</v>
      </c>
      <c r="B204" s="23" t="s">
        <v>500</v>
      </c>
      <c r="C204" s="24" t="s">
        <v>501</v>
      </c>
      <c r="D204" s="25">
        <v>730249</v>
      </c>
      <c r="E204" s="26">
        <v>0</v>
      </c>
      <c r="F204" s="27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G204" s="34" t="s">
        <v>91</v>
      </c>
    </row>
    <row r="205" spans="1:62" s="30" customFormat="1" ht="14.45" customHeight="1" x14ac:dyDescent="0.25">
      <c r="A205" s="22" t="s">
        <v>114</v>
      </c>
      <c r="B205" s="23" t="s">
        <v>502</v>
      </c>
      <c r="C205" s="24" t="s">
        <v>503</v>
      </c>
      <c r="D205" s="25">
        <v>730605</v>
      </c>
      <c r="E205" s="26">
        <v>200000</v>
      </c>
      <c r="F205" s="27"/>
      <c r="G205" s="2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</row>
    <row r="206" spans="1:62" s="30" customFormat="1" ht="14.45" customHeight="1" x14ac:dyDescent="0.25">
      <c r="A206" s="22" t="s">
        <v>117</v>
      </c>
      <c r="B206" s="23" t="s">
        <v>258</v>
      </c>
      <c r="C206" s="24" t="s">
        <v>504</v>
      </c>
      <c r="D206" s="25">
        <v>710601</v>
      </c>
      <c r="E206" s="26">
        <v>13907.150000000001</v>
      </c>
      <c r="F206" s="27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</row>
    <row r="207" spans="1:62" s="30" customFormat="1" ht="14.45" customHeight="1" x14ac:dyDescent="0.25">
      <c r="A207" s="22" t="s">
        <v>117</v>
      </c>
      <c r="B207" s="23" t="s">
        <v>264</v>
      </c>
      <c r="C207" s="24" t="s">
        <v>505</v>
      </c>
      <c r="D207" s="25">
        <v>710707</v>
      </c>
      <c r="E207" s="26">
        <v>4775</v>
      </c>
      <c r="F207" s="27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</row>
    <row r="208" spans="1:62" s="30" customFormat="1" ht="14.45" customHeight="1" x14ac:dyDescent="0.25">
      <c r="A208" s="22" t="s">
        <v>117</v>
      </c>
      <c r="B208" s="23" t="s">
        <v>266</v>
      </c>
      <c r="C208" s="24" t="s">
        <v>506</v>
      </c>
      <c r="D208" s="25">
        <v>710204</v>
      </c>
      <c r="E208" s="26">
        <v>5280</v>
      </c>
      <c r="F208" s="27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</row>
    <row r="209" spans="1:62" s="30" customFormat="1" ht="14.45" customHeight="1" x14ac:dyDescent="0.25">
      <c r="A209" s="22" t="s">
        <v>117</v>
      </c>
      <c r="B209" s="23" t="s">
        <v>268</v>
      </c>
      <c r="C209" s="24" t="s">
        <v>507</v>
      </c>
      <c r="D209" s="25">
        <v>710203</v>
      </c>
      <c r="E209" s="26">
        <v>9947.9</v>
      </c>
      <c r="F209" s="27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</row>
    <row r="210" spans="1:62" s="30" customFormat="1" ht="14.45" customHeight="1" x14ac:dyDescent="0.25">
      <c r="A210" s="22" t="s">
        <v>117</v>
      </c>
      <c r="B210" s="23" t="s">
        <v>272</v>
      </c>
      <c r="C210" s="24" t="s">
        <v>508</v>
      </c>
      <c r="D210" s="25">
        <v>710602</v>
      </c>
      <c r="E210" s="26">
        <v>9943.9500000000007</v>
      </c>
      <c r="F210" s="27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</row>
    <row r="211" spans="1:62" s="30" customFormat="1" ht="14.45" customHeight="1" x14ac:dyDescent="0.25">
      <c r="A211" s="22" t="s">
        <v>117</v>
      </c>
      <c r="B211" s="23" t="s">
        <v>274</v>
      </c>
      <c r="C211" s="24" t="s">
        <v>509</v>
      </c>
      <c r="D211" s="25">
        <v>710509</v>
      </c>
      <c r="E211" s="26">
        <v>4775</v>
      </c>
      <c r="F211" s="27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</row>
    <row r="212" spans="1:62" s="30" customFormat="1" ht="14.45" customHeight="1" x14ac:dyDescent="0.25">
      <c r="A212" s="22" t="s">
        <v>117</v>
      </c>
      <c r="B212" s="23" t="s">
        <v>280</v>
      </c>
      <c r="C212" s="24" t="s">
        <v>510</v>
      </c>
      <c r="D212" s="25">
        <v>710510</v>
      </c>
      <c r="E212" s="26">
        <v>114600</v>
      </c>
      <c r="F212" s="27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</row>
    <row r="213" spans="1:62" s="30" customFormat="1" ht="14.45" customHeight="1" x14ac:dyDescent="0.25">
      <c r="A213" s="22" t="s">
        <v>239</v>
      </c>
      <c r="B213" s="23" t="s">
        <v>511</v>
      </c>
      <c r="C213" s="24" t="s">
        <v>512</v>
      </c>
      <c r="D213" s="25">
        <v>730207</v>
      </c>
      <c r="E213" s="26">
        <v>302000</v>
      </c>
      <c r="F213" s="27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</row>
    <row r="214" spans="1:62" s="30" customFormat="1" ht="14.45" customHeight="1" x14ac:dyDescent="0.25">
      <c r="A214" s="22" t="s">
        <v>95</v>
      </c>
      <c r="B214" s="23" t="s">
        <v>513</v>
      </c>
      <c r="C214" s="24" t="s">
        <v>514</v>
      </c>
      <c r="D214" s="36">
        <v>730249</v>
      </c>
      <c r="E214" s="26">
        <v>40000</v>
      </c>
      <c r="F214" s="39">
        <v>40000</v>
      </c>
      <c r="G214" s="28">
        <v>1</v>
      </c>
      <c r="H214" s="40">
        <v>46086</v>
      </c>
      <c r="I214" s="40">
        <v>46086</v>
      </c>
      <c r="J214" s="40">
        <v>46087</v>
      </c>
      <c r="K214" s="40">
        <v>46087</v>
      </c>
      <c r="L214" s="40">
        <v>46087</v>
      </c>
      <c r="M214" s="40">
        <v>46090</v>
      </c>
      <c r="N214" s="40">
        <v>46091</v>
      </c>
      <c r="O214" s="40">
        <v>46092</v>
      </c>
      <c r="P214" s="40">
        <v>46093</v>
      </c>
      <c r="Q214" s="40">
        <v>46094</v>
      </c>
      <c r="R214" s="40">
        <v>46097</v>
      </c>
      <c r="S214" s="40">
        <v>46097</v>
      </c>
      <c r="T214" s="40">
        <v>46098</v>
      </c>
      <c r="U214" s="40">
        <v>46099</v>
      </c>
      <c r="V214" s="40">
        <v>46100</v>
      </c>
      <c r="W214" s="40">
        <v>46101</v>
      </c>
      <c r="X214" s="40">
        <v>46101</v>
      </c>
      <c r="Y214" s="40">
        <v>46104</v>
      </c>
      <c r="Z214" s="40">
        <v>46104</v>
      </c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>
        <v>46105</v>
      </c>
      <c r="AO214" s="40">
        <v>46106</v>
      </c>
      <c r="AP214" s="40">
        <v>46106</v>
      </c>
      <c r="AQ214" s="40">
        <v>46107</v>
      </c>
      <c r="AR214" s="40">
        <v>46108</v>
      </c>
      <c r="AS214" s="40">
        <v>46111</v>
      </c>
      <c r="AT214" s="40">
        <v>46112</v>
      </c>
      <c r="AU214" s="40">
        <v>46112</v>
      </c>
      <c r="AV214" s="40">
        <v>46114</v>
      </c>
      <c r="AW214" s="40">
        <v>46118</v>
      </c>
      <c r="AX214" s="40">
        <v>46120</v>
      </c>
      <c r="AY214" s="40">
        <v>46121</v>
      </c>
      <c r="AZ214" s="40">
        <v>46122</v>
      </c>
      <c r="BA214" s="40">
        <v>46126</v>
      </c>
      <c r="BB214" s="40">
        <v>46127</v>
      </c>
      <c r="BC214" s="40">
        <v>46127</v>
      </c>
      <c r="BD214" s="40">
        <v>46132</v>
      </c>
      <c r="BE214" s="40">
        <v>46135</v>
      </c>
      <c r="BF214" s="77"/>
      <c r="BG214" s="77" t="s">
        <v>91</v>
      </c>
      <c r="BH214" s="77" t="s">
        <v>193</v>
      </c>
      <c r="BI214" s="77" t="s">
        <v>515</v>
      </c>
      <c r="BJ214" s="34" t="s">
        <v>516</v>
      </c>
    </row>
    <row r="215" spans="1:62" s="30" customFormat="1" ht="14.45" customHeight="1" x14ac:dyDescent="0.25">
      <c r="A215" s="22" t="s">
        <v>236</v>
      </c>
      <c r="B215" s="23" t="s">
        <v>517</v>
      </c>
      <c r="C215" s="24" t="s">
        <v>518</v>
      </c>
      <c r="D215" s="25">
        <v>730601</v>
      </c>
      <c r="E215" s="26">
        <v>120000</v>
      </c>
      <c r="F215" s="27">
        <v>0</v>
      </c>
      <c r="G215" s="28">
        <v>0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>
        <v>5</v>
      </c>
      <c r="AW215" s="31">
        <v>9</v>
      </c>
      <c r="AX215" s="31">
        <v>13</v>
      </c>
      <c r="AY215" s="31">
        <v>16</v>
      </c>
      <c r="AZ215" s="31">
        <v>17</v>
      </c>
      <c r="BA215" s="31">
        <v>19</v>
      </c>
      <c r="BB215" s="31">
        <v>20</v>
      </c>
      <c r="BC215" s="31">
        <v>20</v>
      </c>
      <c r="BD215" s="31">
        <v>25</v>
      </c>
      <c r="BE215" s="31"/>
      <c r="BF215" s="32"/>
      <c r="BG215" s="32"/>
      <c r="BH215" s="32"/>
      <c r="BI215" s="32"/>
      <c r="BJ215" s="32" t="s">
        <v>133</v>
      </c>
    </row>
    <row r="216" spans="1:62" s="30" customFormat="1" ht="14.45" customHeight="1" x14ac:dyDescent="0.25">
      <c r="A216" s="22" t="s">
        <v>239</v>
      </c>
      <c r="B216" s="23" t="s">
        <v>519</v>
      </c>
      <c r="C216" s="24" t="s">
        <v>520</v>
      </c>
      <c r="D216" s="25">
        <v>730207</v>
      </c>
      <c r="E216" s="78">
        <v>188000</v>
      </c>
      <c r="F216" s="27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</row>
    <row r="217" spans="1:62" s="30" customFormat="1" ht="14.45" customHeight="1" x14ac:dyDescent="0.25">
      <c r="A217" s="22" t="s">
        <v>95</v>
      </c>
      <c r="B217" s="23" t="s">
        <v>519</v>
      </c>
      <c r="C217" s="24" t="s">
        <v>521</v>
      </c>
      <c r="D217" s="25">
        <v>730207</v>
      </c>
      <c r="E217" s="26">
        <v>18000</v>
      </c>
      <c r="F217" s="27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</row>
    <row r="218" spans="1:62" s="30" customFormat="1" ht="14.45" customHeight="1" x14ac:dyDescent="0.25">
      <c r="A218" s="22" t="s">
        <v>236</v>
      </c>
      <c r="B218" s="69" t="s">
        <v>522</v>
      </c>
      <c r="C218" s="24" t="s">
        <v>523</v>
      </c>
      <c r="D218" s="25">
        <v>730606</v>
      </c>
      <c r="E218" s="26">
        <v>0</v>
      </c>
      <c r="F218" s="27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</row>
    <row r="219" spans="1:62" s="30" customFormat="1" ht="14.45" customHeight="1" x14ac:dyDescent="0.25">
      <c r="A219" s="22" t="s">
        <v>95</v>
      </c>
      <c r="B219" s="69" t="s">
        <v>524</v>
      </c>
      <c r="C219" s="24" t="s">
        <v>525</v>
      </c>
      <c r="D219" s="25">
        <v>730207</v>
      </c>
      <c r="E219" s="26">
        <v>0</v>
      </c>
      <c r="F219" s="27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</row>
    <row r="220" spans="1:62" s="30" customFormat="1" ht="14.45" customHeight="1" x14ac:dyDescent="0.25">
      <c r="A220" s="22" t="s">
        <v>239</v>
      </c>
      <c r="B220" s="23" t="s">
        <v>526</v>
      </c>
      <c r="C220" s="24" t="s">
        <v>527</v>
      </c>
      <c r="D220" s="25">
        <v>730207</v>
      </c>
      <c r="E220" s="26">
        <v>100000</v>
      </c>
      <c r="F220" s="27">
        <v>0</v>
      </c>
      <c r="G220" s="28">
        <v>0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>
        <v>5</v>
      </c>
      <c r="AW220" s="31">
        <v>9</v>
      </c>
      <c r="AX220" s="31">
        <v>13</v>
      </c>
      <c r="AY220" s="31">
        <v>16</v>
      </c>
      <c r="AZ220" s="31">
        <v>17</v>
      </c>
      <c r="BA220" s="31">
        <v>19</v>
      </c>
      <c r="BB220" s="31">
        <v>20</v>
      </c>
      <c r="BC220" s="31">
        <v>20</v>
      </c>
      <c r="BD220" s="31">
        <v>25</v>
      </c>
      <c r="BE220" s="31"/>
      <c r="BF220" s="32"/>
      <c r="BG220" s="32"/>
      <c r="BH220" s="32"/>
      <c r="BI220" s="32"/>
      <c r="BJ220" s="32" t="s">
        <v>133</v>
      </c>
    </row>
    <row r="221" spans="1:62" s="30" customFormat="1" ht="14.45" customHeight="1" x14ac:dyDescent="0.25">
      <c r="A221" s="22" t="s">
        <v>169</v>
      </c>
      <c r="B221" s="23" t="s">
        <v>526</v>
      </c>
      <c r="C221" s="24" t="s">
        <v>528</v>
      </c>
      <c r="D221" s="25">
        <v>730207</v>
      </c>
      <c r="E221" s="78">
        <v>50000</v>
      </c>
      <c r="F221" s="27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</row>
    <row r="222" spans="1:62" s="30" customFormat="1" ht="14.45" customHeight="1" x14ac:dyDescent="0.25">
      <c r="A222" s="22" t="s">
        <v>236</v>
      </c>
      <c r="B222" s="23" t="s">
        <v>529</v>
      </c>
      <c r="C222" s="24" t="s">
        <v>530</v>
      </c>
      <c r="D222" s="36">
        <v>730425</v>
      </c>
      <c r="E222" s="26">
        <v>140000</v>
      </c>
      <c r="F222" s="27">
        <v>147000</v>
      </c>
      <c r="G222" s="28">
        <v>1</v>
      </c>
      <c r="H222" s="48">
        <v>46031</v>
      </c>
      <c r="I222" s="48">
        <v>46031</v>
      </c>
      <c r="J222" s="48">
        <v>46034</v>
      </c>
      <c r="K222" s="48">
        <v>46034</v>
      </c>
      <c r="L222" s="48">
        <v>46034</v>
      </c>
      <c r="M222" s="48">
        <v>46035</v>
      </c>
      <c r="N222" s="48">
        <v>46036</v>
      </c>
      <c r="O222" s="48">
        <v>46037</v>
      </c>
      <c r="P222" s="48">
        <v>46038</v>
      </c>
      <c r="Q222" s="48">
        <v>46041</v>
      </c>
      <c r="R222" s="48">
        <v>46042</v>
      </c>
      <c r="S222" s="48">
        <v>46042</v>
      </c>
      <c r="T222" s="48">
        <v>46043</v>
      </c>
      <c r="U222" s="48">
        <v>46044</v>
      </c>
      <c r="V222" s="48">
        <v>46045</v>
      </c>
      <c r="W222" s="48">
        <v>46048</v>
      </c>
      <c r="X222" s="48">
        <v>46048</v>
      </c>
      <c r="Y222" s="48">
        <v>46049</v>
      </c>
      <c r="Z222" s="48">
        <v>46049</v>
      </c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>
        <v>46050</v>
      </c>
      <c r="AO222" s="48">
        <v>46051</v>
      </c>
      <c r="AP222" s="48">
        <v>46051</v>
      </c>
      <c r="AQ222" s="48">
        <v>46052</v>
      </c>
      <c r="AR222" s="48">
        <v>46055</v>
      </c>
      <c r="AS222" s="48">
        <v>46056</v>
      </c>
      <c r="AT222" s="48">
        <v>46057</v>
      </c>
      <c r="AU222" s="48">
        <v>46057</v>
      </c>
      <c r="AV222" s="48">
        <v>46063</v>
      </c>
      <c r="AW222" s="48">
        <v>46065</v>
      </c>
      <c r="AX222" s="48">
        <v>46071</v>
      </c>
      <c r="AY222" s="48">
        <v>46072</v>
      </c>
      <c r="AZ222" s="48">
        <v>46073</v>
      </c>
      <c r="BA222" s="48">
        <v>46077</v>
      </c>
      <c r="BB222" s="48">
        <v>46078</v>
      </c>
      <c r="BC222" s="48">
        <v>46080</v>
      </c>
      <c r="BD222" s="44">
        <v>46085</v>
      </c>
      <c r="BE222" s="44">
        <v>46090</v>
      </c>
      <c r="BF222" s="34"/>
      <c r="BG222" s="34" t="s">
        <v>91</v>
      </c>
      <c r="BH222" s="34" t="s">
        <v>98</v>
      </c>
      <c r="BI222" s="34" t="s">
        <v>531</v>
      </c>
      <c r="BJ222" s="34" t="s">
        <v>532</v>
      </c>
    </row>
    <row r="223" spans="1:62" s="30" customFormat="1" ht="30" customHeight="1" x14ac:dyDescent="0.25">
      <c r="A223" s="22" t="s">
        <v>236</v>
      </c>
      <c r="B223" s="23" t="s">
        <v>533</v>
      </c>
      <c r="C223" s="24" t="s">
        <v>534</v>
      </c>
      <c r="D223" s="25">
        <v>730425</v>
      </c>
      <c r="E223" s="26">
        <v>75000</v>
      </c>
      <c r="F223" s="27">
        <v>0</v>
      </c>
      <c r="G223" s="28">
        <v>0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>
        <v>3</v>
      </c>
      <c r="AW223" s="37">
        <v>5</v>
      </c>
      <c r="AX223" s="37">
        <v>9</v>
      </c>
      <c r="AY223" s="37">
        <v>10</v>
      </c>
      <c r="AZ223" s="37">
        <v>11</v>
      </c>
      <c r="BA223" s="37">
        <v>13</v>
      </c>
      <c r="BB223" s="37">
        <v>16</v>
      </c>
      <c r="BC223" s="37">
        <v>18</v>
      </c>
      <c r="BD223" s="37">
        <v>23</v>
      </c>
      <c r="BE223" s="37"/>
      <c r="BF223" s="38"/>
      <c r="BG223" s="38"/>
      <c r="BH223" s="38"/>
      <c r="BI223" s="38"/>
      <c r="BJ223" s="38" t="s">
        <v>133</v>
      </c>
    </row>
    <row r="224" spans="1:62" s="30" customFormat="1" ht="14.45" customHeight="1" x14ac:dyDescent="0.25">
      <c r="A224" s="22" t="s">
        <v>95</v>
      </c>
      <c r="B224" s="23" t="s">
        <v>535</v>
      </c>
      <c r="C224" s="24" t="s">
        <v>536</v>
      </c>
      <c r="D224" s="36">
        <v>730249</v>
      </c>
      <c r="E224" s="26">
        <v>150000</v>
      </c>
      <c r="F224" s="39">
        <v>150000</v>
      </c>
      <c r="G224" s="28">
        <v>1</v>
      </c>
      <c r="H224" s="44">
        <v>46090</v>
      </c>
      <c r="I224" s="33">
        <v>46091</v>
      </c>
      <c r="J224" s="46">
        <v>46091</v>
      </c>
      <c r="K224" s="46">
        <v>46091</v>
      </c>
      <c r="L224" s="48">
        <v>46091</v>
      </c>
      <c r="M224" s="33">
        <v>46092</v>
      </c>
      <c r="N224" s="33">
        <v>46093</v>
      </c>
      <c r="O224" s="33">
        <v>46094</v>
      </c>
      <c r="P224" s="33">
        <v>46097</v>
      </c>
      <c r="Q224" s="33">
        <v>46097</v>
      </c>
      <c r="R224" s="33">
        <v>46097</v>
      </c>
      <c r="S224" s="33">
        <v>46098</v>
      </c>
      <c r="T224" s="33">
        <v>46099</v>
      </c>
      <c r="U224" s="33">
        <v>46104</v>
      </c>
      <c r="V224" s="33">
        <v>46104</v>
      </c>
      <c r="W224" s="33">
        <v>46104</v>
      </c>
      <c r="X224" s="33">
        <v>46105</v>
      </c>
      <c r="Y224" s="33">
        <v>46105</v>
      </c>
      <c r="Z224" s="33">
        <v>46106</v>
      </c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>
        <v>46107</v>
      </c>
      <c r="AO224" s="33">
        <v>46107</v>
      </c>
      <c r="AP224" s="33">
        <v>46108</v>
      </c>
      <c r="AQ224" s="33">
        <v>46111</v>
      </c>
      <c r="AR224" s="33">
        <v>46111</v>
      </c>
      <c r="AS224" s="33">
        <v>46112</v>
      </c>
      <c r="AT224" s="33">
        <v>46112</v>
      </c>
      <c r="AU224" s="33">
        <v>46113</v>
      </c>
      <c r="AV224" s="33">
        <v>46120</v>
      </c>
      <c r="AW224" s="33">
        <v>46122</v>
      </c>
      <c r="AX224" s="33">
        <v>46128</v>
      </c>
      <c r="AY224" s="33">
        <v>46129</v>
      </c>
      <c r="AZ224" s="33">
        <v>46129</v>
      </c>
      <c r="BA224" s="33">
        <v>46132</v>
      </c>
      <c r="BB224" s="33">
        <v>46132</v>
      </c>
      <c r="BC224" s="33">
        <v>46132</v>
      </c>
      <c r="BD224" s="33">
        <v>46135</v>
      </c>
      <c r="BE224" s="33">
        <v>46140</v>
      </c>
      <c r="BF224" s="24"/>
      <c r="BG224" s="34" t="s">
        <v>91</v>
      </c>
      <c r="BH224" s="79" t="s">
        <v>537</v>
      </c>
      <c r="BI224" s="80" t="s">
        <v>99</v>
      </c>
      <c r="BJ224" s="81" t="s">
        <v>82</v>
      </c>
    </row>
    <row r="225" spans="1:62" s="30" customFormat="1" ht="14.45" customHeight="1" x14ac:dyDescent="0.25">
      <c r="A225" s="22" t="s">
        <v>239</v>
      </c>
      <c r="B225" s="23" t="s">
        <v>538</v>
      </c>
      <c r="C225" s="24" t="s">
        <v>539</v>
      </c>
      <c r="D225" s="36">
        <v>730207</v>
      </c>
      <c r="E225" s="26">
        <v>380000</v>
      </c>
      <c r="F225" s="27">
        <v>88500</v>
      </c>
      <c r="G225" s="28">
        <v>1</v>
      </c>
      <c r="H225" s="82">
        <v>46065</v>
      </c>
      <c r="I225" s="82">
        <v>46065</v>
      </c>
      <c r="J225" s="82">
        <v>46090</v>
      </c>
      <c r="K225" s="82">
        <v>46090</v>
      </c>
      <c r="L225" s="82">
        <v>46090</v>
      </c>
      <c r="M225" s="82">
        <v>46091</v>
      </c>
      <c r="N225" s="83">
        <v>46091</v>
      </c>
      <c r="O225" s="83">
        <v>46091</v>
      </c>
      <c r="P225" s="83">
        <v>46092</v>
      </c>
      <c r="Q225" s="55">
        <v>46092</v>
      </c>
      <c r="R225" s="55">
        <v>46092</v>
      </c>
      <c r="S225" s="55">
        <v>46093</v>
      </c>
      <c r="T225" s="55">
        <v>46097</v>
      </c>
      <c r="U225" s="55">
        <v>46100</v>
      </c>
      <c r="V225" s="55">
        <v>46101</v>
      </c>
      <c r="W225" s="55">
        <v>46101</v>
      </c>
      <c r="X225" s="55">
        <v>46104</v>
      </c>
      <c r="Y225" s="55">
        <v>46105</v>
      </c>
      <c r="Z225" s="55">
        <v>46105</v>
      </c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>
        <v>46105</v>
      </c>
      <c r="AO225" s="55">
        <v>46105</v>
      </c>
      <c r="AP225" s="55">
        <v>46106</v>
      </c>
      <c r="AQ225" s="55">
        <v>46107</v>
      </c>
      <c r="AR225" s="55">
        <v>46107</v>
      </c>
      <c r="AS225" s="55">
        <v>46108</v>
      </c>
      <c r="AT225" s="55">
        <v>46108</v>
      </c>
      <c r="AU225" s="55">
        <v>46111</v>
      </c>
      <c r="AV225" s="55">
        <v>46113</v>
      </c>
      <c r="AW225" s="55">
        <v>46118</v>
      </c>
      <c r="AX225" s="55">
        <v>46120</v>
      </c>
      <c r="AY225" s="55">
        <v>46121</v>
      </c>
      <c r="AZ225" s="55">
        <v>46122</v>
      </c>
      <c r="BA225" s="55">
        <v>46126</v>
      </c>
      <c r="BB225" s="55">
        <v>46126</v>
      </c>
      <c r="BC225" s="55">
        <v>46126</v>
      </c>
      <c r="BD225" s="55">
        <v>46129</v>
      </c>
      <c r="BE225" s="55">
        <v>46134</v>
      </c>
      <c r="BF225" s="84"/>
      <c r="BG225" s="84" t="s">
        <v>91</v>
      </c>
      <c r="BH225" s="84" t="s">
        <v>193</v>
      </c>
      <c r="BI225" s="84" t="s">
        <v>451</v>
      </c>
      <c r="BJ225" s="84"/>
    </row>
    <row r="226" spans="1:62" s="30" customFormat="1" ht="14.45" customHeight="1" x14ac:dyDescent="0.25">
      <c r="A226" s="22" t="s">
        <v>540</v>
      </c>
      <c r="B226" s="23" t="s">
        <v>541</v>
      </c>
      <c r="C226" s="24" t="s">
        <v>542</v>
      </c>
      <c r="D226" s="25">
        <v>730702</v>
      </c>
      <c r="E226" s="26">
        <v>148771</v>
      </c>
      <c r="F226" s="43">
        <f>148771-109524.49</f>
        <v>39246.509999999995</v>
      </c>
      <c r="G226" s="85">
        <v>2</v>
      </c>
      <c r="H226" s="33">
        <v>46162</v>
      </c>
      <c r="I226" s="33">
        <v>46162</v>
      </c>
      <c r="J226" s="33">
        <v>46163</v>
      </c>
      <c r="K226" s="33">
        <v>46163</v>
      </c>
      <c r="L226" s="33">
        <v>46163</v>
      </c>
      <c r="M226" s="33">
        <v>46164</v>
      </c>
      <c r="N226" s="33">
        <v>46167</v>
      </c>
      <c r="O226" s="33">
        <v>46168</v>
      </c>
      <c r="P226" s="33">
        <v>46169</v>
      </c>
      <c r="Q226" s="33">
        <v>46170</v>
      </c>
      <c r="R226" s="33">
        <v>46171</v>
      </c>
      <c r="S226" s="33">
        <v>46171</v>
      </c>
      <c r="T226" s="33">
        <v>46174</v>
      </c>
      <c r="U226" s="33">
        <v>46175</v>
      </c>
      <c r="V226" s="33">
        <v>46176</v>
      </c>
      <c r="W226" s="33">
        <v>46177</v>
      </c>
      <c r="X226" s="33">
        <v>46177</v>
      </c>
      <c r="Y226" s="33">
        <v>46178</v>
      </c>
      <c r="Z226" s="33">
        <v>46178</v>
      </c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>
        <v>46181</v>
      </c>
      <c r="AO226" s="33">
        <v>46182</v>
      </c>
      <c r="AP226" s="33">
        <v>46182</v>
      </c>
      <c r="AQ226" s="33">
        <v>46183</v>
      </c>
      <c r="AR226" s="33">
        <v>46184</v>
      </c>
      <c r="AS226" s="33">
        <v>46185</v>
      </c>
      <c r="AT226" s="33">
        <v>46188</v>
      </c>
      <c r="AU226" s="33">
        <v>46188</v>
      </c>
      <c r="AV226" s="33">
        <v>46192</v>
      </c>
      <c r="AW226" s="33">
        <v>46196</v>
      </c>
      <c r="AX226" s="33">
        <v>46202</v>
      </c>
      <c r="AY226" s="33">
        <v>46203</v>
      </c>
      <c r="AZ226" s="33">
        <v>46204</v>
      </c>
      <c r="BA226" s="33">
        <v>46206</v>
      </c>
      <c r="BB226" s="33">
        <v>46209</v>
      </c>
      <c r="BC226" s="33">
        <v>46209</v>
      </c>
      <c r="BD226" s="33">
        <v>46212</v>
      </c>
      <c r="BE226" s="33">
        <v>46217</v>
      </c>
      <c r="BF226" s="34"/>
      <c r="BG226" s="34" t="s">
        <v>91</v>
      </c>
      <c r="BH226" s="34" t="s">
        <v>306</v>
      </c>
      <c r="BI226" s="34" t="s">
        <v>543</v>
      </c>
      <c r="BJ226" s="34"/>
    </row>
  </sheetData>
  <autoFilter ref="A2:BK226" xr:uid="{00000000-0001-0000-0300-000000000000}"/>
  <dataConsolidate/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POA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Wladimir Casa Chanaluisa</dc:creator>
  <cp:lastModifiedBy>Alex Wladimir Casa Chanaluisa</cp:lastModifiedBy>
  <dcterms:created xsi:type="dcterms:W3CDTF">2026-03-10T20:51:47Z</dcterms:created>
  <dcterms:modified xsi:type="dcterms:W3CDTF">2026-04-29T22:14:36Z</dcterms:modified>
</cp:coreProperties>
</file>