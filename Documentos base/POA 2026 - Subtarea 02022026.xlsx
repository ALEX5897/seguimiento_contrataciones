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base/"/>
    </mc:Choice>
  </mc:AlternateContent>
  <xr:revisionPtr revIDLastSave="3" documentId="13_ncr:1_{7E4674DD-C7DD-4B75-B9E2-A58DCF702BA0}" xr6:coauthVersionLast="47" xr6:coauthVersionMax="47" xr10:uidLastSave="{FFC4D058-2978-4A62-86C4-526A174694EF}"/>
  <bookViews>
    <workbookView xWindow="-80" yWindow="-80" windowWidth="25760" windowHeight="15440" tabRatio="569" firstSheet="1" activeTab="3" xr2:uid="{00000000-000D-0000-FFFF-FFFF00000000}"/>
  </bookViews>
  <sheets>
    <sheet name="TD" sheetId="30" r:id="rId1"/>
    <sheet name="Hoja1" sheetId="37" r:id="rId2"/>
    <sheet name="Hoja2" sheetId="40" r:id="rId3"/>
    <sheet name="Matriz POA 2026" sheetId="12" r:id="rId4"/>
    <sheet name="POA (indicaciones generales)" sheetId="21" state="hidden" r:id="rId5"/>
    <sheet name="OBJ GESTION PMDOT" sheetId="22" state="hidden" r:id="rId6"/>
    <sheet name="Listas" sheetId="14" state="hidden" r:id="rId7"/>
  </sheets>
  <definedNames>
    <definedName name="_xlnm._FilterDatabase" localSheetId="3" hidden="1">'Matriz POA 2026'!$A$5:$GV$233</definedName>
    <definedName name="_xlnm.Print_Area" localSheetId="4">'POA (indicaciones generales)'!$A$1:$AI$13</definedName>
  </definedNames>
  <calcPr calcId="191029"/>
  <pivotCaches>
    <pivotCache cacheId="4" r:id="rId8"/>
    <pivotCache cacheId="5" r:id="rId9"/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29" i="12" l="1" a="1"/>
  <c r="AR229" i="12" s="1"/>
  <c r="AQ229" i="12" a="1"/>
  <c r="AQ229" i="12" s="1"/>
  <c r="AR228" i="12" a="1"/>
  <c r="AR228" i="12" s="1"/>
  <c r="AQ228" i="12" a="1"/>
  <c r="AQ228" i="12" s="1"/>
  <c r="AR227" i="12" a="1"/>
  <c r="AR227" i="12" s="1"/>
  <c r="AQ227" i="12" a="1"/>
  <c r="AQ227" i="12" s="1"/>
  <c r="AR226" i="12" a="1"/>
  <c r="AR226" i="12" s="1"/>
  <c r="AQ226" i="12" a="1"/>
  <c r="AQ226" i="12" s="1"/>
  <c r="AR225" i="12" a="1"/>
  <c r="AR225" i="12" s="1"/>
  <c r="AQ225" i="12" a="1"/>
  <c r="AQ225" i="12" s="1"/>
  <c r="AR224" i="12" a="1"/>
  <c r="AR224" i="12" s="1"/>
  <c r="AQ224" i="12" a="1"/>
  <c r="AQ224" i="12" s="1"/>
  <c r="AR223" i="12" a="1"/>
  <c r="AR223" i="12" s="1"/>
  <c r="AQ223" i="12" a="1"/>
  <c r="AQ223" i="12" s="1"/>
  <c r="AR222" i="12" a="1"/>
  <c r="AR222" i="12" s="1"/>
  <c r="AQ222" i="12" a="1"/>
  <c r="AQ222" i="12" s="1"/>
  <c r="AR221" i="12" a="1"/>
  <c r="AR221" i="12" s="1"/>
  <c r="AQ221" i="12" a="1"/>
  <c r="AQ221" i="12" s="1"/>
  <c r="AR220" i="12" a="1"/>
  <c r="AR220" i="12" s="1"/>
  <c r="AQ220" i="12" a="1"/>
  <c r="AQ220" i="12" s="1"/>
  <c r="AR219" i="12" a="1"/>
  <c r="AR219" i="12" s="1"/>
  <c r="AQ219" i="12" a="1"/>
  <c r="AQ219" i="12" s="1"/>
  <c r="AR218" i="12" a="1"/>
  <c r="AR218" i="12" s="1"/>
  <c r="AQ218" i="12" a="1"/>
  <c r="AQ218" i="12" s="1"/>
  <c r="AR217" i="12" a="1"/>
  <c r="AR217" i="12" s="1"/>
  <c r="AQ217" i="12" a="1"/>
  <c r="AQ217" i="12" s="1"/>
  <c r="AR216" i="12" a="1"/>
  <c r="AR216" i="12" s="1"/>
  <c r="AQ216" i="12" a="1"/>
  <c r="AQ216" i="12" s="1"/>
  <c r="AR215" i="12" a="1"/>
  <c r="AR215" i="12" s="1"/>
  <c r="AQ215" i="12" a="1"/>
  <c r="AQ215" i="12" s="1"/>
  <c r="AR214" i="12" a="1"/>
  <c r="AR214" i="12" s="1"/>
  <c r="AQ214" i="12" a="1"/>
  <c r="AQ214" i="12" s="1"/>
  <c r="AR213" i="12" a="1"/>
  <c r="AR213" i="12" s="1"/>
  <c r="AQ213" i="12" a="1"/>
  <c r="AQ213" i="12" s="1"/>
  <c r="AR212" i="12" a="1"/>
  <c r="AR212" i="12" s="1"/>
  <c r="AQ212" i="12" a="1"/>
  <c r="AQ212" i="12" s="1"/>
  <c r="AR211" i="12" a="1"/>
  <c r="AR211" i="12" s="1"/>
  <c r="AQ211" i="12" a="1"/>
  <c r="AQ211" i="12" s="1"/>
  <c r="AR210" i="12" a="1"/>
  <c r="AR210" i="12" s="1"/>
  <c r="AQ210" i="12" a="1"/>
  <c r="AQ210" i="12" s="1"/>
  <c r="AR209" i="12" a="1"/>
  <c r="AR209" i="12" s="1"/>
  <c r="AQ209" i="12" a="1"/>
  <c r="AQ209" i="12" s="1"/>
  <c r="AR208" i="12" a="1"/>
  <c r="AR208" i="12" s="1"/>
  <c r="AQ208" i="12" a="1"/>
  <c r="AQ208" i="12" s="1"/>
  <c r="AR207" i="12" a="1"/>
  <c r="AR207" i="12" s="1"/>
  <c r="AQ207" i="12" a="1"/>
  <c r="AQ207" i="12" s="1"/>
  <c r="AR206" i="12" a="1"/>
  <c r="AR206" i="12" s="1"/>
  <c r="AQ206" i="12" a="1"/>
  <c r="AQ206" i="12" s="1"/>
  <c r="AR205" i="12" a="1"/>
  <c r="AR205" i="12" s="1"/>
  <c r="AQ205" i="12" a="1"/>
  <c r="AQ205" i="12" s="1"/>
  <c r="AR204" i="12" a="1"/>
  <c r="AR204" i="12" s="1"/>
  <c r="AQ204" i="12" a="1"/>
  <c r="AQ204" i="12" s="1"/>
  <c r="AR203" i="12" a="1"/>
  <c r="AR203" i="12" s="1"/>
  <c r="AQ203" i="12" a="1"/>
  <c r="AQ203" i="12" s="1"/>
  <c r="AR202" i="12" a="1"/>
  <c r="AR202" i="12" s="1"/>
  <c r="AQ202" i="12" a="1"/>
  <c r="AQ202" i="12" s="1"/>
  <c r="AR201" i="12" a="1"/>
  <c r="AR201" i="12" s="1"/>
  <c r="AQ201" i="12" a="1"/>
  <c r="AQ201" i="12" s="1"/>
  <c r="AR200" i="12" a="1"/>
  <c r="AR200" i="12" s="1"/>
  <c r="AQ200" i="12" a="1"/>
  <c r="AQ200" i="12" s="1"/>
  <c r="AR199" i="12" a="1"/>
  <c r="AR199" i="12" s="1"/>
  <c r="AQ199" i="12" a="1"/>
  <c r="AQ199" i="12" s="1"/>
  <c r="AR198" i="12" a="1"/>
  <c r="AR198" i="12" s="1"/>
  <c r="AQ198" i="12" a="1"/>
  <c r="AQ198" i="12" s="1"/>
  <c r="AR197" i="12" a="1"/>
  <c r="AR197" i="12" s="1"/>
  <c r="AQ197" i="12" a="1"/>
  <c r="AQ197" i="12" s="1"/>
  <c r="AR196" i="12" a="1"/>
  <c r="AR196" i="12" s="1"/>
  <c r="AQ196" i="12" a="1"/>
  <c r="AQ196" i="12" s="1"/>
  <c r="AR195" i="12" a="1"/>
  <c r="AR195" i="12" s="1"/>
  <c r="AQ195" i="12" a="1"/>
  <c r="AQ195" i="12" s="1"/>
  <c r="AR194" i="12" a="1"/>
  <c r="AR194" i="12" s="1"/>
  <c r="AQ194" i="12" a="1"/>
  <c r="AQ194" i="12" s="1"/>
  <c r="AR193" i="12" a="1"/>
  <c r="AR193" i="12" s="1"/>
  <c r="AQ193" i="12" a="1"/>
  <c r="AQ193" i="12" s="1"/>
  <c r="AR192" i="12" a="1"/>
  <c r="AR192" i="12" s="1"/>
  <c r="AQ192" i="12" a="1"/>
  <c r="AQ192" i="12" s="1"/>
  <c r="AR191" i="12" a="1"/>
  <c r="AR191" i="12" s="1"/>
  <c r="AQ191" i="12" a="1"/>
  <c r="AQ191" i="12" s="1"/>
  <c r="AR190" i="12" a="1"/>
  <c r="AR190" i="12" s="1"/>
  <c r="AQ190" i="12" a="1"/>
  <c r="AQ190" i="12" s="1"/>
  <c r="AR189" i="12" a="1"/>
  <c r="AR189" i="12" s="1"/>
  <c r="AQ189" i="12" a="1"/>
  <c r="AQ189" i="12" s="1"/>
  <c r="AR188" i="12" a="1"/>
  <c r="AR188" i="12" s="1"/>
  <c r="AQ188" i="12" a="1"/>
  <c r="AQ188" i="12" s="1"/>
  <c r="AR187" i="12" a="1"/>
  <c r="AR187" i="12" s="1"/>
  <c r="AQ187" i="12" a="1"/>
  <c r="AQ187" i="12" s="1"/>
  <c r="AR186" i="12" a="1"/>
  <c r="AR186" i="12" s="1"/>
  <c r="AQ186" i="12" a="1"/>
  <c r="AQ186" i="12" s="1"/>
  <c r="AR185" i="12" a="1"/>
  <c r="AR185" i="12" s="1"/>
  <c r="AQ185" i="12" a="1"/>
  <c r="AQ185" i="12" s="1"/>
  <c r="AR184" i="12" a="1"/>
  <c r="AR184" i="12" s="1"/>
  <c r="AQ184" i="12" a="1"/>
  <c r="AQ184" i="12" s="1"/>
  <c r="AR183" i="12" a="1"/>
  <c r="AR183" i="12" s="1"/>
  <c r="AQ183" i="12" a="1"/>
  <c r="AQ183" i="12" s="1"/>
  <c r="AR182" i="12" a="1"/>
  <c r="AR182" i="12" s="1"/>
  <c r="AQ182" i="12" a="1"/>
  <c r="AQ182" i="12" s="1"/>
  <c r="AR181" i="12" a="1"/>
  <c r="AR181" i="12" s="1"/>
  <c r="AQ181" i="12" a="1"/>
  <c r="AQ181" i="12" s="1"/>
  <c r="AR180" i="12" a="1"/>
  <c r="AR180" i="12" s="1"/>
  <c r="AQ180" i="12" a="1"/>
  <c r="AQ180" i="12" s="1"/>
  <c r="AR179" i="12" a="1"/>
  <c r="AR179" i="12" s="1"/>
  <c r="AQ179" i="12" a="1"/>
  <c r="AQ179" i="12" s="1"/>
  <c r="AR178" i="12" a="1"/>
  <c r="AR178" i="12" s="1"/>
  <c r="AQ178" i="12" a="1"/>
  <c r="AQ178" i="12" s="1"/>
  <c r="AR177" i="12" a="1"/>
  <c r="AR177" i="12" s="1"/>
  <c r="AQ177" i="12" a="1"/>
  <c r="AQ177" i="12" s="1"/>
  <c r="AR176" i="12" a="1"/>
  <c r="AR176" i="12" s="1"/>
  <c r="AQ176" i="12" a="1"/>
  <c r="AQ176" i="12" s="1"/>
  <c r="AR175" i="12" a="1"/>
  <c r="AR175" i="12" s="1"/>
  <c r="AQ175" i="12" a="1"/>
  <c r="AQ175" i="12" s="1"/>
  <c r="AR174" i="12" a="1"/>
  <c r="AR174" i="12" s="1"/>
  <c r="AQ174" i="12" a="1"/>
  <c r="AQ174" i="12" s="1"/>
  <c r="AR173" i="12" a="1"/>
  <c r="AR173" i="12" s="1"/>
  <c r="AQ173" i="12" a="1"/>
  <c r="AQ173" i="12" s="1"/>
  <c r="AR172" i="12" a="1"/>
  <c r="AR172" i="12" s="1"/>
  <c r="AQ172" i="12" a="1"/>
  <c r="AQ172" i="12" s="1"/>
  <c r="AR171" i="12" a="1"/>
  <c r="AR171" i="12" s="1"/>
  <c r="AQ171" i="12" a="1"/>
  <c r="AQ171" i="12" s="1"/>
  <c r="AR170" i="12" a="1"/>
  <c r="AR170" i="12" s="1"/>
  <c r="AQ170" i="12" a="1"/>
  <c r="AQ170" i="12" s="1"/>
  <c r="AR169" i="12" a="1"/>
  <c r="AR169" i="12" s="1"/>
  <c r="AQ169" i="12" a="1"/>
  <c r="AQ169" i="12" s="1"/>
  <c r="AR168" i="12" a="1"/>
  <c r="AR168" i="12" s="1"/>
  <c r="AQ168" i="12" a="1"/>
  <c r="AQ168" i="12" s="1"/>
  <c r="AR167" i="12" a="1"/>
  <c r="AR167" i="12" s="1"/>
  <c r="AQ167" i="12" a="1"/>
  <c r="AQ167" i="12" s="1"/>
  <c r="AR166" i="12" a="1"/>
  <c r="AR166" i="12" s="1"/>
  <c r="AQ166" i="12" a="1"/>
  <c r="AQ166" i="12" s="1"/>
  <c r="AR165" i="12" a="1"/>
  <c r="AR165" i="12" s="1"/>
  <c r="AQ165" i="12" a="1"/>
  <c r="AQ165" i="12" s="1"/>
  <c r="AR164" i="12" a="1"/>
  <c r="AR164" i="12" s="1"/>
  <c r="AQ164" i="12" a="1"/>
  <c r="AQ164" i="12" s="1"/>
  <c r="AR163" i="12" a="1"/>
  <c r="AR163" i="12" s="1"/>
  <c r="AQ163" i="12" a="1"/>
  <c r="AQ163" i="12" s="1"/>
  <c r="AR162" i="12" a="1"/>
  <c r="AR162" i="12" s="1"/>
  <c r="AQ162" i="12" a="1"/>
  <c r="AQ162" i="12" s="1"/>
  <c r="AR161" i="12" a="1"/>
  <c r="AR161" i="12" s="1"/>
  <c r="AQ161" i="12" a="1"/>
  <c r="AQ161" i="12" s="1"/>
  <c r="AR160" i="12" a="1"/>
  <c r="AR160" i="12" s="1"/>
  <c r="AQ160" i="12" a="1"/>
  <c r="AQ160" i="12" s="1"/>
  <c r="AR159" i="12" a="1"/>
  <c r="AR159" i="12" s="1"/>
  <c r="AQ159" i="12" a="1"/>
  <c r="AQ159" i="12" s="1"/>
  <c r="AR158" i="12" a="1"/>
  <c r="AR158" i="12" s="1"/>
  <c r="AQ158" i="12" a="1"/>
  <c r="AQ158" i="12" s="1"/>
  <c r="AR157" i="12" a="1"/>
  <c r="AR157" i="12" s="1"/>
  <c r="AQ157" i="12" a="1"/>
  <c r="AQ157" i="12" s="1"/>
  <c r="AR156" i="12" a="1"/>
  <c r="AR156" i="12" s="1"/>
  <c r="AQ156" i="12" a="1"/>
  <c r="AQ156" i="12" s="1"/>
  <c r="AR155" i="12" a="1"/>
  <c r="AR155" i="12" s="1"/>
  <c r="AQ155" i="12" a="1"/>
  <c r="AQ155" i="12" s="1"/>
  <c r="AR154" i="12" a="1"/>
  <c r="AR154" i="12" s="1"/>
  <c r="AQ154" i="12" a="1"/>
  <c r="AQ154" i="12" s="1"/>
  <c r="AR153" i="12" a="1"/>
  <c r="AR153" i="12" s="1"/>
  <c r="AQ153" i="12" a="1"/>
  <c r="AQ153" i="12" s="1"/>
  <c r="AR152" i="12" a="1"/>
  <c r="AR152" i="12" s="1"/>
  <c r="AQ152" i="12" a="1"/>
  <c r="AQ152" i="12" s="1"/>
  <c r="AR151" i="12" a="1"/>
  <c r="AR151" i="12" s="1"/>
  <c r="AQ151" i="12" a="1"/>
  <c r="AQ151" i="12" s="1"/>
  <c r="AR150" i="12" a="1"/>
  <c r="AR150" i="12" s="1"/>
  <c r="AQ150" i="12" a="1"/>
  <c r="AQ150" i="12" s="1"/>
  <c r="AR149" i="12" a="1"/>
  <c r="AR149" i="12" s="1"/>
  <c r="AQ149" i="12" a="1"/>
  <c r="AQ149" i="12" s="1"/>
  <c r="AR148" i="12" a="1"/>
  <c r="AR148" i="12" s="1"/>
  <c r="AQ148" i="12" a="1"/>
  <c r="AQ148" i="12" s="1"/>
  <c r="AR147" i="12" a="1"/>
  <c r="AR147" i="12" s="1"/>
  <c r="AQ147" i="12" a="1"/>
  <c r="AQ147" i="12" s="1"/>
  <c r="AR146" i="12" a="1"/>
  <c r="AR146" i="12" s="1"/>
  <c r="AQ146" i="12" a="1"/>
  <c r="AQ146" i="12" s="1"/>
  <c r="AR145" i="12" a="1"/>
  <c r="AR145" i="12" s="1"/>
  <c r="AQ145" i="12" a="1"/>
  <c r="AQ145" i="12" s="1"/>
  <c r="AR144" i="12" a="1"/>
  <c r="AR144" i="12" s="1"/>
  <c r="AQ144" i="12" a="1"/>
  <c r="AQ144" i="12" s="1"/>
  <c r="AR143" i="12" a="1"/>
  <c r="AR143" i="12" s="1"/>
  <c r="AQ143" i="12" a="1"/>
  <c r="AQ143" i="12" s="1"/>
  <c r="AR142" i="12" a="1"/>
  <c r="AR142" i="12" s="1"/>
  <c r="AQ142" i="12" a="1"/>
  <c r="AQ142" i="12" s="1"/>
  <c r="AR141" i="12" a="1"/>
  <c r="AR141" i="12" s="1"/>
  <c r="AQ141" i="12" a="1"/>
  <c r="AQ141" i="12" s="1"/>
  <c r="AR140" i="12" a="1"/>
  <c r="AR140" i="12" s="1"/>
  <c r="AQ140" i="12" a="1"/>
  <c r="AQ140" i="12" s="1"/>
  <c r="AR139" i="12" a="1"/>
  <c r="AR139" i="12" s="1"/>
  <c r="AQ139" i="12" a="1"/>
  <c r="AQ139" i="12" s="1"/>
  <c r="AR138" i="12" a="1"/>
  <c r="AR138" i="12" s="1"/>
  <c r="AQ138" i="12" a="1"/>
  <c r="AQ138" i="12" s="1"/>
  <c r="AR137" i="12" a="1"/>
  <c r="AR137" i="12" s="1"/>
  <c r="AQ137" i="12" a="1"/>
  <c r="AQ137" i="12" s="1"/>
  <c r="AR136" i="12" a="1"/>
  <c r="AR136" i="12" s="1"/>
  <c r="AQ136" i="12" a="1"/>
  <c r="AQ136" i="12" s="1"/>
  <c r="AR135" i="12" a="1"/>
  <c r="AR135" i="12" s="1"/>
  <c r="AQ135" i="12" a="1"/>
  <c r="AQ135" i="12" s="1"/>
  <c r="AR134" i="12" a="1"/>
  <c r="AR134" i="12" s="1"/>
  <c r="AQ134" i="12" a="1"/>
  <c r="AQ134" i="12" s="1"/>
  <c r="AR133" i="12" a="1"/>
  <c r="AR133" i="12" s="1"/>
  <c r="AQ133" i="12" a="1"/>
  <c r="AQ133" i="12" s="1"/>
  <c r="AR132" i="12" a="1"/>
  <c r="AR132" i="12" s="1"/>
  <c r="AQ132" i="12" a="1"/>
  <c r="AQ132" i="12" s="1"/>
  <c r="AR131" i="12" a="1"/>
  <c r="AR131" i="12" s="1"/>
  <c r="AQ131" i="12" a="1"/>
  <c r="AQ131" i="12" s="1"/>
  <c r="AR130" i="12" a="1"/>
  <c r="AR130" i="12" s="1"/>
  <c r="AQ130" i="12" a="1"/>
  <c r="AQ130" i="12" s="1"/>
  <c r="AR129" i="12" a="1"/>
  <c r="AR129" i="12" s="1"/>
  <c r="AQ129" i="12" a="1"/>
  <c r="AQ129" i="12" s="1"/>
  <c r="AR128" i="12" a="1"/>
  <c r="AR128" i="12" s="1"/>
  <c r="AQ128" i="12" a="1"/>
  <c r="AQ128" i="12" s="1"/>
  <c r="AR127" i="12" a="1"/>
  <c r="AR127" i="12" s="1"/>
  <c r="AQ127" i="12" a="1"/>
  <c r="AQ127" i="12" s="1"/>
  <c r="AR126" i="12" a="1"/>
  <c r="AR126" i="12" s="1"/>
  <c r="AQ126" i="12" a="1"/>
  <c r="AQ126" i="12" s="1"/>
  <c r="AR125" i="12" a="1"/>
  <c r="AR125" i="12" s="1"/>
  <c r="AQ125" i="12" a="1"/>
  <c r="AQ125" i="12" s="1"/>
  <c r="AR124" i="12" a="1"/>
  <c r="AR124" i="12" s="1"/>
  <c r="AQ124" i="12" a="1"/>
  <c r="AQ124" i="12" s="1"/>
  <c r="AR123" i="12" a="1"/>
  <c r="AR123" i="12" s="1"/>
  <c r="AQ123" i="12" a="1"/>
  <c r="AQ123" i="12" s="1"/>
  <c r="AR122" i="12" a="1"/>
  <c r="AR122" i="12" s="1"/>
  <c r="AQ122" i="12" a="1"/>
  <c r="AQ122" i="12" s="1"/>
  <c r="AR121" i="12" a="1"/>
  <c r="AR121" i="12" s="1"/>
  <c r="AQ121" i="12" a="1"/>
  <c r="AQ121" i="12" s="1"/>
  <c r="AR120" i="12" a="1"/>
  <c r="AR120" i="12" s="1"/>
  <c r="AQ120" i="12" a="1"/>
  <c r="AQ120" i="12" s="1"/>
  <c r="AR119" i="12" a="1"/>
  <c r="AR119" i="12" s="1"/>
  <c r="AQ119" i="12" a="1"/>
  <c r="AQ119" i="12" s="1"/>
  <c r="AR118" i="12" a="1"/>
  <c r="AR118" i="12" s="1"/>
  <c r="AQ118" i="12" a="1"/>
  <c r="AQ118" i="12" s="1"/>
  <c r="AR117" i="12" a="1"/>
  <c r="AR117" i="12" s="1"/>
  <c r="AQ117" i="12" a="1"/>
  <c r="AQ117" i="12" s="1"/>
  <c r="AR116" i="12" a="1"/>
  <c r="AR116" i="12" s="1"/>
  <c r="AQ116" i="12" a="1"/>
  <c r="AQ116" i="12" s="1"/>
  <c r="AR115" i="12" a="1"/>
  <c r="AR115" i="12" s="1"/>
  <c r="AQ115" i="12" a="1"/>
  <c r="AQ115" i="12" s="1"/>
  <c r="AR114" i="12" a="1"/>
  <c r="AR114" i="12" s="1"/>
  <c r="AQ114" i="12" a="1"/>
  <c r="AQ114" i="12" s="1"/>
  <c r="AR113" i="12" a="1"/>
  <c r="AR113" i="12" s="1"/>
  <c r="AQ113" i="12" a="1"/>
  <c r="AQ113" i="12" s="1"/>
  <c r="AR112" i="12" a="1"/>
  <c r="AR112" i="12" s="1"/>
  <c r="AQ112" i="12" a="1"/>
  <c r="AQ112" i="12" s="1"/>
  <c r="AR111" i="12" a="1"/>
  <c r="AR111" i="12" s="1"/>
  <c r="AQ111" i="12" a="1"/>
  <c r="AQ111" i="12" s="1"/>
  <c r="AR110" i="12" a="1"/>
  <c r="AR110" i="12" s="1"/>
  <c r="AQ110" i="12" a="1"/>
  <c r="AQ110" i="12" s="1"/>
  <c r="AR109" i="12" a="1"/>
  <c r="AR109" i="12" s="1"/>
  <c r="AQ109" i="12" a="1"/>
  <c r="AQ109" i="12" s="1"/>
  <c r="AR108" i="12" a="1"/>
  <c r="AR108" i="12" s="1"/>
  <c r="AQ108" i="12" a="1"/>
  <c r="AQ108" i="12" s="1"/>
  <c r="AR107" i="12" a="1"/>
  <c r="AR107" i="12" s="1"/>
  <c r="AQ107" i="12" a="1"/>
  <c r="AQ107" i="12" s="1"/>
  <c r="AR106" i="12" a="1"/>
  <c r="AR106" i="12" s="1"/>
  <c r="AQ106" i="12" a="1"/>
  <c r="AQ106" i="12" s="1"/>
  <c r="AR105" i="12" a="1"/>
  <c r="AR105" i="12" s="1"/>
  <c r="AQ105" i="12" a="1"/>
  <c r="AQ105" i="12" s="1"/>
  <c r="AR104" i="12" a="1"/>
  <c r="AR104" i="12" s="1"/>
  <c r="AQ104" i="12" a="1"/>
  <c r="AQ104" i="12" s="1"/>
  <c r="AR103" i="12" a="1"/>
  <c r="AR103" i="12" s="1"/>
  <c r="AQ103" i="12" a="1"/>
  <c r="AQ103" i="12" s="1"/>
  <c r="AR102" i="12" a="1"/>
  <c r="AR102" i="12" s="1"/>
  <c r="AQ102" i="12" a="1"/>
  <c r="AQ102" i="12" s="1"/>
  <c r="AR101" i="12" a="1"/>
  <c r="AR101" i="12" s="1"/>
  <c r="AQ101" i="12" a="1"/>
  <c r="AQ101" i="12" s="1"/>
  <c r="AR100" i="12" a="1"/>
  <c r="AR100" i="12" s="1"/>
  <c r="AQ100" i="12" a="1"/>
  <c r="AQ100" i="12" s="1"/>
  <c r="AR99" i="12" a="1"/>
  <c r="AR99" i="12" s="1"/>
  <c r="AQ99" i="12" a="1"/>
  <c r="AQ99" i="12" s="1"/>
  <c r="AR98" i="12" a="1"/>
  <c r="AR98" i="12" s="1"/>
  <c r="AQ98" i="12" a="1"/>
  <c r="AQ98" i="12" s="1"/>
  <c r="AR97" i="12" a="1"/>
  <c r="AR97" i="12" s="1"/>
  <c r="AQ97" i="12" a="1"/>
  <c r="AQ97" i="12" s="1"/>
  <c r="AR96" i="12" a="1"/>
  <c r="AR96" i="12" s="1"/>
  <c r="AQ96" i="12" a="1"/>
  <c r="AQ96" i="12" s="1"/>
  <c r="AR95" i="12" a="1"/>
  <c r="AR95" i="12" s="1"/>
  <c r="AQ95" i="12" a="1"/>
  <c r="AQ95" i="12" s="1"/>
  <c r="AR94" i="12" a="1"/>
  <c r="AR94" i="12" s="1"/>
  <c r="AQ94" i="12" a="1"/>
  <c r="AQ94" i="12" s="1"/>
  <c r="AR93" i="12" a="1"/>
  <c r="AR93" i="12" s="1"/>
  <c r="AQ93" i="12" a="1"/>
  <c r="AQ93" i="12" s="1"/>
  <c r="AR92" i="12" a="1"/>
  <c r="AR92" i="12" s="1"/>
  <c r="AQ92" i="12" a="1"/>
  <c r="AQ92" i="12" s="1"/>
  <c r="AR91" i="12" a="1"/>
  <c r="AR91" i="12" s="1"/>
  <c r="AQ91" i="12" a="1"/>
  <c r="AQ91" i="12" s="1"/>
  <c r="AR90" i="12" a="1"/>
  <c r="AR90" i="12" s="1"/>
  <c r="AQ90" i="12" a="1"/>
  <c r="AQ90" i="12" s="1"/>
  <c r="AR89" i="12" a="1"/>
  <c r="AR89" i="12" s="1"/>
  <c r="AQ89" i="12" a="1"/>
  <c r="AQ89" i="12" s="1"/>
  <c r="AR88" i="12" a="1"/>
  <c r="AR88" i="12" s="1"/>
  <c r="AQ88" i="12" a="1"/>
  <c r="AQ88" i="12" s="1"/>
  <c r="AR87" i="12" a="1"/>
  <c r="AR87" i="12" s="1"/>
  <c r="AQ87" i="12" a="1"/>
  <c r="AQ87" i="12" s="1"/>
  <c r="AR86" i="12" a="1"/>
  <c r="AR86" i="12" s="1"/>
  <c r="AQ86" i="12" a="1"/>
  <c r="AQ86" i="12" s="1"/>
  <c r="AR85" i="12" a="1"/>
  <c r="AR85" i="12" s="1"/>
  <c r="AQ85" i="12" a="1"/>
  <c r="AQ85" i="12" s="1"/>
  <c r="AR84" i="12" a="1"/>
  <c r="AR84" i="12" s="1"/>
  <c r="AQ84" i="12" a="1"/>
  <c r="AQ84" i="12" s="1"/>
  <c r="AR83" i="12" a="1"/>
  <c r="AR83" i="12" s="1"/>
  <c r="AQ83" i="12" a="1"/>
  <c r="AQ83" i="12" s="1"/>
  <c r="AR82" i="12" a="1"/>
  <c r="AR82" i="12" s="1"/>
  <c r="AQ82" i="12" a="1"/>
  <c r="AQ82" i="12" s="1"/>
  <c r="AR81" i="12" a="1"/>
  <c r="AR81" i="12" s="1"/>
  <c r="AQ81" i="12" a="1"/>
  <c r="AQ81" i="12" s="1"/>
  <c r="AR80" i="12" a="1"/>
  <c r="AR80" i="12" s="1"/>
  <c r="AQ80" i="12" a="1"/>
  <c r="AQ80" i="12" s="1"/>
  <c r="AR79" i="12" a="1"/>
  <c r="AR79" i="12" s="1"/>
  <c r="AQ79" i="12" a="1"/>
  <c r="AQ79" i="12" s="1"/>
  <c r="AR78" i="12" a="1"/>
  <c r="AR78" i="12" s="1"/>
  <c r="AQ78" i="12" a="1"/>
  <c r="AQ78" i="12" s="1"/>
  <c r="AR77" i="12" a="1"/>
  <c r="AR77" i="12" s="1"/>
  <c r="AQ77" i="12" a="1"/>
  <c r="AQ77" i="12" s="1"/>
  <c r="AR76" i="12" a="1"/>
  <c r="AR76" i="12" s="1"/>
  <c r="AQ76" i="12" a="1"/>
  <c r="AQ76" i="12" s="1"/>
  <c r="AR75" i="12" a="1"/>
  <c r="AR75" i="12" s="1"/>
  <c r="AQ75" i="12" a="1"/>
  <c r="AQ75" i="12" s="1"/>
  <c r="AR74" i="12" a="1"/>
  <c r="AR74" i="12" s="1"/>
  <c r="AQ74" i="12" a="1"/>
  <c r="AQ74" i="12" s="1"/>
  <c r="AR73" i="12" a="1"/>
  <c r="AR73" i="12" s="1"/>
  <c r="AQ73" i="12" a="1"/>
  <c r="AQ73" i="12" s="1"/>
  <c r="AR72" i="12" a="1"/>
  <c r="AR72" i="12" s="1"/>
  <c r="AQ72" i="12" a="1"/>
  <c r="AQ72" i="12" s="1"/>
  <c r="AR71" i="12" a="1"/>
  <c r="AR71" i="12" s="1"/>
  <c r="AQ71" i="12" a="1"/>
  <c r="AQ71" i="12" s="1"/>
  <c r="AR70" i="12" a="1"/>
  <c r="AR70" i="12" s="1"/>
  <c r="AQ70" i="12" a="1"/>
  <c r="AQ70" i="12" s="1"/>
  <c r="AR69" i="12" a="1"/>
  <c r="AR69" i="12" s="1"/>
  <c r="AQ69" i="12" a="1"/>
  <c r="AQ69" i="12" s="1"/>
  <c r="AR68" i="12" a="1"/>
  <c r="AR68" i="12" s="1"/>
  <c r="AQ68" i="12" a="1"/>
  <c r="AQ68" i="12" s="1"/>
  <c r="AR67" i="12" a="1"/>
  <c r="AR67" i="12" s="1"/>
  <c r="AQ67" i="12" a="1"/>
  <c r="AQ67" i="12" s="1"/>
  <c r="AR66" i="12" a="1"/>
  <c r="AR66" i="12" s="1"/>
  <c r="AQ66" i="12" a="1"/>
  <c r="AQ66" i="12" s="1"/>
  <c r="AR65" i="12" a="1"/>
  <c r="AR65" i="12" s="1"/>
  <c r="AQ65" i="12" a="1"/>
  <c r="AQ65" i="12" s="1"/>
  <c r="AR64" i="12" a="1"/>
  <c r="AR64" i="12" s="1"/>
  <c r="AQ64" i="12" a="1"/>
  <c r="AQ64" i="12" s="1"/>
  <c r="AR63" i="12" a="1"/>
  <c r="AR63" i="12" s="1"/>
  <c r="AQ63" i="12" a="1"/>
  <c r="AQ63" i="12" s="1"/>
  <c r="AR62" i="12" a="1"/>
  <c r="AR62" i="12" s="1"/>
  <c r="AQ62" i="12" a="1"/>
  <c r="AQ62" i="12" s="1"/>
  <c r="AR61" i="12" a="1"/>
  <c r="AR61" i="12" s="1"/>
  <c r="AQ61" i="12" a="1"/>
  <c r="AQ61" i="12" s="1"/>
  <c r="AR60" i="12" a="1"/>
  <c r="AR60" i="12" s="1"/>
  <c r="AQ60" i="12" a="1"/>
  <c r="AQ60" i="12" s="1"/>
  <c r="AR59" i="12" a="1"/>
  <c r="AR59" i="12" s="1"/>
  <c r="AQ59" i="12" a="1"/>
  <c r="AQ59" i="12" s="1"/>
  <c r="AR58" i="12" a="1"/>
  <c r="AR58" i="12" s="1"/>
  <c r="AQ58" i="12" a="1"/>
  <c r="AQ58" i="12" s="1"/>
  <c r="AR57" i="12" a="1"/>
  <c r="AR57" i="12" s="1"/>
  <c r="AQ57" i="12" a="1"/>
  <c r="AQ57" i="12" s="1"/>
  <c r="AR56" i="12" a="1"/>
  <c r="AR56" i="12" s="1"/>
  <c r="AQ56" i="12" a="1"/>
  <c r="AQ56" i="12" s="1"/>
  <c r="AR55" i="12" a="1"/>
  <c r="AR55" i="12" s="1"/>
  <c r="AQ55" i="12" a="1"/>
  <c r="AQ55" i="12" s="1"/>
  <c r="AR54" i="12" a="1"/>
  <c r="AR54" i="12" s="1"/>
  <c r="AQ54" i="12" a="1"/>
  <c r="AQ54" i="12" s="1"/>
  <c r="AR53" i="12" a="1"/>
  <c r="AR53" i="12" s="1"/>
  <c r="AQ53" i="12" a="1"/>
  <c r="AQ53" i="12" s="1"/>
  <c r="AR52" i="12" a="1"/>
  <c r="AR52" i="12" s="1"/>
  <c r="AQ52" i="12" a="1"/>
  <c r="AQ52" i="12" s="1"/>
  <c r="AR51" i="12" a="1"/>
  <c r="AR51" i="12" s="1"/>
  <c r="AQ51" i="12" a="1"/>
  <c r="AQ51" i="12" s="1"/>
  <c r="AR50" i="12" a="1"/>
  <c r="AR50" i="12" s="1"/>
  <c r="AQ50" i="12" a="1"/>
  <c r="AQ50" i="12" s="1"/>
  <c r="AR49" i="12" a="1"/>
  <c r="AR49" i="12" s="1"/>
  <c r="AQ49" i="12" a="1"/>
  <c r="AQ49" i="12" s="1"/>
  <c r="AR48" i="12" a="1"/>
  <c r="AR48" i="12" s="1"/>
  <c r="AQ48" i="12" a="1"/>
  <c r="AQ48" i="12" s="1"/>
  <c r="AR47" i="12" a="1"/>
  <c r="AR47" i="12" s="1"/>
  <c r="AQ47" i="12" a="1"/>
  <c r="AQ47" i="12" s="1"/>
  <c r="AR46" i="12" a="1"/>
  <c r="AR46" i="12" s="1"/>
  <c r="AQ46" i="12" a="1"/>
  <c r="AQ46" i="12" s="1"/>
  <c r="AR45" i="12" a="1"/>
  <c r="AR45" i="12" s="1"/>
  <c r="AQ45" i="12" a="1"/>
  <c r="AQ45" i="12" s="1"/>
  <c r="AR44" i="12" a="1"/>
  <c r="AR44" i="12" s="1"/>
  <c r="AQ44" i="12" a="1"/>
  <c r="AQ44" i="12" s="1"/>
  <c r="AR43" i="12" a="1"/>
  <c r="AR43" i="12" s="1"/>
  <c r="AQ43" i="12" a="1"/>
  <c r="AQ43" i="12" s="1"/>
  <c r="AR42" i="12" a="1"/>
  <c r="AR42" i="12" s="1"/>
  <c r="AQ42" i="12" a="1"/>
  <c r="AQ42" i="12" s="1"/>
  <c r="AR41" i="12" a="1"/>
  <c r="AR41" i="12" s="1"/>
  <c r="AQ41" i="12" a="1"/>
  <c r="AQ41" i="12" s="1"/>
  <c r="AR40" i="12" a="1"/>
  <c r="AR40" i="12" s="1"/>
  <c r="AQ40" i="12" a="1"/>
  <c r="AQ40" i="12" s="1"/>
  <c r="AR39" i="12" a="1"/>
  <c r="AR39" i="12" s="1"/>
  <c r="AQ39" i="12" a="1"/>
  <c r="AQ39" i="12" s="1"/>
  <c r="AR38" i="12" a="1"/>
  <c r="AR38" i="12" s="1"/>
  <c r="AQ38" i="12" a="1"/>
  <c r="AQ38" i="12" s="1"/>
  <c r="AR37" i="12" a="1"/>
  <c r="AR37" i="12" s="1"/>
  <c r="AQ37" i="12" a="1"/>
  <c r="AQ37" i="12" s="1"/>
  <c r="AR36" i="12" a="1"/>
  <c r="AR36" i="12" s="1"/>
  <c r="AQ36" i="12" a="1"/>
  <c r="AQ36" i="12" s="1"/>
  <c r="AR35" i="12" a="1"/>
  <c r="AR35" i="12" s="1"/>
  <c r="AQ35" i="12" a="1"/>
  <c r="AQ35" i="12" s="1"/>
  <c r="AR34" i="12" a="1"/>
  <c r="AR34" i="12" s="1"/>
  <c r="AQ34" i="12" a="1"/>
  <c r="AQ34" i="12" s="1"/>
  <c r="AR33" i="12" a="1"/>
  <c r="AR33" i="12" s="1"/>
  <c r="AQ33" i="12" a="1"/>
  <c r="AQ33" i="12" s="1"/>
  <c r="AR32" i="12" a="1"/>
  <c r="AR32" i="12" s="1"/>
  <c r="AQ32" i="12" a="1"/>
  <c r="AQ32" i="12" s="1"/>
  <c r="AR31" i="12" a="1"/>
  <c r="AR31" i="12" s="1"/>
  <c r="AQ31" i="12" a="1"/>
  <c r="AQ31" i="12" s="1"/>
  <c r="AR30" i="12" a="1"/>
  <c r="AR30" i="12" s="1"/>
  <c r="AQ30" i="12" a="1"/>
  <c r="AQ30" i="12" s="1"/>
  <c r="AR29" i="12" a="1"/>
  <c r="AR29" i="12" s="1"/>
  <c r="AQ29" i="12" a="1"/>
  <c r="AQ29" i="12" s="1"/>
  <c r="AR28" i="12" a="1"/>
  <c r="AR28" i="12" s="1"/>
  <c r="AQ28" i="12" a="1"/>
  <c r="AQ28" i="12" s="1"/>
  <c r="AR27" i="12" a="1"/>
  <c r="AR27" i="12" s="1"/>
  <c r="AQ27" i="12" a="1"/>
  <c r="AQ27" i="12" s="1"/>
  <c r="AR26" i="12" a="1"/>
  <c r="AR26" i="12" s="1"/>
  <c r="AQ26" i="12" a="1"/>
  <c r="AQ26" i="12" s="1"/>
  <c r="AR25" i="12" a="1"/>
  <c r="AR25" i="12" s="1"/>
  <c r="AQ25" i="12" a="1"/>
  <c r="AQ25" i="12" s="1"/>
  <c r="AR24" i="12" a="1"/>
  <c r="AR24" i="12" s="1"/>
  <c r="AQ24" i="12" a="1"/>
  <c r="AQ24" i="12" s="1"/>
  <c r="AR23" i="12" a="1"/>
  <c r="AR23" i="12" s="1"/>
  <c r="AQ23" i="12" a="1"/>
  <c r="AQ23" i="12" s="1"/>
  <c r="AR22" i="12" a="1"/>
  <c r="AR22" i="12" s="1"/>
  <c r="AQ22" i="12" a="1"/>
  <c r="AQ22" i="12" s="1"/>
  <c r="AR21" i="12" a="1"/>
  <c r="AR21" i="12" s="1"/>
  <c r="AQ21" i="12" a="1"/>
  <c r="AQ21" i="12" s="1"/>
  <c r="AR20" i="12" a="1"/>
  <c r="AR20" i="12" s="1"/>
  <c r="AQ20" i="12" a="1"/>
  <c r="AQ20" i="12" s="1"/>
  <c r="AR19" i="12" a="1"/>
  <c r="AR19" i="12" s="1"/>
  <c r="AQ19" i="12" a="1"/>
  <c r="AQ19" i="12" s="1"/>
  <c r="AR18" i="12" a="1"/>
  <c r="AR18" i="12" s="1"/>
  <c r="AQ18" i="12" a="1"/>
  <c r="AQ18" i="12" s="1"/>
  <c r="AR17" i="12" a="1"/>
  <c r="AR17" i="12" s="1"/>
  <c r="AQ17" i="12" a="1"/>
  <c r="AQ17" i="12" s="1"/>
  <c r="AR16" i="12" a="1"/>
  <c r="AR16" i="12" s="1"/>
  <c r="AQ16" i="12" a="1"/>
  <c r="AQ16" i="12" s="1"/>
  <c r="AR15" i="12" a="1"/>
  <c r="AR15" i="12" s="1"/>
  <c r="AQ15" i="12" a="1"/>
  <c r="AQ15" i="12" s="1"/>
  <c r="AR14" i="12" a="1"/>
  <c r="AR14" i="12" s="1"/>
  <c r="AQ14" i="12" a="1"/>
  <c r="AQ14" i="12" s="1"/>
  <c r="AR13" i="12" a="1"/>
  <c r="AR13" i="12" s="1"/>
  <c r="AQ13" i="12" a="1"/>
  <c r="AQ13" i="12" s="1"/>
  <c r="AR12" i="12" a="1"/>
  <c r="AR12" i="12" s="1"/>
  <c r="AQ12" i="12" a="1"/>
  <c r="AQ12" i="12" s="1"/>
  <c r="AR11" i="12" a="1"/>
  <c r="AR11" i="12" s="1"/>
  <c r="AQ11" i="12" a="1"/>
  <c r="AQ11" i="12" s="1"/>
  <c r="AR10" i="12" a="1"/>
  <c r="AR10" i="12" s="1"/>
  <c r="AQ10" i="12" a="1"/>
  <c r="AQ10" i="12" s="1"/>
  <c r="AR9" i="12" a="1"/>
  <c r="AR9" i="12" s="1"/>
  <c r="AQ9" i="12" a="1"/>
  <c r="AQ9" i="12" s="1"/>
  <c r="AR8" i="12" a="1"/>
  <c r="AR8" i="12" s="1"/>
  <c r="AQ8" i="12" a="1"/>
  <c r="AQ8" i="12" s="1"/>
  <c r="AR7" i="12" a="1"/>
  <c r="AR7" i="12" s="1"/>
  <c r="AQ7" i="12" a="1"/>
  <c r="AQ7" i="12" s="1"/>
  <c r="AR6" i="12" a="1"/>
  <c r="AR6" i="12" s="1"/>
  <c r="AQ6" i="12" a="1"/>
  <c r="AQ6" i="12" s="1"/>
  <c r="BK243" i="12"/>
  <c r="CW229" i="12"/>
  <c r="CK230" i="12"/>
  <c r="BK244" i="12" l="1"/>
  <c r="BK245" i="12"/>
  <c r="BK247" i="12" s="1"/>
  <c r="BK248" i="12" s="1"/>
  <c r="CP230" i="12"/>
  <c r="CQ230" i="12"/>
  <c r="CR230" i="12"/>
  <c r="CT7" i="12"/>
  <c r="CU7" i="12"/>
  <c r="CT8" i="12"/>
  <c r="CU8" i="12"/>
  <c r="CT9" i="12"/>
  <c r="CU9" i="12"/>
  <c r="CT10" i="12"/>
  <c r="CU10" i="12"/>
  <c r="CT11" i="12"/>
  <c r="CU11" i="12"/>
  <c r="CT12" i="12"/>
  <c r="CU12" i="12"/>
  <c r="CT13" i="12"/>
  <c r="CU13" i="12"/>
  <c r="CT14" i="12"/>
  <c r="CU14" i="12"/>
  <c r="CT15" i="12"/>
  <c r="CU15" i="12"/>
  <c r="CT16" i="12"/>
  <c r="CU16" i="12"/>
  <c r="CT17" i="12"/>
  <c r="CU17" i="12"/>
  <c r="CT18" i="12"/>
  <c r="CU18" i="12"/>
  <c r="CT19" i="12"/>
  <c r="CU19" i="12"/>
  <c r="CT20" i="12"/>
  <c r="CU20" i="12"/>
  <c r="CT21" i="12"/>
  <c r="CU21" i="12"/>
  <c r="CT22" i="12"/>
  <c r="CU22" i="12"/>
  <c r="CT23" i="12"/>
  <c r="CU23" i="12"/>
  <c r="CT24" i="12"/>
  <c r="CU24" i="12"/>
  <c r="CT25" i="12"/>
  <c r="CU25" i="12"/>
  <c r="CT26" i="12"/>
  <c r="CU26" i="12"/>
  <c r="CT27" i="12"/>
  <c r="CU27" i="12"/>
  <c r="CT28" i="12"/>
  <c r="CU28" i="12"/>
  <c r="CT29" i="12"/>
  <c r="CU29" i="12"/>
  <c r="CT30" i="12"/>
  <c r="CU30" i="12"/>
  <c r="CT31" i="12"/>
  <c r="CU31" i="12"/>
  <c r="CT32" i="12"/>
  <c r="CU32" i="12"/>
  <c r="CT33" i="12"/>
  <c r="CU33" i="12"/>
  <c r="CT34" i="12"/>
  <c r="CU34" i="12"/>
  <c r="CT35" i="12"/>
  <c r="CU35" i="12"/>
  <c r="CT36" i="12"/>
  <c r="CU36" i="12"/>
  <c r="CT37" i="12"/>
  <c r="CU37" i="12"/>
  <c r="CT38" i="12"/>
  <c r="CU38" i="12"/>
  <c r="CT39" i="12"/>
  <c r="CU39" i="12"/>
  <c r="CT40" i="12"/>
  <c r="CU40" i="12"/>
  <c r="CT41" i="12"/>
  <c r="CU41" i="12"/>
  <c r="CT42" i="12"/>
  <c r="CU42" i="12"/>
  <c r="CT43" i="12"/>
  <c r="CU43" i="12"/>
  <c r="CT44" i="12"/>
  <c r="CU44" i="12"/>
  <c r="CT45" i="12"/>
  <c r="CU45" i="12"/>
  <c r="CT46" i="12"/>
  <c r="CU46" i="12"/>
  <c r="CT47" i="12"/>
  <c r="CU47" i="12"/>
  <c r="CT48" i="12"/>
  <c r="CU48" i="12"/>
  <c r="CT49" i="12"/>
  <c r="CU49" i="12"/>
  <c r="CT50" i="12"/>
  <c r="CU50" i="12"/>
  <c r="CT51" i="12"/>
  <c r="CU51" i="12"/>
  <c r="CT52" i="12"/>
  <c r="CU52" i="12"/>
  <c r="CT53" i="12"/>
  <c r="CU53" i="12"/>
  <c r="CT54" i="12"/>
  <c r="CU54" i="12"/>
  <c r="CT55" i="12"/>
  <c r="CU55" i="12"/>
  <c r="CT56" i="12"/>
  <c r="CU56" i="12"/>
  <c r="CT57" i="12"/>
  <c r="CU57" i="12"/>
  <c r="CT58" i="12"/>
  <c r="CU58" i="12"/>
  <c r="CT59" i="12"/>
  <c r="CU59" i="12"/>
  <c r="CT60" i="12"/>
  <c r="CU60" i="12"/>
  <c r="CT61" i="12"/>
  <c r="CU61" i="12"/>
  <c r="CT62" i="12"/>
  <c r="CU62" i="12"/>
  <c r="CT63" i="12"/>
  <c r="CU63" i="12"/>
  <c r="CT64" i="12"/>
  <c r="CU64" i="12"/>
  <c r="CT65" i="12"/>
  <c r="CU65" i="12"/>
  <c r="CT66" i="12"/>
  <c r="CU66" i="12"/>
  <c r="CT67" i="12"/>
  <c r="CU67" i="12"/>
  <c r="CT68" i="12"/>
  <c r="CU68" i="12"/>
  <c r="CT69" i="12"/>
  <c r="CU69" i="12"/>
  <c r="CT70" i="12"/>
  <c r="CU70" i="12"/>
  <c r="CT71" i="12"/>
  <c r="CU71" i="12"/>
  <c r="CT72" i="12"/>
  <c r="CU72" i="12"/>
  <c r="CT73" i="12"/>
  <c r="CU73" i="12"/>
  <c r="CT74" i="12"/>
  <c r="CU74" i="12"/>
  <c r="CT75" i="12"/>
  <c r="CU75" i="12"/>
  <c r="CT76" i="12"/>
  <c r="CU76" i="12"/>
  <c r="CT77" i="12"/>
  <c r="CU77" i="12"/>
  <c r="CT78" i="12"/>
  <c r="CU78" i="12"/>
  <c r="CT79" i="12"/>
  <c r="CU79" i="12"/>
  <c r="CT80" i="12"/>
  <c r="CU80" i="12"/>
  <c r="CT81" i="12"/>
  <c r="CU81" i="12"/>
  <c r="CT82" i="12"/>
  <c r="CU82" i="12"/>
  <c r="CT83" i="12"/>
  <c r="CU83" i="12"/>
  <c r="CT84" i="12"/>
  <c r="CU84" i="12"/>
  <c r="CT85" i="12"/>
  <c r="CU85" i="12"/>
  <c r="CT86" i="12"/>
  <c r="CU86" i="12"/>
  <c r="CT87" i="12"/>
  <c r="CU87" i="12"/>
  <c r="CT88" i="12"/>
  <c r="CU88" i="12"/>
  <c r="CT89" i="12"/>
  <c r="CU89" i="12"/>
  <c r="CT90" i="12"/>
  <c r="CU90" i="12"/>
  <c r="CT91" i="12"/>
  <c r="CU91" i="12"/>
  <c r="CT92" i="12"/>
  <c r="CU92" i="12"/>
  <c r="CT93" i="12"/>
  <c r="CU93" i="12"/>
  <c r="CT94" i="12"/>
  <c r="CU94" i="12"/>
  <c r="CT95" i="12"/>
  <c r="CU95" i="12"/>
  <c r="CT96" i="12"/>
  <c r="CU96" i="12"/>
  <c r="CT97" i="12"/>
  <c r="CU97" i="12"/>
  <c r="CT98" i="12"/>
  <c r="CU98" i="12"/>
  <c r="CT99" i="12"/>
  <c r="CU99" i="12"/>
  <c r="CT100" i="12"/>
  <c r="CU100" i="12"/>
  <c r="CT101" i="12"/>
  <c r="CU101" i="12"/>
  <c r="CT102" i="12"/>
  <c r="CU102" i="12"/>
  <c r="CT103" i="12"/>
  <c r="CU103" i="12"/>
  <c r="CT104" i="12"/>
  <c r="CU104" i="12"/>
  <c r="CT105" i="12"/>
  <c r="CU105" i="12"/>
  <c r="CT106" i="12"/>
  <c r="CU106" i="12"/>
  <c r="CT107" i="12"/>
  <c r="CU107" i="12"/>
  <c r="CT108" i="12"/>
  <c r="CU108" i="12"/>
  <c r="CT109" i="12"/>
  <c r="CU109" i="12"/>
  <c r="CT110" i="12"/>
  <c r="CU110" i="12"/>
  <c r="CT111" i="12"/>
  <c r="CU111" i="12"/>
  <c r="CT112" i="12"/>
  <c r="CU112" i="12"/>
  <c r="CT113" i="12"/>
  <c r="CU113" i="12"/>
  <c r="CT114" i="12"/>
  <c r="CU114" i="12"/>
  <c r="CT115" i="12"/>
  <c r="CU115" i="12"/>
  <c r="CT116" i="12"/>
  <c r="CU116" i="12"/>
  <c r="CT117" i="12"/>
  <c r="CU117" i="12"/>
  <c r="CT118" i="12"/>
  <c r="CU118" i="12"/>
  <c r="CT119" i="12"/>
  <c r="CU119" i="12"/>
  <c r="CT120" i="12"/>
  <c r="CU120" i="12"/>
  <c r="CT121" i="12"/>
  <c r="CU121" i="12"/>
  <c r="CT122" i="12"/>
  <c r="CU122" i="12"/>
  <c r="CT123" i="12"/>
  <c r="CU123" i="12"/>
  <c r="CT124" i="12"/>
  <c r="CU124" i="12"/>
  <c r="CT125" i="12"/>
  <c r="CU125" i="12"/>
  <c r="CT126" i="12"/>
  <c r="CU126" i="12"/>
  <c r="CT127" i="12"/>
  <c r="CU127" i="12"/>
  <c r="CT128" i="12"/>
  <c r="CU128" i="12"/>
  <c r="CT129" i="12"/>
  <c r="CU129" i="12"/>
  <c r="CT130" i="12"/>
  <c r="CU130" i="12"/>
  <c r="CT131" i="12"/>
  <c r="CU131" i="12"/>
  <c r="CT132" i="12"/>
  <c r="CU132" i="12"/>
  <c r="CT133" i="12"/>
  <c r="CU133" i="12"/>
  <c r="CT134" i="12"/>
  <c r="CU134" i="12"/>
  <c r="CT135" i="12"/>
  <c r="CU135" i="12"/>
  <c r="CT136" i="12"/>
  <c r="CU136" i="12"/>
  <c r="CT137" i="12"/>
  <c r="CU137" i="12"/>
  <c r="CT138" i="12"/>
  <c r="CU138" i="12"/>
  <c r="CT139" i="12"/>
  <c r="CU139" i="12"/>
  <c r="CT140" i="12"/>
  <c r="CU140" i="12"/>
  <c r="CT141" i="12"/>
  <c r="CU141" i="12"/>
  <c r="CT142" i="12"/>
  <c r="CU142" i="12"/>
  <c r="CT143" i="12"/>
  <c r="CU143" i="12"/>
  <c r="CT144" i="12"/>
  <c r="CU144" i="12"/>
  <c r="CT145" i="12"/>
  <c r="CU145" i="12"/>
  <c r="CT146" i="12"/>
  <c r="CU146" i="12"/>
  <c r="CT147" i="12"/>
  <c r="CU147" i="12"/>
  <c r="CT148" i="12"/>
  <c r="CU148" i="12"/>
  <c r="CT149" i="12"/>
  <c r="CU149" i="12"/>
  <c r="CT150" i="12"/>
  <c r="CU150" i="12"/>
  <c r="CT151" i="12"/>
  <c r="CU151" i="12"/>
  <c r="CT152" i="12"/>
  <c r="CU152" i="12"/>
  <c r="CT153" i="12"/>
  <c r="CU153" i="12"/>
  <c r="CT154" i="12"/>
  <c r="CU154" i="12"/>
  <c r="CT155" i="12"/>
  <c r="CU155" i="12"/>
  <c r="CT156" i="12"/>
  <c r="CU156" i="12"/>
  <c r="CT157" i="12"/>
  <c r="CU157" i="12"/>
  <c r="CT158" i="12"/>
  <c r="CU158" i="12"/>
  <c r="CT159" i="12"/>
  <c r="CU159" i="12"/>
  <c r="CT160" i="12"/>
  <c r="CU160" i="12"/>
  <c r="CT161" i="12"/>
  <c r="CU161" i="12"/>
  <c r="CT162" i="12"/>
  <c r="CU162" i="12"/>
  <c r="CT163" i="12"/>
  <c r="CU163" i="12"/>
  <c r="CT164" i="12"/>
  <c r="CU164" i="12"/>
  <c r="CT165" i="12"/>
  <c r="CU165" i="12"/>
  <c r="CT166" i="12"/>
  <c r="CU166" i="12"/>
  <c r="CT167" i="12"/>
  <c r="CU167" i="12"/>
  <c r="CT168" i="12"/>
  <c r="CU168" i="12"/>
  <c r="CT169" i="12"/>
  <c r="CU169" i="12"/>
  <c r="CT170" i="12"/>
  <c r="CU170" i="12"/>
  <c r="CT171" i="12"/>
  <c r="CU171" i="12"/>
  <c r="CT172" i="12"/>
  <c r="CU172" i="12"/>
  <c r="CT173" i="12"/>
  <c r="CU173" i="12"/>
  <c r="CT174" i="12"/>
  <c r="CU174" i="12"/>
  <c r="CT175" i="12"/>
  <c r="CU175" i="12"/>
  <c r="CT176" i="12"/>
  <c r="CU176" i="12"/>
  <c r="CT177" i="12"/>
  <c r="CU177" i="12"/>
  <c r="CT178" i="12"/>
  <c r="CU178" i="12"/>
  <c r="CT179" i="12"/>
  <c r="CU179" i="12"/>
  <c r="CT180" i="12"/>
  <c r="CU180" i="12"/>
  <c r="CT181" i="12"/>
  <c r="CU181" i="12"/>
  <c r="CT182" i="12"/>
  <c r="CU182" i="12"/>
  <c r="CT183" i="12"/>
  <c r="CU183" i="12"/>
  <c r="CT184" i="12"/>
  <c r="CU184" i="12"/>
  <c r="CT185" i="12"/>
  <c r="CU185" i="12"/>
  <c r="CT186" i="12"/>
  <c r="CU186" i="12"/>
  <c r="CT187" i="12"/>
  <c r="CU187" i="12"/>
  <c r="CT188" i="12"/>
  <c r="CU188" i="12"/>
  <c r="CT189" i="12"/>
  <c r="CU189" i="12"/>
  <c r="CT190" i="12"/>
  <c r="CU190" i="12"/>
  <c r="CT191" i="12"/>
  <c r="CU191" i="12"/>
  <c r="CT192" i="12"/>
  <c r="CU192" i="12"/>
  <c r="CT193" i="12"/>
  <c r="CU193" i="12"/>
  <c r="CT194" i="12"/>
  <c r="CU194" i="12"/>
  <c r="CT195" i="12"/>
  <c r="CU195" i="12"/>
  <c r="CT196" i="12"/>
  <c r="CU196" i="12"/>
  <c r="CT197" i="12"/>
  <c r="CU197" i="12"/>
  <c r="CT198" i="12"/>
  <c r="CU198" i="12"/>
  <c r="CT199" i="12"/>
  <c r="CU199" i="12"/>
  <c r="CT200" i="12"/>
  <c r="CU200" i="12"/>
  <c r="CT201" i="12"/>
  <c r="CU201" i="12"/>
  <c r="CT202" i="12"/>
  <c r="CU202" i="12"/>
  <c r="CT203" i="12"/>
  <c r="CU203" i="12"/>
  <c r="CT204" i="12"/>
  <c r="CU204" i="12"/>
  <c r="CT205" i="12"/>
  <c r="CU205" i="12"/>
  <c r="CT206" i="12"/>
  <c r="CU206" i="12"/>
  <c r="CT207" i="12"/>
  <c r="CU207" i="12"/>
  <c r="CT208" i="12"/>
  <c r="CU208" i="12"/>
  <c r="CT209" i="12"/>
  <c r="CU209" i="12"/>
  <c r="CT210" i="12"/>
  <c r="CU210" i="12"/>
  <c r="CT211" i="12"/>
  <c r="CU211" i="12"/>
  <c r="CT212" i="12"/>
  <c r="CU212" i="12"/>
  <c r="CT213" i="12"/>
  <c r="CU213" i="12"/>
  <c r="CT214" i="12"/>
  <c r="CU214" i="12"/>
  <c r="CT215" i="12"/>
  <c r="CU215" i="12"/>
  <c r="CT216" i="12"/>
  <c r="CU216" i="12"/>
  <c r="CT217" i="12"/>
  <c r="CU217" i="12"/>
  <c r="CT218" i="12"/>
  <c r="CU218" i="12"/>
  <c r="CT219" i="12"/>
  <c r="CU219" i="12"/>
  <c r="CT220" i="12"/>
  <c r="CU220" i="12"/>
  <c r="CT221" i="12"/>
  <c r="CU221" i="12"/>
  <c r="CT222" i="12"/>
  <c r="CU222" i="12"/>
  <c r="CT223" i="12"/>
  <c r="CU223" i="12"/>
  <c r="CT224" i="12"/>
  <c r="CU224" i="12"/>
  <c r="CT225" i="12"/>
  <c r="CU225" i="12"/>
  <c r="CT226" i="12"/>
  <c r="CU226" i="12"/>
  <c r="CT227" i="12"/>
  <c r="CU227" i="12"/>
  <c r="CT228" i="12"/>
  <c r="CU228" i="12"/>
  <c r="CT229" i="12"/>
  <c r="CU229" i="12"/>
  <c r="CT6" i="12"/>
  <c r="CU6" i="12"/>
  <c r="CN230" i="12"/>
  <c r="CO230" i="12"/>
  <c r="CS13" i="12"/>
  <c r="CS14" i="12"/>
  <c r="CS16" i="12"/>
  <c r="CS25" i="12"/>
  <c r="CS26" i="12"/>
  <c r="CS37" i="12"/>
  <c r="CS38" i="12"/>
  <c r="CS39" i="12"/>
  <c r="CS40" i="12"/>
  <c r="CS41" i="12"/>
  <c r="CS47" i="12"/>
  <c r="CS48" i="12"/>
  <c r="CS49" i="12"/>
  <c r="CS50" i="12"/>
  <c r="CS51" i="12"/>
  <c r="CS52" i="12"/>
  <c r="CS53" i="12"/>
  <c r="CS60" i="12"/>
  <c r="CS61" i="12"/>
  <c r="CS62" i="12"/>
  <c r="CS63" i="12"/>
  <c r="CS64" i="12"/>
  <c r="CS65" i="12"/>
  <c r="CS72" i="12"/>
  <c r="CS73" i="12"/>
  <c r="CS74" i="12"/>
  <c r="CS75" i="12"/>
  <c r="CS76" i="12"/>
  <c r="CS77" i="12"/>
  <c r="CS85" i="12"/>
  <c r="CS86" i="12"/>
  <c r="CS88" i="12"/>
  <c r="CS92" i="12"/>
  <c r="CS93" i="12"/>
  <c r="CS94" i="12"/>
  <c r="CS95" i="12"/>
  <c r="CS96" i="12"/>
  <c r="CS97" i="12"/>
  <c r="CS98" i="12"/>
  <c r="CS99" i="12"/>
  <c r="CS100" i="12"/>
  <c r="CS105" i="12"/>
  <c r="CS106" i="12"/>
  <c r="CS107" i="12"/>
  <c r="CS108" i="12"/>
  <c r="CS109" i="12"/>
  <c r="CS110" i="12"/>
  <c r="CS111" i="12"/>
  <c r="CS112" i="12"/>
  <c r="CS113" i="12"/>
  <c r="CS119" i="12"/>
  <c r="CS120" i="12"/>
  <c r="CS126" i="12"/>
  <c r="CS127" i="12"/>
  <c r="CS128" i="12"/>
  <c r="CS129" i="12"/>
  <c r="CS133" i="12"/>
  <c r="CS134" i="12"/>
  <c r="CS136" i="12"/>
  <c r="CS137" i="12"/>
  <c r="CS138" i="12"/>
  <c r="CS139" i="12"/>
  <c r="CS140" i="12"/>
  <c r="CS141" i="12"/>
  <c r="CS142" i="12"/>
  <c r="CS145" i="12"/>
  <c r="CS148" i="12"/>
  <c r="CS149" i="12"/>
  <c r="CS150" i="12"/>
  <c r="CS151" i="12"/>
  <c r="CS152" i="12"/>
  <c r="CS153" i="12"/>
  <c r="CS154" i="12"/>
  <c r="CS157" i="12"/>
  <c r="CS160" i="12"/>
  <c r="CS162" i="12"/>
  <c r="CS163" i="12"/>
  <c r="CS164" i="12"/>
  <c r="CS165" i="12"/>
  <c r="CS169" i="12"/>
  <c r="CS170" i="12"/>
  <c r="CS171" i="12"/>
  <c r="CS172" i="12"/>
  <c r="CS173" i="12"/>
  <c r="CS174" i="12"/>
  <c r="CS175" i="12"/>
  <c r="CS176" i="12"/>
  <c r="CS177" i="12"/>
  <c r="CS178" i="12"/>
  <c r="CS181" i="12"/>
  <c r="CS184" i="12"/>
  <c r="CS185" i="12"/>
  <c r="CS186" i="12"/>
  <c r="CS187" i="12"/>
  <c r="CS188" i="12"/>
  <c r="CS189" i="12"/>
  <c r="CS190" i="12"/>
  <c r="CS191" i="12"/>
  <c r="CS192" i="12"/>
  <c r="CS193" i="12"/>
  <c r="CS195" i="12"/>
  <c r="CS196" i="12"/>
  <c r="CS198" i="12"/>
  <c r="CS199" i="12"/>
  <c r="CS202" i="12"/>
  <c r="CS203" i="12"/>
  <c r="CS204" i="12"/>
  <c r="CS205" i="12"/>
  <c r="CS207" i="12"/>
  <c r="CS208" i="12"/>
  <c r="CS209" i="12"/>
  <c r="CS210" i="12"/>
  <c r="CS211" i="12"/>
  <c r="CS212" i="12"/>
  <c r="CS213" i="12"/>
  <c r="CS214" i="12"/>
  <c r="CS215" i="12"/>
  <c r="CS216" i="12"/>
  <c r="CS217" i="12"/>
  <c r="CS218" i="12"/>
  <c r="CS219" i="12"/>
  <c r="CS220" i="12"/>
  <c r="CS221" i="12"/>
  <c r="CS222" i="12"/>
  <c r="CS223" i="12"/>
  <c r="CS224" i="12"/>
  <c r="CS225" i="12"/>
  <c r="CS226" i="12"/>
  <c r="CS227" i="12"/>
  <c r="CS228" i="12"/>
  <c r="CS229" i="12"/>
  <c r="BG7" i="12"/>
  <c r="BG8" i="12"/>
  <c r="BG9" i="12"/>
  <c r="BG10" i="12"/>
  <c r="BG11" i="12"/>
  <c r="BG12" i="12"/>
  <c r="BG13" i="12"/>
  <c r="BG14" i="12"/>
  <c r="BG15" i="12"/>
  <c r="BG16" i="12"/>
  <c r="BG17" i="12"/>
  <c r="BG18" i="12"/>
  <c r="BG19" i="12"/>
  <c r="BG20" i="12"/>
  <c r="BG21" i="12"/>
  <c r="BG22" i="12"/>
  <c r="BG23" i="12"/>
  <c r="BG24" i="12"/>
  <c r="BG25" i="12"/>
  <c r="BG26" i="12"/>
  <c r="BG27" i="12"/>
  <c r="BG28" i="12"/>
  <c r="BG29" i="12"/>
  <c r="BG30" i="12"/>
  <c r="BG31" i="12"/>
  <c r="BG32" i="12"/>
  <c r="BG33" i="12"/>
  <c r="BG34" i="12"/>
  <c r="BG35" i="12"/>
  <c r="BG36" i="12"/>
  <c r="BG37" i="12"/>
  <c r="BG38" i="12"/>
  <c r="BG39" i="12"/>
  <c r="BG40" i="12"/>
  <c r="BG41" i="12"/>
  <c r="BG42" i="12"/>
  <c r="BG43" i="12"/>
  <c r="BG44" i="12"/>
  <c r="BG45" i="12"/>
  <c r="BG46" i="12"/>
  <c r="BG47" i="12"/>
  <c r="BG48" i="12"/>
  <c r="BG49" i="12"/>
  <c r="BG50" i="12"/>
  <c r="BG51" i="12"/>
  <c r="BG52" i="12"/>
  <c r="BG53" i="12"/>
  <c r="BG54" i="12"/>
  <c r="BG55" i="12"/>
  <c r="BG56" i="12"/>
  <c r="BG57" i="12"/>
  <c r="BG58" i="12"/>
  <c r="BG59" i="12"/>
  <c r="BG60" i="12"/>
  <c r="BG61" i="12"/>
  <c r="BG62" i="12"/>
  <c r="BG63" i="12"/>
  <c r="BG64" i="12"/>
  <c r="BG65" i="12"/>
  <c r="BG66" i="12"/>
  <c r="BG67" i="12"/>
  <c r="BG68" i="12"/>
  <c r="BG69" i="12"/>
  <c r="BG70" i="12"/>
  <c r="BG71" i="12"/>
  <c r="BG72" i="12"/>
  <c r="BG73" i="12"/>
  <c r="BG74" i="12"/>
  <c r="BG75" i="12"/>
  <c r="BG76" i="12"/>
  <c r="BG77" i="12"/>
  <c r="BG78" i="12"/>
  <c r="BG79" i="12"/>
  <c r="BG80" i="12"/>
  <c r="BG81" i="12"/>
  <c r="BG82" i="12"/>
  <c r="BG83" i="12"/>
  <c r="BG84" i="12"/>
  <c r="BG85" i="12"/>
  <c r="BG86" i="12"/>
  <c r="BG87" i="12"/>
  <c r="BG88" i="12"/>
  <c r="BG89" i="12"/>
  <c r="BG90" i="12"/>
  <c r="BG91" i="12"/>
  <c r="BG92" i="12"/>
  <c r="BG93" i="12"/>
  <c r="BG94" i="12"/>
  <c r="BG95" i="12"/>
  <c r="BG96" i="12"/>
  <c r="BG97" i="12"/>
  <c r="BG98" i="12"/>
  <c r="BG99" i="12"/>
  <c r="BG100" i="12"/>
  <c r="BG101" i="12"/>
  <c r="BG102" i="12"/>
  <c r="BG103" i="12"/>
  <c r="BG104" i="12"/>
  <c r="BG105" i="12"/>
  <c r="BG106" i="12"/>
  <c r="BG107" i="12"/>
  <c r="BG108" i="12"/>
  <c r="BG109" i="12"/>
  <c r="BG110" i="12"/>
  <c r="BG111" i="12"/>
  <c r="BG112" i="12"/>
  <c r="BG113" i="12"/>
  <c r="BG114" i="12"/>
  <c r="BG115" i="12"/>
  <c r="BG116" i="12"/>
  <c r="BG117" i="12"/>
  <c r="BG118" i="12"/>
  <c r="BG119" i="12"/>
  <c r="BG120" i="12"/>
  <c r="BG121" i="12"/>
  <c r="BG122" i="12"/>
  <c r="BG123" i="12"/>
  <c r="BG124" i="12"/>
  <c r="BG125" i="12"/>
  <c r="BG126" i="12"/>
  <c r="BG127" i="12"/>
  <c r="BG128" i="12"/>
  <c r="BG129" i="12"/>
  <c r="BG130" i="12"/>
  <c r="BG131" i="12"/>
  <c r="BG132" i="12"/>
  <c r="BG133" i="12"/>
  <c r="BG134" i="12"/>
  <c r="BG135" i="12"/>
  <c r="BG136" i="12"/>
  <c r="BG137" i="12"/>
  <c r="BG138" i="12"/>
  <c r="BG139" i="12"/>
  <c r="BG140" i="12"/>
  <c r="BG141" i="12"/>
  <c r="BG142" i="12"/>
  <c r="BG143" i="12"/>
  <c r="BG144" i="12"/>
  <c r="BG145" i="12"/>
  <c r="BG146" i="12"/>
  <c r="BG147" i="12"/>
  <c r="BG148" i="12"/>
  <c r="BG149" i="12"/>
  <c r="BG150" i="12"/>
  <c r="BG151" i="12"/>
  <c r="BG152" i="12"/>
  <c r="BG153" i="12"/>
  <c r="BG154" i="12"/>
  <c r="BG155" i="12"/>
  <c r="BG156" i="12"/>
  <c r="BG157" i="12"/>
  <c r="BG158" i="12"/>
  <c r="BG159" i="12"/>
  <c r="BG160" i="12"/>
  <c r="BG161" i="12"/>
  <c r="BG162" i="12"/>
  <c r="BG163" i="12"/>
  <c r="BG164" i="12"/>
  <c r="BG165" i="12"/>
  <c r="BG166" i="12"/>
  <c r="BG167" i="12"/>
  <c r="BG168" i="12"/>
  <c r="BG169" i="12"/>
  <c r="BG170" i="12"/>
  <c r="BG171" i="12"/>
  <c r="BG172" i="12"/>
  <c r="BG173" i="12"/>
  <c r="BG174" i="12"/>
  <c r="BG175" i="12"/>
  <c r="BG176" i="12"/>
  <c r="BG177" i="12"/>
  <c r="BG178" i="12"/>
  <c r="BG179" i="12"/>
  <c r="BG180" i="12"/>
  <c r="BG181" i="12"/>
  <c r="BG182" i="12"/>
  <c r="BG183" i="12"/>
  <c r="BG184" i="12"/>
  <c r="BG185" i="12"/>
  <c r="BG186" i="12"/>
  <c r="BG187" i="12"/>
  <c r="BG188" i="12"/>
  <c r="BG189" i="12"/>
  <c r="BG190" i="12"/>
  <c r="BG191" i="12"/>
  <c r="BG192" i="12"/>
  <c r="BG193" i="12"/>
  <c r="BG194" i="12"/>
  <c r="BG195" i="12"/>
  <c r="BG196" i="12"/>
  <c r="BG197" i="12"/>
  <c r="BG198" i="12"/>
  <c r="BG199" i="12"/>
  <c r="BG200" i="12"/>
  <c r="BG201" i="12"/>
  <c r="BG202" i="12"/>
  <c r="BG203" i="12"/>
  <c r="BG204" i="12"/>
  <c r="BG205" i="12"/>
  <c r="BG206" i="12"/>
  <c r="BG207" i="12"/>
  <c r="BG208" i="12"/>
  <c r="BG209" i="12"/>
  <c r="BG210" i="12"/>
  <c r="BG211" i="12"/>
  <c r="BG212" i="12"/>
  <c r="BG213" i="12"/>
  <c r="BG214" i="12"/>
  <c r="BG215" i="12"/>
  <c r="BG216" i="12"/>
  <c r="BG217" i="12"/>
  <c r="BG218" i="12"/>
  <c r="BG219" i="12"/>
  <c r="BG220" i="12"/>
  <c r="BG221" i="12"/>
  <c r="BG222" i="12"/>
  <c r="BG223" i="12"/>
  <c r="BG224" i="12"/>
  <c r="BG225" i="12"/>
  <c r="BG226" i="12"/>
  <c r="BG227" i="12"/>
  <c r="BG228" i="12"/>
  <c r="BG229" i="12"/>
  <c r="BG6" i="12"/>
  <c r="CS7" i="12"/>
  <c r="CS9" i="12"/>
  <c r="CS10" i="12"/>
  <c r="CS11" i="12"/>
  <c r="CS12" i="12"/>
  <c r="CS15" i="12"/>
  <c r="CS17" i="12"/>
  <c r="CS18" i="12"/>
  <c r="CS19" i="12"/>
  <c r="CS20" i="12"/>
  <c r="CS21" i="12"/>
  <c r="CS22" i="12"/>
  <c r="CS23" i="12"/>
  <c r="CS24" i="12"/>
  <c r="CS27" i="12"/>
  <c r="CS28" i="12"/>
  <c r="CS29" i="12"/>
  <c r="CS30" i="12"/>
  <c r="CS31" i="12"/>
  <c r="CS32" i="12"/>
  <c r="CS33" i="12"/>
  <c r="CS34" i="12"/>
  <c r="CS35" i="12"/>
  <c r="CS36" i="12"/>
  <c r="CS42" i="12"/>
  <c r="CS43" i="12"/>
  <c r="CS44" i="12"/>
  <c r="CS45" i="12"/>
  <c r="CS46" i="12"/>
  <c r="CS54" i="12"/>
  <c r="CS55" i="12"/>
  <c r="CS56" i="12"/>
  <c r="CS57" i="12"/>
  <c r="CS58" i="12"/>
  <c r="CS59" i="12"/>
  <c r="CS66" i="12"/>
  <c r="CS67" i="12"/>
  <c r="CS68" i="12"/>
  <c r="CS69" i="12"/>
  <c r="CS70" i="12"/>
  <c r="CS71" i="12"/>
  <c r="CS78" i="12"/>
  <c r="CS79" i="12"/>
  <c r="CS80" i="12"/>
  <c r="CS81" i="12"/>
  <c r="CS82" i="12"/>
  <c r="CS83" i="12"/>
  <c r="CS84" i="12"/>
  <c r="CS87" i="12"/>
  <c r="CS89" i="12"/>
  <c r="CS90" i="12"/>
  <c r="CS91" i="12"/>
  <c r="CS101" i="12"/>
  <c r="CS102" i="12"/>
  <c r="CS103" i="12"/>
  <c r="CS104" i="12"/>
  <c r="CS114" i="12"/>
  <c r="CS115" i="12"/>
  <c r="CS116" i="12"/>
  <c r="CS117" i="12"/>
  <c r="CS118" i="12"/>
  <c r="CS121" i="12"/>
  <c r="CS122" i="12"/>
  <c r="CS123" i="12"/>
  <c r="CS124" i="12"/>
  <c r="CS125" i="12"/>
  <c r="CS130" i="12"/>
  <c r="CS131" i="12"/>
  <c r="CS132" i="12"/>
  <c r="CS135" i="12"/>
  <c r="CS143" i="12"/>
  <c r="CS144" i="12"/>
  <c r="CS146" i="12"/>
  <c r="CS147" i="12"/>
  <c r="CS155" i="12"/>
  <c r="CS156" i="12"/>
  <c r="CS158" i="12"/>
  <c r="CS159" i="12"/>
  <c r="CS161" i="12"/>
  <c r="CS166" i="12"/>
  <c r="CS167" i="12"/>
  <c r="CS168" i="12"/>
  <c r="CS179" i="12"/>
  <c r="CS180" i="12"/>
  <c r="CS182" i="12"/>
  <c r="CS183" i="12"/>
  <c r="CS194" i="12"/>
  <c r="CS197" i="12"/>
  <c r="CS200" i="12"/>
  <c r="CS201" i="12"/>
  <c r="CS206" i="12"/>
  <c r="CS6" i="12"/>
  <c r="BX7" i="12"/>
  <c r="CL7" i="12" s="1"/>
  <c r="BX8" i="12"/>
  <c r="CL8" i="12" s="1"/>
  <c r="BX9" i="12"/>
  <c r="CL9" i="12" s="1"/>
  <c r="BX10" i="12"/>
  <c r="CL10" i="12" s="1"/>
  <c r="BX11" i="12"/>
  <c r="CL11" i="12" s="1"/>
  <c r="BX12" i="12"/>
  <c r="CL12" i="12" s="1"/>
  <c r="BX13" i="12"/>
  <c r="CL13" i="12" s="1"/>
  <c r="BX14" i="12"/>
  <c r="CL14" i="12" s="1"/>
  <c r="BX15" i="12"/>
  <c r="CL15" i="12" s="1"/>
  <c r="BX16" i="12"/>
  <c r="CL16" i="12" s="1"/>
  <c r="BX17" i="12"/>
  <c r="CL17" i="12" s="1"/>
  <c r="BX18" i="12"/>
  <c r="CL18" i="12" s="1"/>
  <c r="BX19" i="12"/>
  <c r="CL19" i="12" s="1"/>
  <c r="BX20" i="12"/>
  <c r="CL20" i="12" s="1"/>
  <c r="BX21" i="12"/>
  <c r="CL21" i="12" s="1"/>
  <c r="BX22" i="12"/>
  <c r="CL22" i="12" s="1"/>
  <c r="BX23" i="12"/>
  <c r="CL23" i="12" s="1"/>
  <c r="BX24" i="12"/>
  <c r="CL24" i="12" s="1"/>
  <c r="BX25" i="12"/>
  <c r="CL25" i="12" s="1"/>
  <c r="BX26" i="12"/>
  <c r="CL26" i="12" s="1"/>
  <c r="BX27" i="12"/>
  <c r="CL27" i="12" s="1"/>
  <c r="BX28" i="12"/>
  <c r="CL28" i="12" s="1"/>
  <c r="BX29" i="12"/>
  <c r="CL29" i="12" s="1"/>
  <c r="BX30" i="12"/>
  <c r="CL30" i="12" s="1"/>
  <c r="BX31" i="12"/>
  <c r="CL31" i="12" s="1"/>
  <c r="BX32" i="12"/>
  <c r="CL32" i="12" s="1"/>
  <c r="BX33" i="12"/>
  <c r="CL33" i="12" s="1"/>
  <c r="BX34" i="12"/>
  <c r="CL34" i="12" s="1"/>
  <c r="BX35" i="12"/>
  <c r="CL35" i="12" s="1"/>
  <c r="BX36" i="12"/>
  <c r="CL36" i="12" s="1"/>
  <c r="BX37" i="12"/>
  <c r="CL37" i="12" s="1"/>
  <c r="BX38" i="12"/>
  <c r="CL38" i="12" s="1"/>
  <c r="BX39" i="12"/>
  <c r="CL39" i="12" s="1"/>
  <c r="BX40" i="12"/>
  <c r="CL40" i="12" s="1"/>
  <c r="BX41" i="12"/>
  <c r="CL41" i="12" s="1"/>
  <c r="BX42" i="12"/>
  <c r="CL42" i="12" s="1"/>
  <c r="BX43" i="12"/>
  <c r="CL43" i="12" s="1"/>
  <c r="BX44" i="12"/>
  <c r="CL44" i="12" s="1"/>
  <c r="BX45" i="12"/>
  <c r="CL45" i="12" s="1"/>
  <c r="BX46" i="12"/>
  <c r="CL46" i="12" s="1"/>
  <c r="BX47" i="12"/>
  <c r="CL47" i="12" s="1"/>
  <c r="BX48" i="12"/>
  <c r="CL48" i="12" s="1"/>
  <c r="BX49" i="12"/>
  <c r="CL49" i="12" s="1"/>
  <c r="BX50" i="12"/>
  <c r="CL50" i="12" s="1"/>
  <c r="BX51" i="12"/>
  <c r="CL51" i="12" s="1"/>
  <c r="BX52" i="12"/>
  <c r="CL52" i="12" s="1"/>
  <c r="BX53" i="12"/>
  <c r="CL53" i="12" s="1"/>
  <c r="BX54" i="12"/>
  <c r="CL54" i="12" s="1"/>
  <c r="BX57" i="12"/>
  <c r="CL57" i="12" s="1"/>
  <c r="BX58" i="12"/>
  <c r="CL58" i="12" s="1"/>
  <c r="BX59" i="12"/>
  <c r="CL59" i="12" s="1"/>
  <c r="BX60" i="12"/>
  <c r="CL60" i="12" s="1"/>
  <c r="BX61" i="12"/>
  <c r="CL61" i="12" s="1"/>
  <c r="BX62" i="12"/>
  <c r="CL62" i="12" s="1"/>
  <c r="BX63" i="12"/>
  <c r="CL63" i="12" s="1"/>
  <c r="BX64" i="12"/>
  <c r="CL64" i="12" s="1"/>
  <c r="BX65" i="12"/>
  <c r="CL65" i="12" s="1"/>
  <c r="BX66" i="12"/>
  <c r="CL66" i="12" s="1"/>
  <c r="BX67" i="12"/>
  <c r="CL67" i="12" s="1"/>
  <c r="BX68" i="12"/>
  <c r="CL68" i="12" s="1"/>
  <c r="BX69" i="12"/>
  <c r="CL69" i="12" s="1"/>
  <c r="BX70" i="12"/>
  <c r="CL70" i="12" s="1"/>
  <c r="BX71" i="12"/>
  <c r="CL71" i="12" s="1"/>
  <c r="BX72" i="12"/>
  <c r="CL72" i="12" s="1"/>
  <c r="BX73" i="12"/>
  <c r="CL73" i="12" s="1"/>
  <c r="BX74" i="12"/>
  <c r="CL74" i="12" s="1"/>
  <c r="BX75" i="12"/>
  <c r="CL75" i="12" s="1"/>
  <c r="BX76" i="12"/>
  <c r="CL76" i="12" s="1"/>
  <c r="BX77" i="12"/>
  <c r="CL77" i="12" s="1"/>
  <c r="BX78" i="12"/>
  <c r="CL78" i="12" s="1"/>
  <c r="BX79" i="12"/>
  <c r="CL79" i="12" s="1"/>
  <c r="BX80" i="12"/>
  <c r="CL80" i="12" s="1"/>
  <c r="BX81" i="12"/>
  <c r="CL81" i="12" s="1"/>
  <c r="BX82" i="12"/>
  <c r="CL82" i="12" s="1"/>
  <c r="BX83" i="12"/>
  <c r="CL83" i="12" s="1"/>
  <c r="BX84" i="12"/>
  <c r="CL84" i="12" s="1"/>
  <c r="BX85" i="12"/>
  <c r="CL85" i="12" s="1"/>
  <c r="BX86" i="12"/>
  <c r="CL86" i="12" s="1"/>
  <c r="BX87" i="12"/>
  <c r="CL87" i="12" s="1"/>
  <c r="BX88" i="12"/>
  <c r="CL88" i="12" s="1"/>
  <c r="BX89" i="12"/>
  <c r="CL89" i="12" s="1"/>
  <c r="BX90" i="12"/>
  <c r="CL90" i="12" s="1"/>
  <c r="BX91" i="12"/>
  <c r="CL91" i="12" s="1"/>
  <c r="BX92" i="12"/>
  <c r="CL92" i="12" s="1"/>
  <c r="BX93" i="12"/>
  <c r="CL93" i="12" s="1"/>
  <c r="BX94" i="12"/>
  <c r="CL94" i="12" s="1"/>
  <c r="BX95" i="12"/>
  <c r="CL95" i="12" s="1"/>
  <c r="BX96" i="12"/>
  <c r="CL96" i="12" s="1"/>
  <c r="BX97" i="12"/>
  <c r="CL97" i="12" s="1"/>
  <c r="BX98" i="12"/>
  <c r="CL98" i="12" s="1"/>
  <c r="BX99" i="12"/>
  <c r="CL99" i="12" s="1"/>
  <c r="BX100" i="12"/>
  <c r="CL100" i="12" s="1"/>
  <c r="BX101" i="12"/>
  <c r="CL101" i="12" s="1"/>
  <c r="BX102" i="12"/>
  <c r="CL102" i="12" s="1"/>
  <c r="BX103" i="12"/>
  <c r="CL103" i="12" s="1"/>
  <c r="BX104" i="12"/>
  <c r="CL104" i="12" s="1"/>
  <c r="BX105" i="12"/>
  <c r="CL105" i="12" s="1"/>
  <c r="BX106" i="12"/>
  <c r="CL106" i="12" s="1"/>
  <c r="BX107" i="12"/>
  <c r="CL107" i="12" s="1"/>
  <c r="BX108" i="12"/>
  <c r="CL108" i="12" s="1"/>
  <c r="BX109" i="12"/>
  <c r="CL109" i="12" s="1"/>
  <c r="BX110" i="12"/>
  <c r="CL110" i="12" s="1"/>
  <c r="BX111" i="12"/>
  <c r="CL111" i="12" s="1"/>
  <c r="BX112" i="12"/>
  <c r="CL112" i="12" s="1"/>
  <c r="BX113" i="12"/>
  <c r="CL113" i="12" s="1"/>
  <c r="BX114" i="12"/>
  <c r="CL114" i="12" s="1"/>
  <c r="BX116" i="12"/>
  <c r="CL116" i="12" s="1"/>
  <c r="BX117" i="12"/>
  <c r="CL117" i="12" s="1"/>
  <c r="BX118" i="12"/>
  <c r="CL118" i="12" s="1"/>
  <c r="BX119" i="12"/>
  <c r="CL119" i="12" s="1"/>
  <c r="BX120" i="12"/>
  <c r="CL120" i="12" s="1"/>
  <c r="BX121" i="12"/>
  <c r="CL121" i="12" s="1"/>
  <c r="BX122" i="12"/>
  <c r="CL122" i="12" s="1"/>
  <c r="BX123" i="12"/>
  <c r="CL123" i="12" s="1"/>
  <c r="BX124" i="12"/>
  <c r="CL124" i="12" s="1"/>
  <c r="BX125" i="12"/>
  <c r="CL125" i="12" s="1"/>
  <c r="BX126" i="12"/>
  <c r="CL126" i="12" s="1"/>
  <c r="BX127" i="12"/>
  <c r="CL127" i="12" s="1"/>
  <c r="BX128" i="12"/>
  <c r="CL128" i="12" s="1"/>
  <c r="BX129" i="12"/>
  <c r="CL129" i="12" s="1"/>
  <c r="BX130" i="12"/>
  <c r="CL130" i="12" s="1"/>
  <c r="BX131" i="12"/>
  <c r="CL131" i="12" s="1"/>
  <c r="BX132" i="12"/>
  <c r="CL132" i="12" s="1"/>
  <c r="BX134" i="12"/>
  <c r="CL134" i="12" s="1"/>
  <c r="BX135" i="12"/>
  <c r="CL135" i="12" s="1"/>
  <c r="BX136" i="12"/>
  <c r="CL136" i="12" s="1"/>
  <c r="BX137" i="12"/>
  <c r="CL137" i="12" s="1"/>
  <c r="BX138" i="12"/>
  <c r="CL138" i="12" s="1"/>
  <c r="BX139" i="12"/>
  <c r="CL139" i="12" s="1"/>
  <c r="BX140" i="12"/>
  <c r="CL140" i="12" s="1"/>
  <c r="BX141" i="12"/>
  <c r="CL141" i="12" s="1"/>
  <c r="BX142" i="12"/>
  <c r="CL142" i="12" s="1"/>
  <c r="BX143" i="12"/>
  <c r="CL143" i="12" s="1"/>
  <c r="BX144" i="12"/>
  <c r="CL144" i="12" s="1"/>
  <c r="BX145" i="12"/>
  <c r="CL145" i="12" s="1"/>
  <c r="BX146" i="12"/>
  <c r="CL146" i="12" s="1"/>
  <c r="BX147" i="12"/>
  <c r="CL147" i="12" s="1"/>
  <c r="BX149" i="12"/>
  <c r="CL149" i="12" s="1"/>
  <c r="BX150" i="12"/>
  <c r="CL150" i="12" s="1"/>
  <c r="BX151" i="12"/>
  <c r="CL151" i="12" s="1"/>
  <c r="BX152" i="12"/>
  <c r="CL152" i="12" s="1"/>
  <c r="BX153" i="12"/>
  <c r="CL153" i="12" s="1"/>
  <c r="BX154" i="12"/>
  <c r="CL154" i="12" s="1"/>
  <c r="BX155" i="12"/>
  <c r="CL155" i="12" s="1"/>
  <c r="BX156" i="12"/>
  <c r="CL156" i="12" s="1"/>
  <c r="BX157" i="12"/>
  <c r="CL157" i="12" s="1"/>
  <c r="BX158" i="12"/>
  <c r="CL158" i="12" s="1"/>
  <c r="BX159" i="12"/>
  <c r="CL159" i="12" s="1"/>
  <c r="BX160" i="12"/>
  <c r="CL160" i="12" s="1"/>
  <c r="BX161" i="12"/>
  <c r="CL161" i="12" s="1"/>
  <c r="BX162" i="12"/>
  <c r="CL162" i="12" s="1"/>
  <c r="BX163" i="12"/>
  <c r="CL163" i="12" s="1"/>
  <c r="BX164" i="12"/>
  <c r="CL164" i="12" s="1"/>
  <c r="BX165" i="12"/>
  <c r="CL165" i="12" s="1"/>
  <c r="BX166" i="12"/>
  <c r="CL166" i="12" s="1"/>
  <c r="BX167" i="12"/>
  <c r="CL167" i="12" s="1"/>
  <c r="BX168" i="12"/>
  <c r="CL168" i="12" s="1"/>
  <c r="BX169" i="12"/>
  <c r="CL169" i="12" s="1"/>
  <c r="BX170" i="12"/>
  <c r="CL170" i="12" s="1"/>
  <c r="BX171" i="12"/>
  <c r="CL171" i="12" s="1"/>
  <c r="BX172" i="12"/>
  <c r="CL172" i="12" s="1"/>
  <c r="BX173" i="12"/>
  <c r="CL173" i="12" s="1"/>
  <c r="BX174" i="12"/>
  <c r="CL174" i="12" s="1"/>
  <c r="BX175" i="12"/>
  <c r="CL175" i="12" s="1"/>
  <c r="BX176" i="12"/>
  <c r="CL176" i="12" s="1"/>
  <c r="BX177" i="12"/>
  <c r="CL177" i="12" s="1"/>
  <c r="BX178" i="12"/>
  <c r="CL178" i="12" s="1"/>
  <c r="BX179" i="12"/>
  <c r="CL179" i="12" s="1"/>
  <c r="BX180" i="12"/>
  <c r="CL180" i="12" s="1"/>
  <c r="BX181" i="12"/>
  <c r="CL181" i="12" s="1"/>
  <c r="BX182" i="12"/>
  <c r="CL182" i="12" s="1"/>
  <c r="BX183" i="12"/>
  <c r="CL183" i="12" s="1"/>
  <c r="BX184" i="12"/>
  <c r="CL184" i="12" s="1"/>
  <c r="BX185" i="12"/>
  <c r="CL185" i="12" s="1"/>
  <c r="BX186" i="12"/>
  <c r="CL186" i="12" s="1"/>
  <c r="BX187" i="12"/>
  <c r="CL187" i="12" s="1"/>
  <c r="BX188" i="12"/>
  <c r="CL188" i="12" s="1"/>
  <c r="BX189" i="12"/>
  <c r="CL189" i="12" s="1"/>
  <c r="BX190" i="12"/>
  <c r="CL190" i="12" s="1"/>
  <c r="BX191" i="12"/>
  <c r="CL191" i="12" s="1"/>
  <c r="BX192" i="12"/>
  <c r="CL192" i="12" s="1"/>
  <c r="BX193" i="12"/>
  <c r="CL193" i="12" s="1"/>
  <c r="BX194" i="12"/>
  <c r="CL194" i="12" s="1"/>
  <c r="BX195" i="12"/>
  <c r="CL195" i="12" s="1"/>
  <c r="BX196" i="12"/>
  <c r="CL196" i="12" s="1"/>
  <c r="BX197" i="12"/>
  <c r="CL197" i="12" s="1"/>
  <c r="BX198" i="12"/>
  <c r="CL198" i="12" s="1"/>
  <c r="BX199" i="12"/>
  <c r="CL199" i="12" s="1"/>
  <c r="BX200" i="12"/>
  <c r="CL200" i="12" s="1"/>
  <c r="BX201" i="12"/>
  <c r="CL201" i="12" s="1"/>
  <c r="BX202" i="12"/>
  <c r="CL202" i="12" s="1"/>
  <c r="BX203" i="12"/>
  <c r="CL203" i="12" s="1"/>
  <c r="BX204" i="12"/>
  <c r="CL204" i="12" s="1"/>
  <c r="BX205" i="12"/>
  <c r="CL205" i="12" s="1"/>
  <c r="BX207" i="12"/>
  <c r="CL207" i="12" s="1"/>
  <c r="BX208" i="12"/>
  <c r="CL208" i="12" s="1"/>
  <c r="BX209" i="12"/>
  <c r="CL209" i="12" s="1"/>
  <c r="BX210" i="12"/>
  <c r="CL210" i="12" s="1"/>
  <c r="BX211" i="12"/>
  <c r="CL211" i="12" s="1"/>
  <c r="BX212" i="12"/>
  <c r="CL212" i="12" s="1"/>
  <c r="BX213" i="12"/>
  <c r="CL213" i="12" s="1"/>
  <c r="BX214" i="12"/>
  <c r="CL214" i="12" s="1"/>
  <c r="BX215" i="12"/>
  <c r="CL215" i="12" s="1"/>
  <c r="BX216" i="12"/>
  <c r="CL216" i="12" s="1"/>
  <c r="BX217" i="12"/>
  <c r="CL217" i="12" s="1"/>
  <c r="BX218" i="12"/>
  <c r="CL218" i="12" s="1"/>
  <c r="BX219" i="12"/>
  <c r="CL219" i="12" s="1"/>
  <c r="BX220" i="12"/>
  <c r="CL220" i="12" s="1"/>
  <c r="BX221" i="12"/>
  <c r="CL221" i="12" s="1"/>
  <c r="BX222" i="12"/>
  <c r="CL222" i="12" s="1"/>
  <c r="BX223" i="12"/>
  <c r="CL223" i="12" s="1"/>
  <c r="BX224" i="12"/>
  <c r="CL224" i="12" s="1"/>
  <c r="BX225" i="12"/>
  <c r="CL225" i="12" s="1"/>
  <c r="BX226" i="12"/>
  <c r="CL226" i="12" s="1"/>
  <c r="BX227" i="12"/>
  <c r="CL227" i="12" s="1"/>
  <c r="BX228" i="12"/>
  <c r="CL228" i="12" s="1"/>
  <c r="BX229" i="12"/>
  <c r="CL229" i="12" s="1"/>
  <c r="BX6" i="12"/>
  <c r="CL6" i="12" s="1"/>
  <c r="BW230" i="12"/>
  <c r="BY230" i="12"/>
  <c r="BZ230" i="12"/>
  <c r="CP232" i="12" s="1"/>
  <c r="CA230" i="12"/>
  <c r="CB230" i="12"/>
  <c r="CC230" i="12"/>
  <c r="CD230" i="12"/>
  <c r="CE230" i="12"/>
  <c r="CF230" i="12"/>
  <c r="CG230" i="12"/>
  <c r="CH230" i="12"/>
  <c r="CI230" i="12"/>
  <c r="CJ230" i="12"/>
  <c r="BJ233" i="12"/>
  <c r="CU230" i="12" l="1"/>
  <c r="CT230" i="12"/>
  <c r="CM230" i="12"/>
  <c r="CM232" i="12" s="1"/>
  <c r="CS8" i="12"/>
  <c r="CS230" i="12" s="1"/>
  <c r="BK230" i="12"/>
  <c r="BL230" i="12"/>
  <c r="BM230" i="12"/>
  <c r="BN230" i="12"/>
  <c r="BO230" i="12"/>
  <c r="BP230" i="12"/>
  <c r="BQ230" i="12"/>
  <c r="BR230" i="12"/>
  <c r="BS230" i="12"/>
  <c r="BT230" i="12"/>
  <c r="BU230" i="12"/>
  <c r="BV230" i="12"/>
  <c r="BJ56" i="12"/>
  <c r="BX56" i="12" s="1"/>
  <c r="CL56" i="12" s="1"/>
  <c r="BJ115" i="12"/>
  <c r="BX115" i="12" s="1"/>
  <c r="CL115" i="12" s="1"/>
  <c r="BJ148" i="12" l="1"/>
  <c r="BX148" i="12" s="1"/>
  <c r="CL148" i="12" s="1"/>
  <c r="BJ55" i="12"/>
  <c r="BX55" i="12" s="1"/>
  <c r="CL55" i="12" s="1"/>
  <c r="BJ206" i="12" l="1"/>
  <c r="BX206" i="12" s="1"/>
  <c r="CL206" i="12" s="1"/>
  <c r="BJ133" i="12"/>
  <c r="BX133" i="12" s="1"/>
  <c r="CL133" i="12" s="1"/>
  <c r="BJ230" i="12" l="1"/>
  <c r="BM231" i="12" l="1"/>
  <c r="BR231" i="12"/>
  <c r="BQ231" i="12"/>
  <c r="BK231" i="12"/>
  <c r="BP231" i="12"/>
  <c r="BV231" i="12"/>
  <c r="BN231" i="12"/>
  <c r="BS231" i="12"/>
  <c r="BO231" i="12"/>
  <c r="BL231" i="12"/>
  <c r="BU231" i="12"/>
  <c r="BT231" i="12"/>
  <c r="BX230" i="12"/>
  <c r="CL230" i="12"/>
  <c r="CP231" i="12" l="1"/>
  <c r="CS231" i="12"/>
  <c r="CE231" i="12"/>
  <c r="CF231" i="12"/>
  <c r="CD231" i="12"/>
  <c r="CC231" i="12"/>
  <c r="CG231" i="12"/>
  <c r="CB231" i="12"/>
  <c r="BY231" i="12"/>
  <c r="CI231" i="12"/>
  <c r="CH231" i="12"/>
  <c r="BZ231" i="12"/>
  <c r="CA231" i="12"/>
  <c r="CJ231" i="12"/>
  <c r="CM231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<sst xmlns="http://schemas.openxmlformats.org/spreadsheetml/2006/main" count="8192" uniqueCount="1191">
  <si>
    <t>ACTIVIDAD</t>
  </si>
  <si>
    <t>TOTAL</t>
  </si>
  <si>
    <t>Acumulativa</t>
  </si>
  <si>
    <t>TIPO PLAN</t>
  </si>
  <si>
    <t>CRONOGRAMA VALORADO
(Debe ser consistente con el valor del presupuesto total 2025)</t>
  </si>
  <si>
    <t>Plan Anual de Inversión</t>
  </si>
  <si>
    <t>METAS</t>
  </si>
  <si>
    <t>Prioridad 1</t>
  </si>
  <si>
    <t>Prioridad 2</t>
  </si>
  <si>
    <t>Prioridad 3</t>
  </si>
  <si>
    <t>Sector</t>
  </si>
  <si>
    <r>
      <t xml:space="preserve">TIPO DE META
</t>
    </r>
    <r>
      <rPr>
        <sz val="9"/>
        <color theme="0"/>
        <rFont val="Calibri"/>
        <family val="2"/>
        <scheme val="minor"/>
      </rPr>
      <t>(Acumulativa o Discreta)</t>
    </r>
  </si>
  <si>
    <r>
      <t xml:space="preserve">FECHA FIN
</t>
    </r>
    <r>
      <rPr>
        <sz val="9"/>
        <color theme="1"/>
        <rFont val="Calibri"/>
        <family val="2"/>
        <scheme val="minor"/>
      </rPr>
      <t>(Tarea)</t>
    </r>
  </si>
  <si>
    <r>
      <t xml:space="preserve">FECHA INICIO
</t>
    </r>
    <r>
      <rPr>
        <sz val="9"/>
        <color theme="1"/>
        <rFont val="Calibri"/>
        <family val="2"/>
        <scheme val="minor"/>
      </rPr>
      <t>(Tarea)</t>
    </r>
  </si>
  <si>
    <t>PARTIDA PRESUPUESTARIA</t>
  </si>
  <si>
    <t>RECURSO MUNICIPAL DESTINO A GAP (SI/NO)</t>
  </si>
  <si>
    <r>
      <t xml:space="preserve">PROGRAMACIÓN DE LA META 2025
</t>
    </r>
    <r>
      <rPr>
        <sz val="8"/>
        <color theme="0"/>
        <rFont val="Calibri"/>
        <family val="2"/>
        <scheme val="minor"/>
      </rPr>
      <t>(Debe ser consistente con el valor de la meta para 2025, con el tipo de meta y su calendarización acorde con el flujo de recursos en los casos pertinentes)</t>
    </r>
  </si>
  <si>
    <t>PRESUPUESTO</t>
  </si>
  <si>
    <t>PRESUPUESTO POR TIPO DE FUENTE</t>
  </si>
  <si>
    <t>PRESUPUESTO 2025 ANUAL</t>
  </si>
  <si>
    <t>RESPONSABLES</t>
  </si>
  <si>
    <t>Prioridad</t>
  </si>
  <si>
    <t>Prioridad
(1, 2 o 3)</t>
  </si>
  <si>
    <t>Vigencia</t>
  </si>
  <si>
    <t>Objetivo general</t>
  </si>
  <si>
    <t>Componentes</t>
  </si>
  <si>
    <t>Nombre</t>
  </si>
  <si>
    <t>PROYECTO  DE INVERSIÓN (sólo para PAI)</t>
  </si>
  <si>
    <t>Gestión de Talento Humano</t>
  </si>
  <si>
    <t>Gestión Administrativa</t>
  </si>
  <si>
    <t>Gestión Misional</t>
  </si>
  <si>
    <t>Tipo de proyecto</t>
  </si>
  <si>
    <t>No Aplica</t>
  </si>
  <si>
    <t>….</t>
  </si>
  <si>
    <t>Dic</t>
  </si>
  <si>
    <t>Ene</t>
  </si>
  <si>
    <t>…</t>
  </si>
  <si>
    <t>ASIGNACIÓN MUNICIPALES</t>
  </si>
  <si>
    <t>INGRESOS PROPIOS</t>
  </si>
  <si>
    <t xml:space="preserve">Número de servidores evaluados / Total servidores </t>
  </si>
  <si>
    <t>Número de procesos adjudicados / Total de procesos del PAC</t>
  </si>
  <si>
    <t>Plan Anual de Inversión (PAI)</t>
  </si>
  <si>
    <t>Unidades producidas / Unidades programadas</t>
  </si>
  <si>
    <t>Grupo de gasto 51</t>
  </si>
  <si>
    <t>Por partida presupuestaria, registrar:
 SI o NO.</t>
  </si>
  <si>
    <t>Registrar el valor total para el año por partida presupuestaria</t>
  </si>
  <si>
    <t>Establecer por cada partida, el valor a devengar en cada mes. Esta calendarización de presupuesto debe estar acorde de los plazos de procesos de contratación.</t>
  </si>
  <si>
    <t>Establecer TAREAS por actividad, con fecha de inicio y fin.</t>
  </si>
  <si>
    <t>Mensualizar cada meta de manera consistente con el valor anual y con el cronograma valorado.</t>
  </si>
  <si>
    <t>Establecer 1 Meta Anual por componente</t>
  </si>
  <si>
    <t>Partida Presupuestaria</t>
  </si>
  <si>
    <t>Recurso de AM para GAP</t>
  </si>
  <si>
    <t>Presupuesto 2025 Anual</t>
  </si>
  <si>
    <t>Cronograma Valorado</t>
  </si>
  <si>
    <t>Tarea</t>
  </si>
  <si>
    <t>Actividad</t>
  </si>
  <si>
    <t>Tipo de Meta</t>
  </si>
  <si>
    <t xml:space="preserve">Fórmula de cálculo </t>
  </si>
  <si>
    <t>Calendarización de la Meta</t>
  </si>
  <si>
    <t>Establecer los años de vigencia de ejecución del proyecto</t>
  </si>
  <si>
    <t>Establecer el objetivo del proyecto</t>
  </si>
  <si>
    <t>Seleccionar uno de los Programas establecidos en el PMDOT</t>
  </si>
  <si>
    <t xml:space="preserve">Grupos de gastos 71 </t>
  </si>
  <si>
    <t>Abrir en Componentes según los objetivos específicos del proyecto</t>
  </si>
  <si>
    <t>Mensualizar la meta de manera consistente con el valor anual y con el cronograma valorado.</t>
  </si>
  <si>
    <t>Registrar el valor total de Asignación Municipal por partida presupuestaria</t>
  </si>
  <si>
    <t>Fortalecimiento Institucional</t>
  </si>
  <si>
    <t>Nombre del Proyecto
(Crear una sección por proyecto)</t>
  </si>
  <si>
    <t>No 
Aplica</t>
  </si>
  <si>
    <t>Ítems del grupo de gasto 5 y 8</t>
  </si>
  <si>
    <t>Ítems de los grupos de gastos 7 y 8</t>
  </si>
  <si>
    <t>Ítems del grupo de gasto 7y 8</t>
  </si>
  <si>
    <t>Establecer TAREAS por actividad o por Obra de ser el caso, con fecha de inicio y fin.</t>
  </si>
  <si>
    <t xml:space="preserve">Ítems del grupo de gasto 6 y 8 </t>
  </si>
  <si>
    <t>Fondos Propios</t>
  </si>
  <si>
    <t>Registrar el valor total de Fondos Propios por partida presupuestaria</t>
  </si>
  <si>
    <t>LA ACTIVIDAD EN TIPO OBRA (SI o NO)</t>
  </si>
  <si>
    <t>Fase de obras</t>
  </si>
  <si>
    <r>
      <t xml:space="preserve">TAREAS
</t>
    </r>
    <r>
      <rPr>
        <sz val="9"/>
        <color theme="1"/>
        <rFont val="Calibri"/>
        <family val="2"/>
        <scheme val="minor"/>
      </rPr>
      <t>(Solo para  actividades que no sean obras)</t>
    </r>
  </si>
  <si>
    <t>CRONOGRAMA DE AVANCE FÍSICO DE LA OBRA
(Solo para fase de ejecución)</t>
  </si>
  <si>
    <t>OBRAS</t>
  </si>
  <si>
    <r>
      <t xml:space="preserve">FECHA INICIO
</t>
    </r>
    <r>
      <rPr>
        <sz val="9"/>
        <color theme="1"/>
        <rFont val="Calibri"/>
        <family val="2"/>
        <scheme val="minor"/>
      </rPr>
      <t>(Fase)</t>
    </r>
  </si>
  <si>
    <r>
      <t xml:space="preserve">FECHA FIN
</t>
    </r>
    <r>
      <rPr>
        <sz val="9"/>
        <color theme="1"/>
        <rFont val="Calibri"/>
        <family val="2"/>
        <scheme val="minor"/>
      </rPr>
      <t>(Fase)</t>
    </r>
  </si>
  <si>
    <t>NOMBRE DE LA OBRA
(Solo para Actividades tipo obra)</t>
  </si>
  <si>
    <t>Por definir</t>
  </si>
  <si>
    <t>INDICADORES Y METAS POA</t>
  </si>
  <si>
    <t>Índice de productividad</t>
  </si>
  <si>
    <t>Porcentaje de adjudicación del PAC de gasto corriente</t>
  </si>
  <si>
    <t>Establecerlos en relación de las metas propuestas</t>
  </si>
  <si>
    <t>Objetivo Operativo 
/
Objetivo de Gestión PMDOT</t>
  </si>
  <si>
    <t>Programa</t>
  </si>
  <si>
    <t>ALINEACIÓN ESTRATÉGICA</t>
  </si>
  <si>
    <t>PROYECTOS  DE INVERSIÓN</t>
  </si>
  <si>
    <t>Presupuesto por Tipo de Fuente</t>
  </si>
  <si>
    <t>Asignación Municipal (AM)</t>
  </si>
  <si>
    <t>Cronograma de Avance físico</t>
  </si>
  <si>
    <t>ACTIVIDADES</t>
  </si>
  <si>
    <t>Poner "No Aplica"
(En esta matriz, no se le asignará presupuesto específico a la Gestión Misional, debido a que las metas misionales se las realiza con el presupuesto total del PGP, el cual ya fue distribuido en las otras gestiones que lo conforman)</t>
  </si>
  <si>
    <t>No
Aplica</t>
  </si>
  <si>
    <t>En Actividades tipo obra, crear una línea por cada obra y sus fases.</t>
  </si>
  <si>
    <t>Seleccionar la categorización de la intervención de acuerdo a su finalidad</t>
  </si>
  <si>
    <t>Establecer por Obra: el porcentaje de avance físico mensual acumulado.</t>
  </si>
  <si>
    <t>Tipo</t>
  </si>
  <si>
    <t>Fases</t>
  </si>
  <si>
    <r>
      <t xml:space="preserve">Nombre 
</t>
    </r>
    <r>
      <rPr>
        <i/>
        <sz val="6"/>
        <color rgb="FFC00000"/>
        <rFont val="Calibri"/>
        <family val="2"/>
        <scheme val="minor"/>
      </rPr>
      <t>(Solo para Actividades tipo obra)</t>
    </r>
  </si>
  <si>
    <t>Indicador</t>
  </si>
  <si>
    <r>
      <t xml:space="preserve">Componente: Gestión** 
</t>
    </r>
    <r>
      <rPr>
        <i/>
        <sz val="6"/>
        <color rgb="FFC00000"/>
        <rFont val="Calibri"/>
        <family val="2"/>
        <scheme val="minor"/>
      </rPr>
      <t>(Solo para Fundaciones y Corporaciones que no cuenten con Gasto Corriente)</t>
    </r>
  </si>
  <si>
    <r>
      <t xml:space="preserve">Gestión de Producción*
</t>
    </r>
    <r>
      <rPr>
        <i/>
        <sz val="6"/>
        <color rgb="FFC00000"/>
        <rFont val="Calibri"/>
        <family val="2"/>
        <scheme val="minor"/>
      </rPr>
      <t>(Solo para Empresas Públicas)</t>
    </r>
  </si>
  <si>
    <t>Establecer un Objetivo  Operativo por entidad. Este debe estar relacionado con la misión de la entidad.</t>
  </si>
  <si>
    <t>Escoger un Objetivo de Gestión PMDOT</t>
  </si>
  <si>
    <t xml:space="preserve">Definir la secuencia de acuerdo a las categorías establecidas. </t>
  </si>
  <si>
    <t>Gestión de Gasto Permanente 
/
Proyecto de Inversión</t>
  </si>
  <si>
    <t>Establecer las Actividades necesarias por componente</t>
  </si>
  <si>
    <t>Establecer las Actividades necesarias por gestión.</t>
  </si>
  <si>
    <t>Poner: Gestión de talento humano</t>
  </si>
  <si>
    <t>Poner: Gestión administrativa</t>
  </si>
  <si>
    <t>Meta 2025</t>
  </si>
  <si>
    <t>100% de Índice de productividad alcanzado al 2025</t>
  </si>
  <si>
    <t>Se recomienda seleccionar: Acumulativa</t>
  </si>
  <si>
    <t>Establecer la fórmula de cálculo por cada meta, se recomienda "Sumatoria"</t>
  </si>
  <si>
    <t>TIPO DE PLAN</t>
  </si>
  <si>
    <t>Valor de Meta PMDOT anualizada para 2025</t>
  </si>
  <si>
    <t>Se registra el monto total en dólares para el año por partida presupuestaria. Este debe ser igual a la sumatoria de Asignación Municipal y Fondos Propios.</t>
  </si>
  <si>
    <t>Registrar el monto total en dólares de Fondos Propios esperados por partida presupuestaria.</t>
  </si>
  <si>
    <t>Registrar el monto  total en dólares de Asignación Municipal por partida presupuestaria</t>
  </si>
  <si>
    <t>Establecer por cada partida, el monto a devengar en cada mes. Esta calendarización de presupuesto debe estar acorde de los plazos de procesos de contratación.</t>
  </si>
  <si>
    <t>Establecer Metas Misionales  relacionadas con productos finales del estatuto.</t>
  </si>
  <si>
    <t>Seleccionar la Meta PMDOT a la que aportará el proyecto, y establecer el valor esperado para el año 2025.             
Esta sección la debe registrar la Secretaria Rectora.</t>
  </si>
  <si>
    <r>
      <t xml:space="preserve">¿La actividad es tipo obra?
</t>
    </r>
    <r>
      <rPr>
        <sz val="8"/>
        <color theme="1"/>
        <rFont val="Calibri"/>
        <family val="2"/>
        <scheme val="minor"/>
      </rPr>
      <t xml:space="preserve">(SI o NO) </t>
    </r>
  </si>
  <si>
    <t>SI / NO
(Si la respuesta es SI, regirstrar la sección Obras)</t>
  </si>
  <si>
    <t>Escoger entre:
*Arrastre.
*Vigencia extendida. 
*Plurianual Preexistente
*Anual Nuevo.
*Plurianual Nuevo
*Inversión Sectorial</t>
  </si>
  <si>
    <t>Escoger entre: 
*Prioridad 1
*Prioridad 2
*Prioridad 3
Se sugiere a la Secretaria rectora que se considere priorizar con “1” a los proyectos tipo: 
*Arrastre.
*Vigencia extendida. 
*Plurianual Preexistente)</t>
  </si>
  <si>
    <t>Entidad Responsable</t>
  </si>
  <si>
    <t>Entidad Ejecutora</t>
  </si>
  <si>
    <t xml:space="preserve">Objetivo Operativo 
/
Objetivo de Gestión PMDOT
</t>
  </si>
  <si>
    <t>Meta PMDOT al 2033</t>
  </si>
  <si>
    <t>Valor de la Meta PMDOT anualizada para 2025</t>
  </si>
  <si>
    <t>N/A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</si>
  <si>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</si>
  <si>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</si>
  <si>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</si>
  <si>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</si>
  <si>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</si>
  <si>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</si>
  <si>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</si>
  <si>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</si>
  <si>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</si>
  <si>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</si>
  <si>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</si>
  <si>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</si>
  <si>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Ambiente</t>
  </si>
  <si>
    <t>Comunicación</t>
  </si>
  <si>
    <t>Coordinación Territorial, Gobernabilidad y Participación</t>
  </si>
  <si>
    <t>Cultura</t>
  </si>
  <si>
    <t>Desarrollo Económico y Productivo</t>
  </si>
  <si>
    <t>Educación, Recreación y Deporte</t>
  </si>
  <si>
    <t>Gobierno Digital y TIC</t>
  </si>
  <si>
    <t>Hábitat y Ordenamiento Territorial</t>
  </si>
  <si>
    <t>Inclusión Social</t>
  </si>
  <si>
    <t>Movilidad</t>
  </si>
  <si>
    <t>Planificación</t>
  </si>
  <si>
    <t>Salud</t>
  </si>
  <si>
    <t>Seguridad Ciudadana y Gestión de Riegos</t>
  </si>
  <si>
    <t>Administración General</t>
  </si>
  <si>
    <t>Secretaría de Ambiente</t>
  </si>
  <si>
    <t>Registro de la Propiedad</t>
  </si>
  <si>
    <t>Secretaría de Comunicación</t>
  </si>
  <si>
    <t>EPMAPS</t>
  </si>
  <si>
    <t>Secretaría de Coordinación Territorial, Gobernabilidad y Participación</t>
  </si>
  <si>
    <t>EPM Aseo</t>
  </si>
  <si>
    <t>Secretaría de Cultura</t>
  </si>
  <si>
    <t>EPMGIRS</t>
  </si>
  <si>
    <t>Secretaría de Desarrollo Económico y Productivo</t>
  </si>
  <si>
    <t>Fondo Ambiental</t>
  </si>
  <si>
    <t>Secretaría de Educación, Recreación y Deporte</t>
  </si>
  <si>
    <t>Secretaría de Gobierno Digital y TIC</t>
  </si>
  <si>
    <t>Secretaría de Hábitat y Ordenamiento Territorial</t>
  </si>
  <si>
    <t>Administración Zonal Calderón</t>
  </si>
  <si>
    <t>Secretaría de Inclusión Social</t>
  </si>
  <si>
    <t>Administración Zonal del Choco Andino</t>
  </si>
  <si>
    <t>Secretaría de Movilidad</t>
  </si>
  <si>
    <t>Administración Zonal Eloy Alfaro (Sur)</t>
  </si>
  <si>
    <t>Secretaría de Salud</t>
  </si>
  <si>
    <t>Administración Zonal Equinoccial (La Delicia)</t>
  </si>
  <si>
    <t>Secretaría General de Planificación</t>
  </si>
  <si>
    <t>Administración Zonal Eugenio Espejo (Norte)</t>
  </si>
  <si>
    <t>Secretaría General de Seguridad Ciudadana y Gestión de Riesgos</t>
  </si>
  <si>
    <t>Administración Zonal La Mariscal</t>
  </si>
  <si>
    <t>Administración Zonal Manuela Sáenz (Centro)</t>
  </si>
  <si>
    <t>Administración Zonal Quitumbe</t>
  </si>
  <si>
    <t>Administración Zonal Tumbaco</t>
  </si>
  <si>
    <t>Administración Zonal Valle de los Chillos</t>
  </si>
  <si>
    <t>Fundación Museos de la Ciudad</t>
  </si>
  <si>
    <t>Fundación Teatro Nacional Sucre</t>
  </si>
  <si>
    <t>Agencia de Coordinación Distrital de Comercio</t>
  </si>
  <si>
    <t>Corporación de Promoción Económica, CONQUITO</t>
  </si>
  <si>
    <t>EPM Gestión de Destino Turístico</t>
  </si>
  <si>
    <t>EPM Mayorista</t>
  </si>
  <si>
    <t>EPM Rastro</t>
  </si>
  <si>
    <t>EPMSA</t>
  </si>
  <si>
    <t>Colegio Benalcázar</t>
  </si>
  <si>
    <t>Colegio Fernández Madrid</t>
  </si>
  <si>
    <t>Instituto de Capacitación Municipal</t>
  </si>
  <si>
    <t>Unidad Educativa Bicentenario</t>
  </si>
  <si>
    <t>Unidad Educativa Espejo</t>
  </si>
  <si>
    <t>Unidad Educativa Julio E. Moreno</t>
  </si>
  <si>
    <t>Unidad Educativa Oswaldo Lombeyda</t>
  </si>
  <si>
    <t>Unidad Educativa Quitumbe</t>
  </si>
  <si>
    <t>Unidad Educativa San Francisco de Quito</t>
  </si>
  <si>
    <t>Unidad Educativa Sucre</t>
  </si>
  <si>
    <t>Secretaría de Gobierno Digital y Tecnologías de la Información y Comunicaciones</t>
  </si>
  <si>
    <t>EPM Hábitat y Vivienda</t>
  </si>
  <si>
    <t>Instituto Metropolitano de Patrimonio</t>
  </si>
  <si>
    <t>Unidad Especial Regula tu Barrio</t>
  </si>
  <si>
    <t>Consejo de Protección de Derechos del DMQ</t>
  </si>
  <si>
    <t>Unidad Patronato Municipal San José (*)</t>
  </si>
  <si>
    <t>Agencia Metropolitana de Tránsito</t>
  </si>
  <si>
    <t>EPM Metro de Quito</t>
  </si>
  <si>
    <t>EPM Transporte de Pasajeros</t>
  </si>
  <si>
    <t>EPMMOP</t>
  </si>
  <si>
    <t>Alcaldía Metropolitana (**)</t>
  </si>
  <si>
    <t>Auditoría Interna Metropolitana (**)</t>
  </si>
  <si>
    <t>Dirección Metropolitana de Relaciones Internacionales (**)</t>
  </si>
  <si>
    <t>Instituto de Investigaciones de la Ciudad</t>
  </si>
  <si>
    <t>Procuraduría Metropolitana (**)</t>
  </si>
  <si>
    <t>Quito Honesto (**)</t>
  </si>
  <si>
    <t>Secretaría General del Concejo (**)</t>
  </si>
  <si>
    <t>Unidad de Bienestar Animal</t>
  </si>
  <si>
    <t>Unidad Municipal de Salud Centro</t>
  </si>
  <si>
    <t>Unidad Municipal de Salud Norte</t>
  </si>
  <si>
    <t>Unidad Municipal de Salud Sur</t>
  </si>
  <si>
    <t>Agencia Metropolitana de Control (***)</t>
  </si>
  <si>
    <t>Cuerpo de Agentes de Control Metropolitano</t>
  </si>
  <si>
    <t>Cuerpo de Bomberos de Quito</t>
  </si>
  <si>
    <t>EPM Seguridad</t>
  </si>
  <si>
    <t>1.1 Promover el pleno ejercicio de derechos sociales, económicos y culturales en un territorio de justicia social.</t>
  </si>
  <si>
    <t>1.2 Generar condiciones para alcanzar un sistema económico dinámico, sostenible, inclusivo e innovador, que promueva las capacidades humanas y las potencialidades de los territorios, así como la creación y acceso a oportunidades, trabajo y medios de vida dignos.</t>
  </si>
  <si>
    <t>2.1 Coadyuvar en el restablecimiento de la paz, la seguridad y la sana convivencia ciudadana.</t>
  </si>
  <si>
    <t>2.2 Propiciar el derecho a la ciudad y a un hábitat saludable, con vivienda digna y espacios públicos seguros e inclusivos; con equilibrio territorial y desarrollo urbano - rural.</t>
  </si>
  <si>
    <t>2.3 Impulsar un sistema de movilidad sostenible y seguro, que sea accesible, inteligente, eficiente, interconectado e intermodal; que cuente con transporte público de calidad y que priorice a peatones y a medios de transporte alternativos.</t>
  </si>
  <si>
    <t>2.4 Promover una ciudad sostenible, con políticas y gestión de conservación y restauración, que de vitalidad a sus patrimonios geográficos, naturales y ecosistemas biodiversos.</t>
  </si>
  <si>
    <t>2.5 Reducir la vulnerabilidad e impulsar la resiliencia frente a eventos, desastres y riesgos naturales y climáticos.</t>
  </si>
  <si>
    <t>3.2 Potenciar el rol activo, articulado y cooperativo de los actores sociales y territoriales para la toma de decisiones y la gestión de los conflictos.</t>
  </si>
  <si>
    <t>3.3 Fortalecer la articulación intra e interinstitucional, la gestión desconcentrada, transparente y colaborativa.</t>
  </si>
  <si>
    <t>Reducir en 2.8 millones las emisiones de CO2 equivalente (huella de carbono) en el DMQ, al 2033.</t>
  </si>
  <si>
    <t>Articular el 100% de los servicios sociales de cuidados, protección y prevención de violencia con pertinencia territorial enmarcados en la Red Metropolitana de protección social, al 2033.</t>
  </si>
  <si>
    <t>Implementar al 100% de Unidades Educativas Municipales del DMQ, el "Plan de escuelas saludables" a través de una atención integral con prioridad en salud mental, prevención de adicciones, salud sexual y reproductiva; mal nutrición en todas sus formas y promoción de hábitos saludables, al 2033.</t>
  </si>
  <si>
    <t>Incrementar al 20% los espacios públicos con agendas culturales que potencian la convivencia ciudadana en la diversidad cultural, al 2033</t>
  </si>
  <si>
    <t>Incrementar en 34% el número de estudiantes matriculados en programas de educación municipal inclusiva, al 2033, respecto de los matriculados en 2023.</t>
  </si>
  <si>
    <t>Alcanzar el 12% de la PEA del DMQ con acciones de vinculación laboral, al 2033</t>
  </si>
  <si>
    <t>Incrementar en un 100% la cantidad de operativos interinstitucionales coordinados en apoyo a la seguridad y convivencia ciudadana en el DMQ, al 2033</t>
  </si>
  <si>
    <t>Alcanzar el 80% de restauración del sistema de espacios verdes urbanos, al 2033.</t>
  </si>
  <si>
    <t>Incrementar al 35% las acciones para la atención integral de emergencias (protocolos, infraestructura, equipamiento, insumos, personal especializados en el DMQ, al 2033</t>
  </si>
  <si>
    <t>Incrementar al 80% el cumplimiento de estándares de calidad y seguridad del paciente, en  los establecimientos de salud del DMQ, al 2033</t>
  </si>
  <si>
    <t>Incrementar la conectividad activa de internet gratuito municipal a 4.300 espacios públicos del  DMQ, al 2033</t>
  </si>
  <si>
    <t>Incrementar al 85% los espacios públicos del patrimonio cultural del DMQ conservados al 2033.</t>
  </si>
  <si>
    <t>Incrementar al 10% la cobertura de tratamiento de aguas residuales en el DMQ, al 2033</t>
  </si>
  <si>
    <t>Reducir en 50% el número de personas fallecidas en siniestros viales, al 2033.</t>
  </si>
  <si>
    <t>Reducir en al menos 9 días el tiempo promedio de atención de los 5 trámites más demandados por el sector productivo del DMQ, al 2033</t>
  </si>
  <si>
    <t>Incrementar 10 mercados que fomentan las industrias creativas en el DMQ, al 2033.</t>
  </si>
  <si>
    <t>Mantener el 100% del modelo de gestión articulado con acciones intersectoriales que potencien el desarrollo rural con identidad territorial en los 33 gobiernos parroquiales rurales, al 2033.</t>
  </si>
  <si>
    <t>Financiar con capital semilla al 25% de emprendimientos registrados al 2033.</t>
  </si>
  <si>
    <t>Alcanzar que el 20% de las organizaciones de la Economía Popular y Solidaria del DMQ estén fortalecidas, al 2033</t>
  </si>
  <si>
    <t>Incrementar al 96% el número de trámites que se pueden realizar de manera automatizada en el DMQ, al 2033.</t>
  </si>
  <si>
    <t>Incrementar en 5000 ciudadanos sensibilizados que aplican enfoques integrales de manejo en las áreas protegidas del Subsistema Metropolitano de Áreas Protegidas al 2033.</t>
  </si>
  <si>
    <t>Implementar las "Escuelas de Participación ciudadana" en todas las parroquias urbanas y rurales del DMQ, al 2033.</t>
  </si>
  <si>
    <t>Incrementar a 8,70 puntos el rendimiento escolar promedio de las Instituciones Educativas Municipales en una mejora integral y que promueva la calidad educativa, al 2033</t>
  </si>
  <si>
    <t>Alcanzar que al menos el 60% de intervenciones del GAD DMQ que incorporan el enfoque de género para promover los derechos de las mujeres en todas sus diversidades al 2033</t>
  </si>
  <si>
    <t>Incrementar al 60% el aprovechamiento de residuos sólidos del DMQ, al 2033.</t>
  </si>
  <si>
    <t>Alcanzar el 3,8/5,0 en la experiencia de viaje en el transporte público, al 2033</t>
  </si>
  <si>
    <t>Alcanzar el 99% del total de la población del DMQ con cobertura de agua potable, al 2033</t>
  </si>
  <si>
    <t>Alcanzar el 98% del total de la población del DMQ con cobertura de alcantarillado, al 2033</t>
  </si>
  <si>
    <t>Alcanzar 237 KM de ciclovías en el DMQ, al 2033.</t>
  </si>
  <si>
    <t>Incrementar a 5 soluciones viales en el DMQ que mejoren las condiciones de circulación, conectividad y accesibilidad, al 2033.</t>
  </si>
  <si>
    <t>Reducir el 20% de animales de compañía en condiciones de calle dentro del DMQ, contribuyendo al bienestar animal, al 2033</t>
  </si>
  <si>
    <t>Adecuar 2.000.000 m2 de redes peatonales inclusivas que favorezcan la movilidad peatonal en el DMQ, al 2033</t>
  </si>
  <si>
    <t>Alcanzar que el 15% de emprendimientos financiados superen los 3 años de operación, al 2033.</t>
  </si>
  <si>
    <t>Incrementar al 70% la cobertura de servicios de recolección diferenciada en el DMQ, al 2033.</t>
  </si>
  <si>
    <t>Alcanzar que el 25% de los habitantes de las zonas priorizadas implementen medidas de reducción de riesgos (SAT-medidas estructurales y no estructurales de mitigación) del DMQ, al 2033</t>
  </si>
  <si>
    <t>Alcanzar 5.750 estudiantes beneficiarios por los talleres de extracurriculares (Cultura, Deportes, Tecnología y Robótica) que se implementan en las Instituciones Educativas Municipales,  al 2033</t>
  </si>
  <si>
    <t>Alcanzar el 60% de la flota de transporte público del subsistema Metrobús Q con tecnología limpia, al 2033</t>
  </si>
  <si>
    <t>Incrementar al 88% la calificación del servicio municipal, al 2033</t>
  </si>
  <si>
    <t>Incrementar al menos el 2% anual el número de  licencias de habilitación de suelo y actividades económicas emitidas en centralidades planificadas, al 2033</t>
  </si>
  <si>
    <t>Incrementar suelo urbano sin superar el 100% de las áreas previstas en el PUGS como suelo rural de expansión urbana, al 2033</t>
  </si>
  <si>
    <t xml:space="preserve">Alcanzar la certificación de "municipio saludable" para el DMQ al 2033 </t>
  </si>
  <si>
    <t>Implementar el 100% del proyecto extensión del Metro a la Ofelia, al 2033</t>
  </si>
  <si>
    <t>Incrementar al 70% las hectáreas gestionadas de manera sostenible, del Subsistema Metropolitano de Áreas Protegidas del DMQ, al 2033.</t>
  </si>
  <si>
    <t>Incrementar al 15% el número de personas del DMQ que realizan actividades deportivas y recreativas por eventos organizados por el GAD DMQ, al 2033.</t>
  </si>
  <si>
    <t>Alcanzar 1,5 millones de visitantes no residentes, al 2033</t>
  </si>
  <si>
    <t>Alcanzar el 100% de quebradas priorizadas, con intervenciones integrales, en el DMQ, al 2033.</t>
  </si>
  <si>
    <t xml:space="preserve">Alcanzar el 100% de regularización de asentamientos humanos de hecho identificados, al 2033 </t>
  </si>
  <si>
    <t>Alcanzar el 100% de niños/as menores de 5 años que asisten a los Centros de Desarrollo Infantil (Quito Wawas) que cumplen con el paquete priorizado de prevención de desnutrición crónica infantil y el monitoreo del estado nutricional, al 2033.</t>
  </si>
  <si>
    <t>Incrementar al 80% la programación de la Red Metropolitana de Cultura que incorpora herramientas contra la desigualdad y la discriminación, al 2033.</t>
  </si>
  <si>
    <t xml:space="preserve">Incrementar la cobertura de atención integral en salud mental al 100%, con enfoque de derechos y equidad para la población de responsabilidad municipal del DMQ, al 2033  </t>
  </si>
  <si>
    <t>Incrementar al 100% las parroquias urbanas y rurales cubiertas con actividades artístico - culturales, para el pleno ejercicio de los derechos culturales, al 2033.</t>
  </si>
  <si>
    <t>Quito ciudad verde azul</t>
  </si>
  <si>
    <t>Quito te cuida</t>
  </si>
  <si>
    <t>Quito transparente y eficiente</t>
  </si>
  <si>
    <t>Quito cultura y patrimonio</t>
  </si>
  <si>
    <t>Quito te proyecta</t>
  </si>
  <si>
    <t>Quito fomenta el trabajo</t>
  </si>
  <si>
    <t>Quito hábitat digno y seguro</t>
  </si>
  <si>
    <t>Quito participa</t>
  </si>
  <si>
    <t>Quito productivo y competitivo</t>
  </si>
  <si>
    <t>Quito espacio público y ciudadanías</t>
  </si>
  <si>
    <t xml:space="preserve">Quito con movilidad segura </t>
  </si>
  <si>
    <t>Quito de las y los emprendedores</t>
  </si>
  <si>
    <t>Quito te integra</t>
  </si>
  <si>
    <t>Quito con movilidad sostenible</t>
  </si>
  <si>
    <t>Plan Anual de Gasto Permanente</t>
  </si>
  <si>
    <t>Porcentaje de realización de evaluaciones de desempeño.</t>
  </si>
  <si>
    <t>100% de evaluaciones de desempeño realizadas al 2025.</t>
  </si>
  <si>
    <t>Número de servidores evaluados / Total servidores.</t>
  </si>
  <si>
    <t>Porcentaje de adjudicación del PAC de gasto corriente.</t>
  </si>
  <si>
    <t>100% de procesos del PAC de gasto corriente adjudicados al 2025.</t>
  </si>
  <si>
    <t>Número de procesos adjudicados / Total de procesos del PAC.</t>
  </si>
  <si>
    <t xml:space="preserve">100% de Índice de productividad al 2025. Fórmula: Unidades producidas / Unidades programadas. </t>
  </si>
  <si>
    <t>Índice de Satisfacción del Cliente</t>
  </si>
  <si>
    <t xml:space="preserve">100% de Índice de Satisfacción del cliente, al 2025. </t>
  </si>
  <si>
    <t>Clientes satisfechos / # Clientes.</t>
  </si>
  <si>
    <t>Discreta</t>
  </si>
  <si>
    <t>No</t>
  </si>
  <si>
    <t>Si</t>
  </si>
  <si>
    <t>3.1. Brindar servicios de calidad y atender de manera eficiente las necesidades de la población.</t>
  </si>
  <si>
    <t>Arrastre.</t>
  </si>
  <si>
    <t xml:space="preserve">Vigencia extendida. </t>
  </si>
  <si>
    <t>Plurianual Preexistente</t>
  </si>
  <si>
    <t>Anual Nuevo.</t>
  </si>
  <si>
    <t>Plurianual Nuevo</t>
  </si>
  <si>
    <t>Inversión Sectorial</t>
  </si>
  <si>
    <t>Acción climática para la reducción de la huella de carbono y de la vulnerabilidad en el DMQ</t>
  </si>
  <si>
    <t>Acompañamiento especializado a familias en situación de extrema pobreza mediante visitas domiciliarias y redes de apoyo quito ciudad cuidadora</t>
  </si>
  <si>
    <t>Adecuación de la radio municipal en las instalaciones del parque bicentenario</t>
  </si>
  <si>
    <t>Administración financiera</t>
  </si>
  <si>
    <t>Adolescentes informados en sexualidad responsable</t>
  </si>
  <si>
    <t>Agenda cultural metropolitana</t>
  </si>
  <si>
    <t>Ampliación de la oferta educativa extraordinaria</t>
  </si>
  <si>
    <t>Ampliación de oportunidades de empleabilidad a través de programas de capacitación y de orientación laboral</t>
  </si>
  <si>
    <t>Apoyo logístico a las entidades del sistema integrado de seguridad</t>
  </si>
  <si>
    <t>Arbolado urbano y conformación de interconexión de los corredores de la red verde urbana</t>
  </si>
  <si>
    <t>Atención a habitantes de calle</t>
  </si>
  <si>
    <t>Atención a la primera infancia</t>
  </si>
  <si>
    <t>Atención de emergencias en el DMQ</t>
  </si>
  <si>
    <t>Atención e inclusión social de niña/os y adolescentes en situación de trabajo infantil y mendicidad</t>
  </si>
  <si>
    <t>Atención integral a sobrevivientes y víctimas de violencias – Quito ciudad libre de violencia</t>
  </si>
  <si>
    <t>Atención integral de salud</t>
  </si>
  <si>
    <t>Atención integral en adicciones</t>
  </si>
  <si>
    <t>Atención psicopedagógica integral para estudiantes con necesidades educativas especiales de instituciones educativas</t>
  </si>
  <si>
    <t>Atención, prevención y protección de violencia intrafamiliar, género, maltrato infantil y violencia sexual</t>
  </si>
  <si>
    <t>Automatización y sistematización de los procesos de la agencia metropolitana de control</t>
  </si>
  <si>
    <t>Centro de análisis y monitoreo para la agencia metropolitana de control</t>
  </si>
  <si>
    <t>Centros comunitarios somos quito</t>
  </si>
  <si>
    <t>Conectividad activa a internet gratuito</t>
  </si>
  <si>
    <t>Conservación de bienes muebles culturales del DMQ</t>
  </si>
  <si>
    <t>Conservación de edificaciones patrimoniales para equipamientos de servicios de gestión local y social en el DMQ.</t>
  </si>
  <si>
    <t>Conservación de la arquitectura religiosa en el DMQ</t>
  </si>
  <si>
    <t>Conservación del espacio público en el CHQ y las parroquias urbanas y rurales del DMQ</t>
  </si>
  <si>
    <t>Conservación integral de los bienes patrimoniales en las áreas históricas de las parroquias urbanas y rurales del DMQ</t>
  </si>
  <si>
    <t>Desarrollar el sistema de gestión de la información ambiental (SGIA) del gobierno autónomo descentralizado del distrito metropolitano de quito</t>
  </si>
  <si>
    <t>Desarrollo de capacidades del talento humano del municipio del distrito metropolitano de quito</t>
  </si>
  <si>
    <t>Desarrollo de estrategia productiva local</t>
  </si>
  <si>
    <t>Descontaminación de ríos y quebradas del DMQ</t>
  </si>
  <si>
    <t>Difusión de la gestión institucional</t>
  </si>
  <si>
    <t>Diseño e implementación del nuevo sistema de gestión catastral</t>
  </si>
  <si>
    <t>Educación ambiental para el desarrollo sostenible y buenas prácticas ambientales para el DMQ</t>
  </si>
  <si>
    <t>Espacios verdes</t>
  </si>
  <si>
    <t>Fomento de la convivencia, seguridad ciudadana y gestión de riesgos en el territorio</t>
  </si>
  <si>
    <t>Fomento de la seguridad vial y control de tránsito en el distrito metropolitano de quito</t>
  </si>
  <si>
    <t>Fomento del entorno productivo y competitivo en el DMQ</t>
  </si>
  <si>
    <t>Fomento del entorno productivo y competitivo territorial en el distrito metropolitano de quito</t>
  </si>
  <si>
    <t>Fomento y protección de la diversidad cultural</t>
  </si>
  <si>
    <t>Fortalecimiento a parroquias rurales y comunas</t>
  </si>
  <si>
    <t>Fortalecimiento de capacidades para el emprendimiento y el empleo en el DMQ</t>
  </si>
  <si>
    <t>Fortalecimiento de la generación de políticas públicas en el DMQ a través de estudios de investigación sobre la ciudad</t>
  </si>
  <si>
    <t>Fortalecimiento de la gestión catastral</t>
  </si>
  <si>
    <t>Fortalecimiento de la gestión integral del subsistema de salud en la red metropolitana de salud del distrito metropolitano de quito</t>
  </si>
  <si>
    <t>Fortalecimiento de la infraestructura física del mercado mayorista de quito</t>
  </si>
  <si>
    <t>Fortalecimiento de la infraestructura tecnológica y seguridades del GAD-DMQ-DMI</t>
  </si>
  <si>
    <t>Fortalecimiento de la infraestructura y espacio público</t>
  </si>
  <si>
    <t>Fortalecimiento de los servicios inclusivos y redes de apoyo para personas con discapacidad y sus familias</t>
  </si>
  <si>
    <t>Fortalecimiento del gobierno digital para convertir al distrito metropolitano de quito en una ciudad inteligente y sostenible</t>
  </si>
  <si>
    <t>Fortalecimiento del sistema metropolitano de áreas protegidas</t>
  </si>
  <si>
    <t>Fortalecimiento del sistema municipal de faenamiento</t>
  </si>
  <si>
    <t>Fortalecimiento e intervención integral en el espacio público de las áreas históricas en las parroquias urbanas y rurales del DMQ</t>
  </si>
  <si>
    <t>Fortalecimiento integral del sistema de participación ciudadana y control social</t>
  </si>
  <si>
    <t>Fortalecimiento para la innovación y la tecnología en el DMQ</t>
  </si>
  <si>
    <t>Fortalecimiento pedagógico</t>
  </si>
  <si>
    <t>Fortalecimiento y ampliación de los servicios de cuidados para las personas adultas mayores para promover su autonomía</t>
  </si>
  <si>
    <t>Fortalecimiento y ampliación de los servicios de desarrollo infantil integral</t>
  </si>
  <si>
    <t>Fortalecimiento y modernización integral de quito honesto para potenciar los servicios y gestión de la entidad</t>
  </si>
  <si>
    <t>Garantía de protección de derechos</t>
  </si>
  <si>
    <t>Gastos administrativos</t>
  </si>
  <si>
    <t>Gestión administrativa</t>
  </si>
  <si>
    <t>Gestión de auditoría interna metropolitana</t>
  </si>
  <si>
    <t>Gestión de la EPMSA</t>
  </si>
  <si>
    <t>Gestión de la procuraduría metropolitana</t>
  </si>
  <si>
    <t>Gestión de la seguridad del aeropuerto</t>
  </si>
  <si>
    <t>Gestión de residuos no peligrosos</t>
  </si>
  <si>
    <t>Gestión del registro, inventario, investigación y puesta en valor del patrimonio cultural del DMQ</t>
  </si>
  <si>
    <t>Gestión del talento humano</t>
  </si>
  <si>
    <t>Gestión integral de residuos de construcción y escombros</t>
  </si>
  <si>
    <t>Gestión integral de residuos peligrosos sanitarios</t>
  </si>
  <si>
    <t>Gestión interna del ICAM</t>
  </si>
  <si>
    <t>Imagen urbana</t>
  </si>
  <si>
    <t>Implementación de espacios de actoría, inclusión y cohesión social de adolescentes y jóvenes como protagonistas del desarrollo</t>
  </si>
  <si>
    <t>Implementación de políticas de inclusión social en el DMQ</t>
  </si>
  <si>
    <t>Implementación de sistemas inteligentes de transporte SAE y SIU en el sistema de transporte público</t>
  </si>
  <si>
    <t>Implementación del plan de optimización, simplificación y digitalización de trámites administrativos municipales en el distrito metropolitano de quito</t>
  </si>
  <si>
    <t>Implementación del sistema de gestión integral de quito honesto para automatizar los servicios y procesos que se brinda a la ciudadanía y dependencias municipales del DMQ</t>
  </si>
  <si>
    <t>Impulso de la economía circular y el valor compartido en el DMQ</t>
  </si>
  <si>
    <t>Inclusión educativa</t>
  </si>
  <si>
    <t>Infraestructura comunitaria</t>
  </si>
  <si>
    <t>Infraestructura educativa integral e inclusiva en las instituciones educativas municipales</t>
  </si>
  <si>
    <t>Infraestructura nueva de agua potable</t>
  </si>
  <si>
    <t>Infraestructura nueva de saneamiento</t>
  </si>
  <si>
    <t>Infraestructura para los modos de transporte no motorizados</t>
  </si>
  <si>
    <t>Infraestructura vial</t>
  </si>
  <si>
    <t>Infraestructura, espacio público y desarrollo social con priorización ciudadana</t>
  </si>
  <si>
    <t>Intervención y conservación del patrimonio arqueológico del DMQ</t>
  </si>
  <si>
    <t>Juventud-es quito</t>
  </si>
  <si>
    <t>Manejo de fauna urbana DMQ</t>
  </si>
  <si>
    <t>Mantenimiento y rehabilitación vial</t>
  </si>
  <si>
    <t>Mejoramiento de la circulación del tráfico en el DMQ</t>
  </si>
  <si>
    <t>Mejoramiento de la gestión y servicio del sistema de comercialización en el DMQ</t>
  </si>
  <si>
    <t>Mejoramiento de la infraestructura de movilidad</t>
  </si>
  <si>
    <t>Mejoramiento de las condiciones productivas y ampliación de las oportunidades de mercado</t>
  </si>
  <si>
    <t>Mejoramiento de los servicios de aseo</t>
  </si>
  <si>
    <t>Mejoramiento del servicio en el sistema integrado de transporte público</t>
  </si>
  <si>
    <t>Mitigación del riesgo de desastres en el DMQ</t>
  </si>
  <si>
    <t>Modelo educativo municipal innovador</t>
  </si>
  <si>
    <t>Modernización del sistema de transporte público metropolitano de pasajeros</t>
  </si>
  <si>
    <t>Modernización integral del registro de la propiedad</t>
  </si>
  <si>
    <t>Monitoreo continuo de la contaminación del aire, el agua y niveles de ruido</t>
  </si>
  <si>
    <t>Operación de los corredores del sistema metropolitano de transporte público</t>
  </si>
  <si>
    <t>Operación urbana y mejoramiento del hábitat</t>
  </si>
  <si>
    <t>Optimización de la gestión para el cumplimiento de la normativa metropolitana en el DMQ</t>
  </si>
  <si>
    <t>Planificación y regulación del uso y gestión del suelo</t>
  </si>
  <si>
    <t>Politicas públicas de salud en el DMQ</t>
  </si>
  <si>
    <t>Posicionamiento y cooperación internacional para el desarrollo del DMQ</t>
  </si>
  <si>
    <t>Presupuestos participativos</t>
  </si>
  <si>
    <t>Prevención ante eventos adversos</t>
  </si>
  <si>
    <t>Prevención situacional y convivencia pacífica</t>
  </si>
  <si>
    <t>Prevención y atención de la violencia de género</t>
  </si>
  <si>
    <t>Prevención y control para el buen uso del espacio público</t>
  </si>
  <si>
    <t>Primera línea del Metro de Quito</t>
  </si>
  <si>
    <t>Producción de vivienda y gestión de mecanismos de acceso a la vivienda en el DMQ</t>
  </si>
  <si>
    <t>Promoción de derechos de grupos de atención prioritaria y en situación de vulnerabilidad</t>
  </si>
  <si>
    <t>Promoción de los modos de transporte sostenible</t>
  </si>
  <si>
    <t>Protección de derechos e inclusión social de personas en situación de habitabilidad de calle, experiencia de vida en calle y movilidad humana</t>
  </si>
  <si>
    <t>Protección integral a grupos de atención prioritaria en situación de vulnerabilidad y/o riesgo, naturaleza y animales</t>
  </si>
  <si>
    <t>Protección, conservación y mejoramiento a los recursos naturales y calidad ambiental del DMQ</t>
  </si>
  <si>
    <t>Quito a la cancha</t>
  </si>
  <si>
    <t>Quito abierta a los negocios</t>
  </si>
  <si>
    <t>Quito activo</t>
  </si>
  <si>
    <t>Quito destino turístico</t>
  </si>
  <si>
    <t>Quito destino turístico inteligente</t>
  </si>
  <si>
    <t>Recuperación de quebradas priorizadas en el DMQ</t>
  </si>
  <si>
    <t>Recuperación, protección y monitoreo de la cobertura vegetal con principios de restauración ecológica</t>
  </si>
  <si>
    <t>Reducción de riesgos de desastres en el DMQ</t>
  </si>
  <si>
    <t>Regula tu barrio</t>
  </si>
  <si>
    <t>Rehabilitación de la unidad metropolitana de salud sur (hospital básico nivel II)</t>
  </si>
  <si>
    <t>Remuneración de personal</t>
  </si>
  <si>
    <t>Renovación urbana</t>
  </si>
  <si>
    <t>Renovación y repotenciación de sistemas de agua potable</t>
  </si>
  <si>
    <t>Repotenciación de infraestructura de mercados y ferias del DMQ</t>
  </si>
  <si>
    <t>Residencia para la atención integral del adulto mayor en situación de vulnerabilidad</t>
  </si>
  <si>
    <t>Seguimiento y evaluación de la gestión de los planes del MDMQ</t>
  </si>
  <si>
    <t>Seguridad alimentaria y nutrición</t>
  </si>
  <si>
    <t>Señalización y semaforización</t>
  </si>
  <si>
    <t>Servicios culturales comunitarios y deportivos en Cumandá parque urbano</t>
  </si>
  <si>
    <t>Sistema de información de patrimonio cultural material e inmaterial del DMQ.</t>
  </si>
  <si>
    <t>Sistema de producción sostenible y consumo responsable de la agricultura urbana</t>
  </si>
  <si>
    <t>Sistema Distrital Museos de la Ciudad</t>
  </si>
  <si>
    <t>Sistema Integral de Promoción de la Salud</t>
  </si>
  <si>
    <t>Sistema Metropolitano de Teatros</t>
  </si>
  <si>
    <t>Somos Quito</t>
  </si>
  <si>
    <t>Territorio y Cultura</t>
  </si>
  <si>
    <t>Vivienda de interés social</t>
  </si>
  <si>
    <t>Tipo de obra</t>
  </si>
  <si>
    <t>Vivienda</t>
  </si>
  <si>
    <t>Agua potable</t>
  </si>
  <si>
    <t>Espacio público</t>
  </si>
  <si>
    <t>Metro de Quito</t>
  </si>
  <si>
    <t>Movilidad y transporte</t>
  </si>
  <si>
    <t>Otras intervenciones institucionales</t>
  </si>
  <si>
    <t>Residuos y desechos</t>
  </si>
  <si>
    <t>Saneamiento</t>
  </si>
  <si>
    <t>1. Elaboración de diseños y estudios</t>
  </si>
  <si>
    <t>2. Contratación en el portal de compras públicas</t>
  </si>
  <si>
    <t>3. Expropiaciones</t>
  </si>
  <si>
    <t>4. Ejecución de la obra física</t>
  </si>
  <si>
    <t>5. Acta entrega recepción provisional</t>
  </si>
  <si>
    <t>6. Obra para inauguración</t>
  </si>
  <si>
    <t>Plan Anual de Gasto Permanente (PGP)</t>
  </si>
  <si>
    <t>Porcentaje de evaluaciones de desempeño</t>
  </si>
  <si>
    <t>Realizar el 100% de evaluaciones de desempeño al 2025</t>
  </si>
  <si>
    <t>Adjudicar el 100% de procesos del PAC de gasto corriente adjudicados al 2025</t>
  </si>
  <si>
    <t>Adjudicar el 100% de procesos del PAC de gasto corriente al 2025.</t>
  </si>
  <si>
    <t>ESTRUCTURA GENERAL DE LA MATRIZ POA</t>
  </si>
  <si>
    <t>PROYECTOS DE INVERSIÓN</t>
  </si>
  <si>
    <t xml:space="preserve">¿La actividad es tipo obra?
(SI o NO) </t>
  </si>
  <si>
    <t>Nombre de la Actividad</t>
  </si>
  <si>
    <t>Alcaldía Metropolitana y Secretaría de Concejo</t>
  </si>
  <si>
    <t>Alcanzar 280.000 personas capacitadas  en competencias digitales para la población del DMQ, al 2033.</t>
  </si>
  <si>
    <t>Alcanzar el 100% de acciones intersectoriales implementadas de desarrollo rural con identidad territorial en los 33 gobiernos parroquiales rurales, al 2033.</t>
  </si>
  <si>
    <t>Alcanzar el 100% de administraciones zonales con sistemas de cuidado implementados, al 2033</t>
  </si>
  <si>
    <t>Alcanzar el 100% de la construcción del complejo ambiental en el DMQ, al 2033.</t>
  </si>
  <si>
    <t>Alcanzar el 100% del cierre técnico del Relleno Sanitario del DMQ, al 2033.</t>
  </si>
  <si>
    <t xml:space="preserve">Alcanzar el 32% de las zonas de interés hídrico del DMQ, con acciones de protección y conservación, en el DMQ, al 2033. </t>
  </si>
  <si>
    <t>Incrementar al 25% los habitantes del DMQ que se involucren activamente en procesos de participación y formación ciudadana en el marco de equidad e inclusión social, al 2033</t>
  </si>
  <si>
    <t>Incrementar anualmente en 5% el índice de eficiencia de la gestión municipal al 2033</t>
  </si>
  <si>
    <t>Incrementar en 10% las personas del DMQ que se involucran en acciones de promoción de derechos en el marco del sistema de protección integral respecto al total de personas involucradas, al 2033</t>
  </si>
  <si>
    <t>Incrementar hasta el 40%  la relación entre ingresos tributarios por impuestos  y el total de ingresos del GADDMQ, al 2033</t>
  </si>
  <si>
    <t>Incrementar la inversión en el predio del Aeropuerto Internacional Mariscal Sucre (AIMS) en 50 millones de dólares, al 2033.</t>
  </si>
  <si>
    <t>No aplica</t>
  </si>
  <si>
    <t>OBJETIVOS DE GESTION PMDOT</t>
  </si>
  <si>
    <t>Tipo de Plan</t>
  </si>
  <si>
    <t>Temporalidad</t>
  </si>
  <si>
    <t>Meta 2026</t>
  </si>
  <si>
    <t>Fecha de Inicio</t>
  </si>
  <si>
    <t>Fecha Fin</t>
  </si>
  <si>
    <t>Nombre de la Tarea</t>
  </si>
  <si>
    <t>TAREA</t>
  </si>
  <si>
    <t>Fuente de Financiamiento</t>
  </si>
  <si>
    <t>MATRIZ POA 2026</t>
  </si>
  <si>
    <t>Composición del Gasto</t>
  </si>
  <si>
    <t>Objetivo Operativo /
Objetivo de Gestión PMDOT</t>
  </si>
  <si>
    <t>Gestión de Gasto Permanente /
Proyecto de Inversión</t>
  </si>
  <si>
    <t>Quito Destino Turístico Inteligente</t>
  </si>
  <si>
    <t>Nuevo</t>
  </si>
  <si>
    <t>Plurianual</t>
  </si>
  <si>
    <t>Gestión de Producción</t>
  </si>
  <si>
    <t>Provisión de Bienes y servicios para la correcta operatividad de la Empresa</t>
  </si>
  <si>
    <t>Ejecución de actividades que permitan el desarrollo del turismo sostenible y la conversión del DMQ en destino turístico inteligente.</t>
  </si>
  <si>
    <t>Aseguramiento del cumplimiento de las actividades y servicios institucionales mediante la gestión del talento humano</t>
  </si>
  <si>
    <t>Implementación de acciones participativas con la industria turística y de eventos de gran impacto para la promoción y posicionamiento de Quito como Destino Turístico</t>
  </si>
  <si>
    <t>Implementación de estrategias innovadoras y uso de tecnología para la promoción y posicionamiento del DMQ como destino turístico</t>
  </si>
  <si>
    <t>Instalación y mantenimiento de facilidades turísticas en sitios del DMQ con potencialidad turística.</t>
  </si>
  <si>
    <t>NO</t>
  </si>
  <si>
    <t>Adquisición de bienes y servicios para la operatividad, gestión financiera e infraestructura tecnológica de la empresa</t>
  </si>
  <si>
    <t>Gestión de servicios y provisión de recursos estratégicos para fortalecer la operación institucional y la sostenibilidad turística del Distrito Metropolitano de Quito</t>
  </si>
  <si>
    <t>Gestión de la nómina de la Empresa</t>
  </si>
  <si>
    <t>Acciones de promoción para el posicionamiento del DMQ como destino turístico de negocios y atracción de grandes eventos</t>
  </si>
  <si>
    <t>Gestión, asesoría y asistencia para el fortalecimiento de capacidades e intercambios de experiencias para gestores turísticos del territorio</t>
  </si>
  <si>
    <t>Desarrollo y Mercadeo del Destino, clusters  y Productos Turísticos</t>
  </si>
  <si>
    <t>Programa de ferias eventos, congresos, reuniones, ruedas de negocios y otros para la colocación del Destino, clusters  y Productos Turísticos</t>
  </si>
  <si>
    <t>Estudios, investigaciones, información, datos y propuestas técnicas sobre la gestión del destino</t>
  </si>
  <si>
    <t>Planificación, diseño e implementación de estructuras y facilidades turísticas</t>
  </si>
  <si>
    <t>-</t>
  </si>
  <si>
    <t>Impulsar el desarrollo del turismo sostenible en el Distrito Metropolitano de Quito con la oferta de productos y servicios de calidad, innovadores y accesibles para residentes y y visitantes nacionales e internacionales.</t>
  </si>
  <si>
    <t>1.2 Generar condiciones para alcanzar un sistema económico dinámico, sostenible, inclusivo e innovador, que promueva las capacidades humanas y las potencialidades de 
los territorios, así como la creación y acceso a oportunidades, trabajo y medios de vida dignos</t>
  </si>
  <si>
    <t>Alcanzar 726.313 visitantes no residentes al 2026</t>
  </si>
  <si>
    <t>Índice mensual de satisfacción del visitante no residente en el DMQ</t>
  </si>
  <si>
    <t xml:space="preserve">Incrementar al menos en 10,52% anual el monto de ventas del sector turisticos en eventos hitos </t>
  </si>
  <si>
    <t>Porcentaje de incremento en monto de ventas del sector turístico</t>
  </si>
  <si>
    <t>Sumatoria de las calificaciones de las preguntas de percepción realizadas a visitantes en los puntos de información turistica  / Total máximo de calificacióna alcanzar en la encuesta de satisfacción</t>
  </si>
  <si>
    <t>Número de servidores evaluados / Total de servidores</t>
  </si>
  <si>
    <t xml:space="preserve"> (Ventas 2026 - Ventas 2025)/Ventas 2025</t>
  </si>
  <si>
    <t>2024-2027</t>
  </si>
  <si>
    <t>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</t>
  </si>
  <si>
    <t>Impulsar el desarrollo sostenible de los destinos turísticos buscando la armonización económica-medio ambiental,  socio cultural y  procesos de decisión pública-privada del sector turistico para la conversión en DTI (Gobernanza - Sostenibilidad)</t>
  </si>
  <si>
    <t>Implementar y mantener las facilidades turísticas e infraestructura para la provisión de servicios turísticos accesibles a visitantes locales, nacionales y extranjeros (Accesibilidad)</t>
  </si>
  <si>
    <t>Desarrollo y mejoramiento de productos turísticos para la oferta y bienestar turístico del destino</t>
  </si>
  <si>
    <t>Coordinación y promoción  de acciones para la captación de grandes eventos nacionales e internacionales para el DMQ</t>
  </si>
  <si>
    <t>Desarrollo de Productos Turísticos</t>
  </si>
  <si>
    <t>Promoción de Quito como Destino Turistico en el ambito local, nacional e internacional</t>
  </si>
  <si>
    <t>Desarrollo del plan de promoción del destino en los mercados local, nacional e internacional vinculando a actores de la industria turistica.</t>
  </si>
  <si>
    <t>Gestión de Turismo de negocios y atracción de grandes eventos al destino Quito</t>
  </si>
  <si>
    <t>Gestión del registro turístico, profesionalización de los actores del sector y servicios de calidad turistica</t>
  </si>
  <si>
    <t>Acciones para  implementación del programa de calidad Turística a establecimiento turisticos adaptados a DTI</t>
  </si>
  <si>
    <t>Administración de unidades de negocio, infraestructura y alianzas relacionadas con la actividad turistica de la ciudad</t>
  </si>
  <si>
    <t>Administración de unidades de negocio, auspicios, alizanzas e infraestructura relacionadas con la actividad turistica de la ciudad</t>
  </si>
  <si>
    <t xml:space="preserve">Realizar el proceso administrativo para adquisición de tarjetas TCA </t>
  </si>
  <si>
    <t>Contratación del servicio de mantenimiento preventivo y correctivo de cámaras de seguridad con vigencia técnologica de la tienda Quito La Mariscal</t>
  </si>
  <si>
    <t>Servicio de rastreo satelital para los vehículos y motocicleta de la EPMGDT</t>
  </si>
  <si>
    <t>Actualización de licencia de un sistema jurídico de consulta.</t>
  </si>
  <si>
    <t>Contratación del Estudio Actuarial para Quito Turismo correspondiente al ejercicio fiscal 2025</t>
  </si>
  <si>
    <t>Adquisición de repuestos y accesorios para vehículos de la EPMGDT</t>
  </si>
  <si>
    <t>Contratación del servicio de mantenimiento preventivo y correctivo de los extintores de las instalaciones de la EPMGDT y sus dependencias</t>
  </si>
  <si>
    <t>Adquisición de ropa de trabajo para el personal de Código de Trabajo de la EPMGDT</t>
  </si>
  <si>
    <t>Servicio de provisión de combustible para el generador institucional de la EPMGDT - IVA</t>
  </si>
  <si>
    <t>Contratación del servicio de mantenimiento preventivo de cisterna y bombas de agua de las instalaciones de la EPMGDT</t>
  </si>
  <si>
    <t>Contratación del servicio de mantenimiento preventivo y correctivo de cámaras de seguridad de la EPMGDT y sus dependencias</t>
  </si>
  <si>
    <t>Contratación del servicio de mantenimiento preventivo y correctivo del transformador de las instalaciones de la EPMGDT</t>
  </si>
  <si>
    <t>Material de construcción</t>
  </si>
  <si>
    <t>Servicio de mantenimiento de control de accesos a la EPMGDT</t>
  </si>
  <si>
    <t>Servicio de mantenimiento preventivo y correctivo del sistema eléctrico del generador</t>
  </si>
  <si>
    <t>Servicio de conexión de datos Datalink.</t>
  </si>
  <si>
    <t xml:space="preserve">Adquisición de garantías y soporte del NAS y mantenimiento </t>
  </si>
  <si>
    <t>Mantenimiento de tablets con vigencia tecnológica</t>
  </si>
  <si>
    <t>Servicio de mantenimiento preventivo de computadores con vigencia tecnológica Asus</t>
  </si>
  <si>
    <t>Servicio de mantenimiento preventivo de computadores con vigencia tecnológica Lenovo</t>
  </si>
  <si>
    <t>Servicio de mantenimiento preventivo de computadores con vigencia tecnológica MAC</t>
  </si>
  <si>
    <t>Servicio de mantenimiento preventivo de impresoras con vigencia tecnológica</t>
  </si>
  <si>
    <t>Servicio Monitoreo de Medios de Comunicación para Determinar el Impacto de la Información Generada por Quito Servicio de Monitoreo de Información Televisión, Radio, Prensa Turismo 2025 – 2026</t>
  </si>
  <si>
    <t>Servicio de mantenimiento preventivo de computadores con vigencia tecnológica SpeedMind</t>
  </si>
  <si>
    <t>Adquisición de garantías y soporte para la central telefónica. Mantenimiento preventivo y correctivo de las central telefónica</t>
  </si>
  <si>
    <t>Revisión vehicular y matriculación del parque automotor de la EPMGDT / Peaje</t>
  </si>
  <si>
    <t>Servicio de flete y movilización</t>
  </si>
  <si>
    <t>Mantenimiento de scanner de alto rendimiento</t>
  </si>
  <si>
    <t>Mantenimiento preventivo de la solución de respaldos</t>
  </si>
  <si>
    <t>Renovación de la suscripción de la licencias de Business Inteligent</t>
  </si>
  <si>
    <t>Servicio de mantenimiento preventivo de computadores con vigencia tecnológica HP</t>
  </si>
  <si>
    <t>Contratación del servicio de mantenimiento preventivo y correctivo para vehículo con vigencia tecnológica de la EPMGDT PMA-8260</t>
  </si>
  <si>
    <t>Contratación del servicio de mantenimiento preventivo y correctivo para vehículo con vigencia tecnológica de la EPMGDT PMA-8913</t>
  </si>
  <si>
    <t>Contratación del servicio de agencias de viajes para la provisión de pasajes aéreos nacionales e internacionales para los servidores de la EPMGDT</t>
  </si>
  <si>
    <t>Gastos bancarios por comisiones de ventas realizadas con tarjetas de crédito en las Unidades de Negocio.</t>
  </si>
  <si>
    <t xml:space="preserve">Gestionar la contratación para el mantenimiento de equipos para producción audiovisual </t>
  </si>
  <si>
    <t>Adquisición de PDU para rack autocontenido</t>
  </si>
  <si>
    <t>Mantenimiento preventivo de equipos interactivos multimedia y equipos electronicos para el registro de informacion estadistica</t>
  </si>
  <si>
    <t>Adquisición de herramientas y accesorios tecnológicos</t>
  </si>
  <si>
    <t>Servicio Monitoreo de Medios de Comunicación para Determinar el Impacto de la Información Generada por Quito Servicio de Monitoreo de Información Televisión, Radio, Prensa Turismo 2026 - 2027</t>
  </si>
  <si>
    <t>Mantenimiento preventivo de equipos de la solución de networking</t>
  </si>
  <si>
    <t>Generar la nómina de la EPMGDT (alimentación)</t>
  </si>
  <si>
    <t>Servicio de impresión de blocks de formularios aplicados para actividades administrativas desarrolladas por la EPMGDT–Quito Turismo</t>
  </si>
  <si>
    <t>Generar la nómina de la EPMGDT (Compensación por Vacaciones No Gozadas por Cesación de Funciones)</t>
  </si>
  <si>
    <t>Generar la nómina de la EPMGDT (Horas Extraordinarias y Suplementarias)</t>
  </si>
  <si>
    <t>Adquisición de partes, piezas y/o repuestos de impresoras</t>
  </si>
  <si>
    <t>Generar la nómina de la EPMGDT (Décimo Cuarto Sueldo)</t>
  </si>
  <si>
    <t>Pago de Gastos Bancarios (Fideval)</t>
  </si>
  <si>
    <t>Contratación del servicio de mantenimiento preventivo y correctivo del ascensor de las instalaciones de la EPMGDT</t>
  </si>
  <si>
    <t>Pago de servicios básicos (agua potable)</t>
  </si>
  <si>
    <t>Pago de servicios básicos (telefonía fija)</t>
  </si>
  <si>
    <t>Servicio de provisión de combustible para el generador institucional de la EPMGDT</t>
  </si>
  <si>
    <t>Contratación del servicio de fumigación y desratización de las instalaciones de la EPMGDT  y sus dependencias</t>
  </si>
  <si>
    <t>Contratación del servicio de mantenimiento del mobiliario perteneciente a la EPMGDT</t>
  </si>
  <si>
    <t>Contratación del servicio de mantenimiento del sistema contraincendios de las instalaciones de la EPMGDT</t>
  </si>
  <si>
    <t>Contratación del servicio de mantenimiento preventivo y correctivo del sistema de aire acondicionado para las instalaciones de la EPMGDT</t>
  </si>
  <si>
    <t>Servicio de provisión de combustible para los vehículos de la EPMGDT</t>
  </si>
  <si>
    <t>Servicio de Auditoría CCMQ</t>
  </si>
  <si>
    <t>Renovación de hosting</t>
  </si>
  <si>
    <t>Renovación de la suscripción de las licencias de diseño asistido por computadoras (cad) diseño gráfico modelado en 3D</t>
  </si>
  <si>
    <t>Renovación de licencia de uso del programa geográfica GIS</t>
  </si>
  <si>
    <t>Renovar y actualizar licencias antivirus</t>
  </si>
  <si>
    <t>Renovación de la suscripción de las licencias de edición de video y diseño gráfico</t>
  </si>
  <si>
    <t>Beneficio de Guardería</t>
  </si>
  <si>
    <t>Renovación de la suscripción de licencia de la herramienta de envió masivo de correos electrónico</t>
  </si>
  <si>
    <t>Suscripción de herramientas de seguridad informática para el análisis y diseño de la seguridad de la información para la implementación del EGSI</t>
  </si>
  <si>
    <t>Generar la nómina de la EPMGDT (Fondos de Reserva)</t>
  </si>
  <si>
    <t>Generar la nómina de la EPMGDT (Décimo Tercer Sueldo)</t>
  </si>
  <si>
    <t>Adquisición suministros de oficina para la EPMGDT</t>
  </si>
  <si>
    <t>Contratación del servicio de mantenimiento preventivo y correctivo para el parque automotor de la EPMGDT</t>
  </si>
  <si>
    <t>Servicio de Agencia de Marketing Tradicional para el mercado local y nacional</t>
  </si>
  <si>
    <t>Adquisición de monitores</t>
  </si>
  <si>
    <t xml:space="preserve">Evaluación y preparación para la certificación de la seguridad de la información de un servicio de Quito Turismo </t>
  </si>
  <si>
    <t>Servicio de mantenimiento preventivo y correctivo de equipos informáticos y tecnológicos (computadores, escaners, proyectores impresoras, y otros)</t>
  </si>
  <si>
    <t>Generar la nómina de la EPMGDT (Encargos)</t>
  </si>
  <si>
    <t>Generar la nómina de la EPMGDT (Subrogación)</t>
  </si>
  <si>
    <t>Servicio de impresión de material POP para la estrategia de comunicación externa e interna.</t>
  </si>
  <si>
    <t>Contratación de Servicios Profesionales Médico Ocupacional</t>
  </si>
  <si>
    <t>Generar la nómina de la EPMGDT (Aporte Patronal)</t>
  </si>
  <si>
    <t>Contratación del servicio de inspección, identificación y funcionamiento de los circuitos de los tableros eléctricos de la EPMGDT</t>
  </si>
  <si>
    <t xml:space="preserve">Adquisición de UPS </t>
  </si>
  <si>
    <t>Contratación del servicio de arrendamiento de un espacio físico destinado para la tienda Quito – La Mariscal</t>
  </si>
  <si>
    <t>Servicio de agencia de marketing digital para la promoción y posicionamiento del Distrito Metropolitano de Quito</t>
  </si>
  <si>
    <t>Adquisición de suministros de impresión (toners) para la EPMGDT</t>
  </si>
  <si>
    <t>Pago de tasa de limpieza EMASEO</t>
  </si>
  <si>
    <t>Generar la nómina de la EPMGDT (Compensación por Desahucio)</t>
  </si>
  <si>
    <t>SERVICIOS DE CONSULTORÍA PARA IMPLEMENTACIÓN DE LA NORMA ISO 37001:2016 SISTEMAS DE GESTIÓN ANTISOBORNO</t>
  </si>
  <si>
    <t>CONTRATACIÓN DEL SERVICIO DE ORGANIZACIÓN DE EVENTOS DE PROMOCIÓN TURÍSTICA DEL DESTINO QUITO EN EL MERCADO LOCAL Y NACIONAL PARA LA REALIZACIÓN DE EVENTOS TURÍSTICOS Y GASTRONÓMICOS (TDN)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</si>
  <si>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</si>
  <si>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Pago de servicios básicos (energía eléctrica)</t>
  </si>
  <si>
    <t>Contribución 5 x mil</t>
  </si>
  <si>
    <t>Pago de impuestos (predial, contribuciones y tasas) de bienes inmuebles propiedad de la EPMGDT</t>
  </si>
  <si>
    <t>Renovación de la suscripción de herramientas ofimáticas colaborativas con correo electrónico</t>
  </si>
  <si>
    <t>Generar la nómina de la EPMGDT (Salarios Unificados)</t>
  </si>
  <si>
    <t>Contratación de póliza de seguro para los bienes muebles e inmuebles pertenecientes a la Empresa Pública Metropolitana de Gestión de Destino Turístico</t>
  </si>
  <si>
    <t>Mantenimiento de sistema contra incendios de la EPMDGT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</si>
  <si>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</t>
  </si>
  <si>
    <t>Servicio de agencia de Publicidad especializada en pauta para difundir las acciones de Quito Turismo a nivel nacional, local e internacional 2025 - 2026</t>
  </si>
  <si>
    <t>Soporte y garantías técnicas solución ERP Olympo</t>
  </si>
  <si>
    <t>Servicio de capacitación turística para el sector turístico del Distrito Metropolitano de Quito</t>
  </si>
  <si>
    <t>Mantenimiento de edificios de la EPMGDT (fase 2)</t>
  </si>
  <si>
    <t>Realizar el proceso administrativo para la implementación y gestión de los puntos de Distribución de Contenidos en el DMQ.</t>
  </si>
  <si>
    <t>CONTRATACIÓN DEL SERVICIO DE ACTIVACIONES TURÍSTICAS PARA PROMOCIÓN DESTINO QUITO EN EL MERCADO LOCAL Y NACIONAL</t>
  </si>
  <si>
    <t>Servicio de Mantenimiento de facilidades turísticas en el DMQ</t>
  </si>
  <si>
    <t>Servicio de capacitación turística para el sector turístico del Distrito Metropolitano de Quito 2026-2027</t>
  </si>
  <si>
    <t>Servicio de Agencia de Marketing Tradicional para el mercado local y nacional 2026 - 2027</t>
  </si>
  <si>
    <t>Mantenimiento del sistema hidrosanitario (fase 1)</t>
  </si>
  <si>
    <t>Servicio de seguridad y vigilancia para las instalaciones de Quito Turismo y sus Dependencias 2025 - 2026</t>
  </si>
  <si>
    <t>Servicio de agencia de marketing digital para la promoción y posicionamiento del Distrito Metropolitano de Quito 2026-2027</t>
  </si>
  <si>
    <t>Generar la nómina de la EPMGDT (Servicios Personales por Contrato)</t>
  </si>
  <si>
    <t>Servicio de agencia de Publicidad especializada en pauta para difundir las acciones de Quito Turismo a nivel nacional, local e internacional 2026 - 2027</t>
  </si>
  <si>
    <t>Servicio de implementación de facilidades turísticas en el DMQ</t>
  </si>
  <si>
    <t>Suscripción al servicio de provisión de datos en línea para la gestión de servicios de inteligencia turística</t>
  </si>
  <si>
    <t>Promoción y posicionamiento turístico de Quito en la exposición internacional Casa Warner</t>
  </si>
  <si>
    <t>CONTRATACIÓN DEL SERVICIO DE ORGANIZACIÓN DE EVENTOS DE PROMOCIÓN TURÍSTICA DEL DESTINO QUITO EN EL MERCADO LOCAL Y NACIONAL PARA LA REALIZACIÓN DE EVENTOS TURÍSTICOS Y GASTRONÓMICOS (DPS)</t>
  </si>
  <si>
    <t>CONTRATACIÓN DEL SERVICIO DE ORGANIZACIÓN DE EVENTOS DE PROMOCIÓN TURÍSTICA DEL DESTINO QUITO EN EL MERCADO LOCAL Y NACIONAL PARA LA REALIZACIÓN DE EVENTOS TURÍSTICOS Y GASTRONÓMICOS (PDT)</t>
  </si>
  <si>
    <t>SERVICIO DE PAUTA DE CAMPAÑA PROMOCIONAL DEL DESTINO QUITO</t>
  </si>
  <si>
    <t>Generar la nómina de la EPMGDT (Remuneraciones Unificadas)</t>
  </si>
  <si>
    <t>Servicio de movilización de los informadores turísticos que laboran en el Aeropuerto Mariscal Sucre de la Ciudad de Quito durante el periodo del 2025 al 2028</t>
  </si>
  <si>
    <t>DAF / Jefatura de Talento Humano</t>
  </si>
  <si>
    <t>DAF / Jefatura Administrativa</t>
  </si>
  <si>
    <t>DPEI / Jefatura de TICS</t>
  </si>
  <si>
    <t>Dirección de Desarrollo de Productos Sostenibles</t>
  </si>
  <si>
    <t>Dirección de Turismo de Negocios y Atracción de Eventos</t>
  </si>
  <si>
    <t>Dirección de Comunicación</t>
  </si>
  <si>
    <t>Dirección de Promoción de Destino Turístico</t>
  </si>
  <si>
    <t>DAF / Jefatura Financiera</t>
  </si>
  <si>
    <t>Dirección de Servicios para la Industria Turística</t>
  </si>
  <si>
    <t>Dirección de Asesoría Jurídica</t>
  </si>
  <si>
    <t>Dirección de Comercialización</t>
  </si>
  <si>
    <t>DPEI / Estadística</t>
  </si>
  <si>
    <t>SubTarea</t>
  </si>
  <si>
    <t>Dirección</t>
  </si>
  <si>
    <t>Misional</t>
  </si>
  <si>
    <t>Asignación Municipal</t>
  </si>
  <si>
    <t>Total general</t>
  </si>
  <si>
    <t>Servicio de seguridad y vigilancia para las instalaciones de Quito Turismo y sus Dependencias 2026 - 2027</t>
  </si>
  <si>
    <t>Readecuaciones, mobiliario y equipamiento del predio 203140 correspondiente al Mirador de Guápulo</t>
  </si>
  <si>
    <t>Servicio de asesoría y asistencia técnica, para la obtención de la certificaciones internacionales en la gestión de turismo sostenible y calidad del destino</t>
  </si>
  <si>
    <t>ServIcio de contratación de talleres y materiales para el proceso de certificación en Competencia Laborales</t>
  </si>
  <si>
    <t>Servicio de transporte para verificadores</t>
  </si>
  <si>
    <t>Consultoría para la verificación de recaudación de Tasa de Facilidades y Servicios Turísticos 2025.</t>
  </si>
  <si>
    <t>Adjudicar el 100% de procesos del PAC de gasto corriente al 2026</t>
  </si>
  <si>
    <t>Alcanzar el 95% de Satisfacción del usuario al 2026</t>
  </si>
  <si>
    <t>Realizar el 100% de evaluaciones de desempeño en el 2026</t>
  </si>
  <si>
    <t>Servicio de aseo y limpieza para las instalaciones bajo la administración y custodia de Quito Turismo - limpieza de interiores y exteriores tipo III para el año 2026</t>
  </si>
  <si>
    <t>Contratación de Servicios Profesionales, Desarrollador de software</t>
  </si>
  <si>
    <t>Elaboración de estudios para el desarrollo de una Arena de Eventos en el DMQ</t>
  </si>
  <si>
    <t>Suma de Presupuesto 2026 Anual</t>
  </si>
  <si>
    <t>Desarrollar nuevos servicios y productos tecnológicos e innovadores para mejorar el acceso y disfrute del destino turistico  (Innovación/Tecnología)</t>
  </si>
  <si>
    <t>Promoción y Posicionamiento turístico del destino Quito en el marco de la producción del concierto de Ed Sheeran</t>
  </si>
  <si>
    <t>Servicio de Organización y producción de 1 evento internacional captado para 2026 PCMA</t>
  </si>
  <si>
    <t>Promoción y Posicionamiento turístico del destino Quito en el marco de la producción de un evento gastronomico</t>
  </si>
  <si>
    <t>Adquisición de Material POP</t>
  </si>
  <si>
    <t>La actividad ¿contribuye al enfoque de género? (SI o NO)</t>
  </si>
  <si>
    <t>Contratación de los servicios profesionales de un ingeniero civil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</si>
  <si>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</si>
  <si>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Servicios profesionales especializados para el diseño técnico y ejecución del plan de atracción de marcas potentes para el destino Quito</t>
  </si>
  <si>
    <t>Caja Chica Gerencia General</t>
  </si>
  <si>
    <t>Caja Chica Jefatura Administrativa</t>
  </si>
  <si>
    <t>Código Olympo</t>
  </si>
  <si>
    <t>02.01.001.035.730605.000.002</t>
  </si>
  <si>
    <t>02.01.001.034.730207.000.002</t>
  </si>
  <si>
    <t>02.01.001.023.730207.000.002</t>
  </si>
  <si>
    <t>01.01.002.015.630207.000.009</t>
  </si>
  <si>
    <t>01.01.002.020.630207.000.009</t>
  </si>
  <si>
    <t>01.01.002.010.530613.000.009</t>
  </si>
  <si>
    <t>01.01.002.014.630207.000.009</t>
  </si>
  <si>
    <t>01.01.002.008.530207.000.009</t>
  </si>
  <si>
    <t>01.01.002.019.530207.000.009</t>
  </si>
  <si>
    <t>01.01.002.002.630602.000.009</t>
  </si>
  <si>
    <t>01.01.002.006.630204.000.009</t>
  </si>
  <si>
    <t>01.01.001.024.530502.000.009</t>
  </si>
  <si>
    <t>01.01.001.048.530105.000.009</t>
  </si>
  <si>
    <t>01.01.001.115.530208.000.009</t>
  </si>
  <si>
    <t>01.01.001.079.530207.000.009</t>
  </si>
  <si>
    <t>01.01.001.051.530241.000.009</t>
  </si>
  <si>
    <t>01.01.001.073.530701.000.009</t>
  </si>
  <si>
    <t>01.01.001.073.840107.000.009</t>
  </si>
  <si>
    <t>01.01.001.073.530702.000.009</t>
  </si>
  <si>
    <t>01.01.001.124.530606.000.009</t>
  </si>
  <si>
    <t>Servicio de datos móviles 2026-2027</t>
  </si>
  <si>
    <t>01.01.001.084.530105.000.009</t>
  </si>
  <si>
    <t>Servicio de datos móviles 2025-2026</t>
  </si>
  <si>
    <t>Servicio de Internet y Enlace de Datos 2025-2026</t>
  </si>
  <si>
    <t>Servicio de Internet y Enlace de Datos 2026-2027</t>
  </si>
  <si>
    <t>01.01.001.135.530606.000.009</t>
  </si>
  <si>
    <t>01.01.001.036.530404.000.009</t>
  </si>
  <si>
    <t>01.01.001.037.530404.000.009</t>
  </si>
  <si>
    <t>01.01.001.049.580101.000.009</t>
  </si>
  <si>
    <t>01.01.001.058.530404.000.009</t>
  </si>
  <si>
    <t>01.01.001.074.530702.000.009</t>
  </si>
  <si>
    <t>01.01.001.075.530702.000.009</t>
  </si>
  <si>
    <t>01.01.001.076.530702.000.009</t>
  </si>
  <si>
    <t>01.01.001.086.530105.000.009</t>
  </si>
  <si>
    <t>01.01.001.088.530704.000.009</t>
  </si>
  <si>
    <t>01.01.001.089.530704.000.009</t>
  </si>
  <si>
    <t>Tasa de propuestas técnicas elaboradas para la gestión del destino turístico</t>
  </si>
  <si>
    <t>Alcanzar al menos el 85% de propuestas técnicas elaboradas para la gestión del destino turístico con respecto a las propuestas planificadas, en el 2026</t>
  </si>
  <si>
    <t>(Número de productos técnicos área técnica/Número de productos técnicos planificados área técnica)*(0,2)+(Número de productos técnicos con sistema de provisión de datos/Número de productos técnicos con sistema de provisión de datos)*(0,8)</t>
  </si>
  <si>
    <t>Tasa de incremento de reservas de vuelos al destino Quito</t>
  </si>
  <si>
    <t>Incrementar al menos un 5% el número de reservas de vuelos al destino Quito con respecto al año anterior, en el 2026</t>
  </si>
  <si>
    <t>(Reservas de vuelos al destino Quito en el trimestre t 2026 - Reservas de vuelos al destino Quito en el trimestre t 2025)/(Reservas de vuelos al destino Quito en el trimestre t 2025)</t>
  </si>
  <si>
    <t>Indice de gestion de infraestructura turística</t>
  </si>
  <si>
    <t>Alcanzar el 100% de ejecución en la gestión de infraestructura turística, en el 2026</t>
  </si>
  <si>
    <t>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</t>
  </si>
  <si>
    <t>(P) Provisión de Bienes y servicios para la correcta operatividad de la Empresa</t>
  </si>
  <si>
    <t>(P) Ejecución de actividades que permitan el desarrollo del turismo sostenible y la conversión del DMQ en destino turístico inteligente.</t>
  </si>
  <si>
    <t>(P) Implementación de acciones para fortalecer el posicionamiento de Quito como Destino Turístico</t>
  </si>
  <si>
    <t>Publicidad y marketing digital para la promocion y posicionamiento del DMQ como destino turístico</t>
  </si>
  <si>
    <t>Consultoría contratación directa servicio de auditoría externa para los estados financieros del periodo cerrado al 31 de diciembre de 2025</t>
  </si>
  <si>
    <t>Pago de Gastos Bancarios (Quito Turismo)</t>
  </si>
  <si>
    <t>Viáticos y subsistencias en el interior y exterior</t>
  </si>
  <si>
    <t>Generar la nómina de la EPMGDT (Compensación por transporte)</t>
  </si>
  <si>
    <t>Contratación de empresa verificadora</t>
  </si>
  <si>
    <t>Servicio de relaciones públicas y representación en el exterior para la promoción del destino Quito para los mercados de América para los años 2026 y 2027</t>
  </si>
  <si>
    <t>Servicio de relaciones públicas y representación en el exterior para la promoción del destino Quito para los mercados de Europa y resto del mundo para los años 2026 y 2027</t>
  </si>
  <si>
    <t>Provisión de bienes y servicios para la correcta operatividad de las unidades de negocio, CEB, tiendas Quito (Adquisición de Mercadería a consignación)</t>
  </si>
  <si>
    <t>Adquisición de una solución de infraestructura tecnológica híbrida 2026 - 2027</t>
  </si>
  <si>
    <t>Adquisición de almacenamiento NAS tipo torre</t>
  </si>
  <si>
    <t>Adquisición de computadores portátiles</t>
  </si>
  <si>
    <t>Adquisición de una solución de infraestructura tecnológica híbrida 2025-2026</t>
  </si>
  <si>
    <t>Arrastre</t>
  </si>
  <si>
    <t>COSTO 2026</t>
  </si>
  <si>
    <t>CUATRIMESTRE</t>
  </si>
  <si>
    <t>CATALOGO ELECTRÓNICO (si/no)</t>
  </si>
  <si>
    <t>PROCEDIMIENTO SUGERIDO</t>
  </si>
  <si>
    <t>TIPO DE RÉGIMEN (común, especial)</t>
  </si>
  <si>
    <t>TIPO DE PRESUPUESTO</t>
  </si>
  <si>
    <t>VIGENCIA</t>
  </si>
  <si>
    <t xml:space="preserve">SOLICTUD DE CERTIFICACION PROGRAMATICA </t>
  </si>
  <si>
    <t xml:space="preserve"> CERTIFICACION PROGRAMATICA </t>
  </si>
  <si>
    <t xml:space="preserve">INFORME TECNICO </t>
  </si>
  <si>
    <t>INFORME DE NECESIDAD</t>
  </si>
  <si>
    <t>TÉRMINOS DE REFERENCIA / ESPECIFICACIONES TÉCNICAS</t>
  </si>
  <si>
    <t xml:space="preserve">MESA TÉCNICA </t>
  </si>
  <si>
    <t xml:space="preserve">CORRECCION 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</si>
  <si>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</si>
  <si>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</si>
  <si>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</si>
  <si>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</si>
  <si>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SOLICITUD DE PUBLICACION </t>
  </si>
  <si>
    <t xml:space="preserve">PUBLICACION PROFORMAS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</si>
  <si>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</si>
  <si>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</si>
  <si>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</si>
  <si>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</si>
  <si>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SOLCITUD DE CERTICACION PAC </t>
  </si>
  <si>
    <t xml:space="preserve">CERTIFICACION PAC </t>
  </si>
  <si>
    <t xml:space="preserve">SOLICTUD  DE AUTORIZACION QUITO HONESTO </t>
  </si>
  <si>
    <t xml:space="preserve">INFORME QUITO HONESTO </t>
  </si>
  <si>
    <t xml:space="preserve">SOLICITUD DE AUTORIZACION MINTEL </t>
  </si>
  <si>
    <t xml:space="preserve">AUTORIZACION MINTEL </t>
  </si>
  <si>
    <t>REGISTRO DE INFORMACION ERP</t>
  </si>
  <si>
    <t>SOLICTUD DE AUTORIZACION DE INICIO</t>
  </si>
  <si>
    <t xml:space="preserve">AUTORIZACION INICIIO </t>
  </si>
  <si>
    <t>ELABORACION DE PLIEGOS /</t>
  </si>
  <si>
    <t xml:space="preserve">SOLICTUD DE RESOLUCION DE  INICO </t>
  </si>
  <si>
    <t xml:space="preserve">RESOLUCION DE INICIO </t>
  </si>
  <si>
    <t xml:space="preserve">CARGA EN EL ERP DE RESOLUCION DE INICIO </t>
  </si>
  <si>
    <t xml:space="preserve">FECHA DE PUBLICACIÓN EN EL PORTAL/ SUSCRIPCION DE INFIMA CUANTIA </t>
  </si>
  <si>
    <t>Total de días sin feriados y fin de semana</t>
  </si>
  <si>
    <t xml:space="preserve">PREGUNTAS </t>
  </si>
  <si>
    <t xml:space="preserve">RESPUESTA </t>
  </si>
  <si>
    <t xml:space="preserve">ENTREA DE OFERTA </t>
  </si>
  <si>
    <t xml:space="preserve">REVISIÓN PARA CONVALIDACION </t>
  </si>
  <si>
    <t xml:space="preserve">SOLICITUD  DE CONVALIDACION </t>
  </si>
  <si>
    <t xml:space="preserve">ENTREGA DE CONVALIDACION </t>
  </si>
  <si>
    <t xml:space="preserve">CALIFICACION </t>
  </si>
  <si>
    <t>INFORME DE RECOMENDACIÓN / PUJA</t>
  </si>
  <si>
    <t xml:space="preserve">ADJUDICACION </t>
  </si>
  <si>
    <t xml:space="preserve">CONTRATO </t>
  </si>
  <si>
    <t xml:space="preserve">PLAZO DE CONTRATO </t>
  </si>
  <si>
    <t>PROCEDIMIENTO SUGERIDO (son los procedimientos de contratación)</t>
  </si>
  <si>
    <t xml:space="preserve">RESPONSABLE </t>
  </si>
  <si>
    <t xml:space="preserve">OBSERVACIONES </t>
  </si>
  <si>
    <t>DICIEMBRE</t>
  </si>
  <si>
    <t>Subasta Inversa Electrónica</t>
  </si>
  <si>
    <t>Común</t>
  </si>
  <si>
    <t>Gasto corriente</t>
  </si>
  <si>
    <t xml:space="preserve">Subasta Inversa Electrónica </t>
  </si>
  <si>
    <t>Fabricio Medina</t>
  </si>
  <si>
    <t xml:space="preserve">Ínfimas cuantías </t>
  </si>
  <si>
    <t xml:space="preserve">Fabricio Medina </t>
  </si>
  <si>
    <t>ABRIL</t>
  </si>
  <si>
    <t>Daniel Rojas</t>
  </si>
  <si>
    <t>RE Comunicación</t>
  </si>
  <si>
    <t>Especial</t>
  </si>
  <si>
    <t>Fabian Baquero</t>
  </si>
  <si>
    <t xml:space="preserve">Carlos Benítez Salguero </t>
  </si>
  <si>
    <t xml:space="preserve">Se reformara el objeto de contratación </t>
  </si>
  <si>
    <t>Licitación de Servicios</t>
  </si>
  <si>
    <t>20000 DSIT/ 67500 PROMOCION / 50000</t>
  </si>
  <si>
    <t>Catálogo Electrónico</t>
  </si>
  <si>
    <t xml:space="preserve">Catálogo Electrónico </t>
  </si>
  <si>
    <t xml:space="preserve">Ximena Llanga </t>
  </si>
  <si>
    <t>Valentina Gómez</t>
  </si>
  <si>
    <t>reforma POA CPC y partida</t>
  </si>
  <si>
    <t xml:space="preserve">buscar cpc de central telefónica </t>
  </si>
  <si>
    <t>Sebastián Humbser</t>
  </si>
  <si>
    <t>Licitación de obras</t>
  </si>
  <si>
    <t xml:space="preserve">Marcelo Rodríguez </t>
  </si>
  <si>
    <t>Patricio Chiluisa</t>
  </si>
  <si>
    <t>los cpc hasta 10000 buscar distintos cpc  se realizará al POA para adelantar fecha</t>
  </si>
  <si>
    <t xml:space="preserve">Daniel Valencia </t>
  </si>
  <si>
    <t xml:space="preserve">los cpc hasta 10000 buscar distintos cpc </t>
  </si>
  <si>
    <t>Feria Inclusiva</t>
  </si>
  <si>
    <t xml:space="preserve">Feria Inclusiva </t>
  </si>
  <si>
    <t>Concurso Público</t>
  </si>
  <si>
    <t xml:space="preserve">Jamilette Yépez </t>
  </si>
  <si>
    <t xml:space="preserve">van a realizar el cambio de objeto de contratación </t>
  </si>
  <si>
    <t>Verónica Ponce</t>
  </si>
  <si>
    <t>MARZO</t>
  </si>
  <si>
    <t>Rosita Estrella</t>
  </si>
  <si>
    <t>SEPTIEMBRE</t>
  </si>
  <si>
    <t>RE Proveedor Único</t>
  </si>
  <si>
    <t xml:space="preserve">verificar cpc y partida / reformar el poa </t>
  </si>
  <si>
    <t>JULIO</t>
  </si>
  <si>
    <t>AGOSTO</t>
  </si>
  <si>
    <t>Licitación de servicio</t>
  </si>
  <si>
    <t xml:space="preserve">Licitación  de servicio </t>
  </si>
  <si>
    <t xml:space="preserve">buscar de cpc diferente al mantenimiento de computadoras </t>
  </si>
  <si>
    <t>Andrés Mogro</t>
  </si>
  <si>
    <t>Catalogo Electrónico</t>
  </si>
  <si>
    <t xml:space="preserve">verificar partida </t>
  </si>
  <si>
    <t>Licitación de Seguros</t>
  </si>
  <si>
    <t xml:space="preserve">Licitación de Seguros </t>
  </si>
  <si>
    <t xml:space="preserve">Pablo Arboleda </t>
  </si>
  <si>
    <t xml:space="preserve">se reprogramará actividad </t>
  </si>
  <si>
    <t>JUNIO</t>
  </si>
  <si>
    <t>Giro especifico del negocio</t>
  </si>
  <si>
    <t xml:space="preserve">Giro especifico del negocio </t>
  </si>
  <si>
    <t xml:space="preserve">Rubén Lara </t>
  </si>
  <si>
    <t xml:space="preserve"> 50000 promoción + 40000 turismo de negocio</t>
  </si>
  <si>
    <t xml:space="preserve">Rosita Estrella </t>
  </si>
  <si>
    <t xml:space="preserve">Juan Jiménez </t>
  </si>
  <si>
    <t>Diego Guamán</t>
  </si>
  <si>
    <t>Proyecto de inversión</t>
  </si>
  <si>
    <t>100000 Promoción  50000 SERVICIOS</t>
  </si>
  <si>
    <t>310000 DESARROLLO +340000 PROMOCION +35000 MICE 
RL Se realizar reforma programática, PAC por el objeto</t>
  </si>
  <si>
    <t xml:space="preserve">Gabriela Flores </t>
  </si>
  <si>
    <t>Melanie Espinoza</t>
  </si>
  <si>
    <t>Paulina Rugel</t>
  </si>
  <si>
    <t>Ruth Utreras</t>
  </si>
  <si>
    <r>
      <t xml:space="preserve">Calendarización de la Meta
</t>
    </r>
    <r>
      <rPr>
        <sz val="11"/>
        <rFont val="Calibri"/>
        <family val="2"/>
        <scheme val="minor"/>
      </rPr>
      <t>(Debe ser consistente con el valor de la meta para 2026, con el tipo de meta y su calendarización acorde con el flujo de recursos en los casos pertinentes)</t>
    </r>
  </si>
  <si>
    <r>
      <t xml:space="preserve">Cronograma de Avance físico
</t>
    </r>
    <r>
      <rPr>
        <sz val="11"/>
        <color theme="1"/>
        <rFont val="Calibri"/>
        <family val="2"/>
        <scheme val="minor"/>
      </rPr>
      <t>(Solo para la Tarea de Obra denominada "Ejecución de Obra")</t>
    </r>
  </si>
  <si>
    <r>
      <t xml:space="preserve">Tipo de Meta
</t>
    </r>
    <r>
      <rPr>
        <sz val="11"/>
        <rFont val="Calibri"/>
        <family val="2"/>
        <scheme val="minor"/>
      </rPr>
      <t>(Acumulativa o Discreta)</t>
    </r>
  </si>
  <si>
    <r>
      <t xml:space="preserve">Fecha de Inicio
</t>
    </r>
    <r>
      <rPr>
        <sz val="11"/>
        <color theme="1"/>
        <rFont val="Calibri"/>
        <family val="2"/>
        <scheme val="minor"/>
      </rPr>
      <t>(Tarea)</t>
    </r>
  </si>
  <si>
    <r>
      <t xml:space="preserve">Fecha Fin
</t>
    </r>
    <r>
      <rPr>
        <sz val="11"/>
        <color theme="1"/>
        <rFont val="Calibri"/>
        <family val="2"/>
        <scheme val="minor"/>
      </rPr>
      <t>(Tarea)</t>
    </r>
  </si>
  <si>
    <r>
      <t xml:space="preserve">Nombre de la Obra
</t>
    </r>
    <r>
      <rPr>
        <sz val="11"/>
        <color theme="1"/>
        <rFont val="Calibri"/>
        <family val="2"/>
        <scheme val="minor"/>
      </rPr>
      <t>(Solo para Actividades tipo obra)</t>
    </r>
  </si>
  <si>
    <t>Comprobación</t>
  </si>
  <si>
    <t>01.01.001.002.530702.000.009</t>
  </si>
  <si>
    <t>01.01.001.004.531406.000.009</t>
  </si>
  <si>
    <t>01.01.001.006.530255.000.009</t>
  </si>
  <si>
    <t>01.01.001.004.531407.000.009</t>
  </si>
  <si>
    <t>01.01.001.008.530243.000.009</t>
  </si>
  <si>
    <t>01.01.001.008.530704.000.009</t>
  </si>
  <si>
    <t>01.01.001.009.530243.000.009</t>
  </si>
  <si>
    <t>01.01.001.009.530404.000.009</t>
  </si>
  <si>
    <t>01.01.001.013.530813.000.009</t>
  </si>
  <si>
    <t>01.01.001.014.530802.000.009</t>
  </si>
  <si>
    <t>01.01.001.016.530807.000.009</t>
  </si>
  <si>
    <t>01.01.001.017.530702.000.009</t>
  </si>
  <si>
    <t>01.01.001.021.530807.000.009</t>
  </si>
  <si>
    <t>01.01.001.026.570201.000.009</t>
  </si>
  <si>
    <t>01.01.001.027.530606.000.009</t>
  </si>
  <si>
    <t>01.01.001.028.530606.000.009</t>
  </si>
  <si>
    <t>01.01.001.029.530301.000.009</t>
  </si>
  <si>
    <t>01.01.001.029.530302.000.009</t>
  </si>
  <si>
    <t>01.01.001.031.530209.000.009</t>
  </si>
  <si>
    <t>01.01.001.033.530811.000.009</t>
  </si>
  <si>
    <t>01.01.001.035.530403.000.009</t>
  </si>
  <si>
    <t>01.01.001.039.530404.000.009</t>
  </si>
  <si>
    <t>01.01.001.040.530203.000.009</t>
  </si>
  <si>
    <t>01.01.001.041.530404.000.009</t>
  </si>
  <si>
    <t>01.01.001.042.530404.000.009</t>
  </si>
  <si>
    <t>01.01.001.043.530404.000.009</t>
  </si>
  <si>
    <t>01.01.001.044.530404.000.009</t>
  </si>
  <si>
    <t>01.01.001.045.530405.000.009</t>
  </si>
  <si>
    <t>01.01.001.046.530405.000.009</t>
  </si>
  <si>
    <t>01.01.001.047.530405.000.009</t>
  </si>
  <si>
    <t>01.01.001.050.530106.000.009</t>
  </si>
  <si>
    <t>01.01.001.050.530204.000.009</t>
  </si>
  <si>
    <t>01.01.001.050.530502.000.009</t>
  </si>
  <si>
    <t>01.01.001.050.530801.000.009</t>
  </si>
  <si>
    <t>01.01.001.050.530804.000.009</t>
  </si>
  <si>
    <t>01.01.001.050.530805.000.009</t>
  </si>
  <si>
    <t>01.01.001.050.530822.000.009</t>
  </si>
  <si>
    <t>01.01.001.052.530404.000.009</t>
  </si>
  <si>
    <t>01.01.001.055.530702.000.009</t>
  </si>
  <si>
    <t>01.01.001.057.530402.000.009</t>
  </si>
  <si>
    <t>01.01.001.059.530404.000.009</t>
  </si>
  <si>
    <t>01.01.001.061.530404.000.009</t>
  </si>
  <si>
    <t>01.01.001.064.530811.000.009</t>
  </si>
  <si>
    <t>01.01.001.068.530101.000.009</t>
  </si>
  <si>
    <t>01.01.001.069.530104.000.009</t>
  </si>
  <si>
    <t>01.01.001.070.530105.000.009</t>
  </si>
  <si>
    <t>01.01.001.072.530702.000.009</t>
  </si>
  <si>
    <t>01.01.001.077.570102.000.009</t>
  </si>
  <si>
    <t>01.01.001.080.530602.000.009</t>
  </si>
  <si>
    <t>01.01.001.092.530702.000.009</t>
  </si>
  <si>
    <t>01.01.001.092.530702.001.009</t>
  </si>
  <si>
    <t>01.01.001.096.530702.000.009</t>
  </si>
  <si>
    <t>01.01.001.103.530404.000.009</t>
  </si>
  <si>
    <t>01.01.001.105.530704.000.009</t>
  </si>
  <si>
    <t>01.01.001.106.530704.000.009</t>
  </si>
  <si>
    <t>01.01.001.111.530255.000.009</t>
  </si>
  <si>
    <t>01.01.001.111.570199.000.009</t>
  </si>
  <si>
    <t>01.01.001.112.570102.000.009</t>
  </si>
  <si>
    <t>01.01.001.114.530202.000.009</t>
  </si>
  <si>
    <t>01.01.001.122.530813.000.009</t>
  </si>
  <si>
    <t>01.01.001.122.530813.001.009</t>
  </si>
  <si>
    <t>01.01.001.123.530702.000.009</t>
  </si>
  <si>
    <t>01.01.001.126.530210.000.009</t>
  </si>
  <si>
    <t>01.01.001.140.530704.000.009</t>
  </si>
  <si>
    <t>01.01.001.143.530204.000.009</t>
  </si>
  <si>
    <t>01.01.001.143.530405.000.009</t>
  </si>
  <si>
    <t>01.01.001.143.530804.000.009</t>
  </si>
  <si>
    <t>01.01.001.143.530805.000.009</t>
  </si>
  <si>
    <t>01.01.001.143.530811.000.009</t>
  </si>
  <si>
    <t>01.01.001.143.530813.000.009</t>
  </si>
  <si>
    <t>01.01.001.145.530209.000.009</t>
  </si>
  <si>
    <t>01.01.001.150.530404.000.009</t>
  </si>
  <si>
    <t>01.01.001.151.530404.000.009</t>
  </si>
  <si>
    <t>01.01.001.152.530404.000.009</t>
  </si>
  <si>
    <t>01.01.001.153.570102.000.009</t>
  </si>
  <si>
    <t>01.01.001.154.530208.000.009</t>
  </si>
  <si>
    <t>01.01.001.155.530303.000.009</t>
  </si>
  <si>
    <t>01.01.001.155.530304.000.009</t>
  </si>
  <si>
    <t>01.01.001.156.530601.000.009</t>
  </si>
  <si>
    <t>01.01.001.157.570203.000.009</t>
  </si>
  <si>
    <t>01.01.001.158.570203.000.009</t>
  </si>
  <si>
    <t>01.01.001.159.530207.000.009</t>
  </si>
  <si>
    <t>01.01.001.160.530404.000.009</t>
  </si>
  <si>
    <t>01.01.001.161.530241.000.009</t>
  </si>
  <si>
    <t>01.01.001.162.840107.000.009</t>
  </si>
  <si>
    <t>01.01.001.163.840107.000.009</t>
  </si>
  <si>
    <t>01.01.001.164.530702.000.009</t>
  </si>
  <si>
    <t>01.01.001.164.840107.000.009</t>
  </si>
  <si>
    <t>01.01.001.165.840107.000.009</t>
  </si>
  <si>
    <t>01.01.001.166.840107.000.009</t>
  </si>
  <si>
    <t>01.01.001.167.530601.000.009</t>
  </si>
  <si>
    <t>01.01.001.168.530404.000.009</t>
  </si>
  <si>
    <t>01.01.001.169.530404.000.009</t>
  </si>
  <si>
    <t>01.01.001.170.530105.000.009</t>
  </si>
  <si>
    <t>01.01.001.171.530105.000.009</t>
  </si>
  <si>
    <t>01.01.001.172.530704.000.009</t>
  </si>
  <si>
    <t>01.01.001.173.530704.000.009</t>
  </si>
  <si>
    <t>01.01.001.174.530701.000.009</t>
  </si>
  <si>
    <t>01.01.001.175.840107.000.009</t>
  </si>
  <si>
    <t>01.01.002.003.670204.000.009</t>
  </si>
  <si>
    <t>01.01.002.005.631203.000.009</t>
  </si>
  <si>
    <t>01.01.002.009.630601.000.009</t>
  </si>
  <si>
    <t>01.01.002.011.630105.000.009</t>
  </si>
  <si>
    <t>01.01.002.012.630204.000.009</t>
  </si>
  <si>
    <t>01.01.002.023.630502.000.009</t>
  </si>
  <si>
    <t>01.01.002.027.530606.000.009</t>
  </si>
  <si>
    <t>01.01.002.043.530606.000.009</t>
  </si>
  <si>
    <t>01.01.002.044.530201.000.009</t>
  </si>
  <si>
    <t>01.01.002.045.630207.000.009</t>
  </si>
  <si>
    <t>01.01.002.045.630207.001.009</t>
  </si>
  <si>
    <t>01.01.002.046.630207.000.009</t>
  </si>
  <si>
    <t>01.01.002.046.630207.001.009</t>
  </si>
  <si>
    <t>01.01.002.047.630207.000.009</t>
  </si>
  <si>
    <t>01.01.002.047.630207.001.009</t>
  </si>
  <si>
    <t>01.01.002.048.630207.000.009</t>
  </si>
  <si>
    <t>01.01.002.049.530613.000.009</t>
  </si>
  <si>
    <t>01.01.002.050.630601.000.009</t>
  </si>
  <si>
    <t>01.01.002.051.630601.000.009</t>
  </si>
  <si>
    <t>01.01.002.052.630201.000.009</t>
  </si>
  <si>
    <t>01.01.002.053.530207.000.009</t>
  </si>
  <si>
    <t>01.01.002.054.630207.000.009</t>
  </si>
  <si>
    <t>01.01.002.055.630207.000.009</t>
  </si>
  <si>
    <t>01.01.002.055.630207.001.009</t>
  </si>
  <si>
    <t>01.01.002.055.630207.002.009</t>
  </si>
  <si>
    <t>01.01.003.001.510306.000.009</t>
  </si>
  <si>
    <t>01.01.003.002.510601.000.009</t>
  </si>
  <si>
    <t>01.01.003.003.510304.000.009</t>
  </si>
  <si>
    <t>01.01.003.004.510707.000.009</t>
  </si>
  <si>
    <t>01.01.003.005.510204.000.009</t>
  </si>
  <si>
    <t>01.01.003.006.510203.000.009</t>
  </si>
  <si>
    <t>01.01.003.007.510513.000.009</t>
  </si>
  <si>
    <t>01.01.003.008.510602.000.009</t>
  </si>
  <si>
    <t>01.01.003.009.510509.000.009</t>
  </si>
  <si>
    <t>01.01.003.010.510105.000.009</t>
  </si>
  <si>
    <t>01.01.003.011.510106.000.009</t>
  </si>
  <si>
    <t>01.01.003.012.510510.000.009</t>
  </si>
  <si>
    <t>01.01.003.013.510512.000.009</t>
  </si>
  <si>
    <t>01.01.003.015.510704.000.009</t>
  </si>
  <si>
    <t>02.01.001.008.710601.000.002</t>
  </si>
  <si>
    <t>02.01.001.009.710707.000.002</t>
  </si>
  <si>
    <t>02.01.001.010.710204.000.002</t>
  </si>
  <si>
    <t>02.01.001.011.710203.000.002</t>
  </si>
  <si>
    <t>02.01.001.012.710602.000.002</t>
  </si>
  <si>
    <t>02.01.001.013.710510.000.002</t>
  </si>
  <si>
    <t>02.01.001.015.730425.000.002</t>
  </si>
  <si>
    <t>02.01.001.016.730207.000.002</t>
  </si>
  <si>
    <t>02.01.001.017.730425.000.002</t>
  </si>
  <si>
    <t>02.01.001.021.730207.000.002</t>
  </si>
  <si>
    <t>02.01.001.024.710509.000.002</t>
  </si>
  <si>
    <t>02.01.001.031.730702.000.002</t>
  </si>
  <si>
    <t>02.01.001.043.730249.000.002</t>
  </si>
  <si>
    <t>02.01.001.043.730249.001.002</t>
  </si>
  <si>
    <t>02.01.001.043.730249.002.002</t>
  </si>
  <si>
    <t>02.01.001.044.730601.000.002</t>
  </si>
  <si>
    <t>02.01.001.045.730207.000.002</t>
  </si>
  <si>
    <t>02.01.001.045.730207.001.002</t>
  </si>
  <si>
    <t>02.01.001.046.730207.000.002</t>
  </si>
  <si>
    <t>02.01.001.047.730249.000.002</t>
  </si>
  <si>
    <t>02.01.001.048.730249.000.002</t>
  </si>
  <si>
    <t>Reforma 1</t>
  </si>
  <si>
    <t>Presupuesto con Reformas</t>
  </si>
  <si>
    <t>Reformas</t>
  </si>
  <si>
    <t>Reprogramación</t>
  </si>
  <si>
    <t>01.01.001.050.531601.000.009</t>
  </si>
  <si>
    <t>01.01.001.143.531601.000.009</t>
  </si>
  <si>
    <t>Suscripción de herramientas de IA para desarrollo de software y gestión del código fuente</t>
  </si>
  <si>
    <t>01.01.001.176.530702.000.009</t>
  </si>
  <si>
    <t>Mantenimiento del ERP Olympo y soporte especializado</t>
  </si>
  <si>
    <t>01.01.001.177.530701.000.009</t>
  </si>
  <si>
    <t>Adquisición de central telefónica para Oficina Matriz Quito Turismo</t>
  </si>
  <si>
    <t>01.01.001.178.840107.000.009</t>
  </si>
  <si>
    <t>01.01.001.180.530704.000.009</t>
  </si>
  <si>
    <t>01.01.001.179.530813.000.009</t>
  </si>
  <si>
    <t>Suscripción de herramientas de seguridad informática para el aseguramiento de los activos
de información</t>
  </si>
  <si>
    <t>01.01.001.181.530702.000.009</t>
  </si>
  <si>
    <t>Suscripción de herramientas de ofimática colaborativas con correo electrónico, inteligencia de negocios y servicios Cloud</t>
  </si>
  <si>
    <t>01.01.001.182.530702.000.009</t>
  </si>
  <si>
    <t>Adquisición de infraestructura tecnológica y suscripción de herramientas de respaldos y virtualización</t>
  </si>
  <si>
    <t>01.01.001.183.840107.000.009</t>
  </si>
  <si>
    <t>01.01.001.183.530702.000.009</t>
  </si>
  <si>
    <t>01.01.001.183.530402.000.009</t>
  </si>
  <si>
    <t>Mantenimiento preventivo de pantallas digitales e interactivos</t>
  </si>
  <si>
    <t>01.01.001.184.530704.000.009</t>
  </si>
  <si>
    <t>Servicio de soporte y mantenimiento del NAS</t>
  </si>
  <si>
    <t>01.01.001.185.530704.000.009</t>
  </si>
  <si>
    <t>Contratación del Estudio Actuarial para Quito Turismo correspondiente al ejercicio fiscal 2026</t>
  </si>
  <si>
    <t>01.01.001.186.530606.000.009</t>
  </si>
  <si>
    <t>Inclusión en la póliza de seguro para los bienes muebles de la EPMGDT</t>
  </si>
  <si>
    <t>01.01.001.187.570201.000.009</t>
  </si>
  <si>
    <t>Adquisición de suministros de impresión toners para la EPMGDT no catalogado (arrastre)</t>
  </si>
  <si>
    <t>01.01.001.188.530807.000.009</t>
  </si>
  <si>
    <t>Contratación del servicio de mantenimiento preventivo y correctivo de cámaras de seguridad con vigencia tecnológica de la tienda Quito La Mariscal (arrastre)</t>
  </si>
  <si>
    <t>01.01.001.189.840104.000.009</t>
  </si>
  <si>
    <t>01.01.001.189.531407.000.009</t>
  </si>
  <si>
    <t>Estudio para la obtención del plano Hidrosanitario de las instalaciones de la EPMGDT (arrastre)</t>
  </si>
  <si>
    <t>01.01.001.190.530605.000.009</t>
  </si>
  <si>
    <t>Convalidación de la Certificación Presupuestaria N° 000451 del periodo fiscal 2025 – Contratación de los servicios profesionales de un ingeniero civil</t>
  </si>
  <si>
    <t>01.01.001.191.530606.000.009</t>
  </si>
  <si>
    <t>01.01.002.027.530801.000.009</t>
  </si>
  <si>
    <t>Servicio de capacitación turística para el sector turístico del Distrito Metropolitano de Quito 2025 – 2026 (arrastre)</t>
  </si>
  <si>
    <t>01.01.002.056.530613.000.009</t>
  </si>
  <si>
    <t>Impulso y Atracción especializada MICE para la Captación de Eventos de Gran Formato en el destino Quito 01</t>
  </si>
  <si>
    <t>01.01.002.057.530207.000.009</t>
  </si>
  <si>
    <t>CONTRATACIÓN DEL SERVICIO DE ORGANIZACIÓN DE EVENTOS DE PROMOCIÓN TURÍSTICA DEL DESTINO QUITO EN EL MERCADO LOCAL Y NACIONAL PARA LA REALIZACIÓN DE EVENTOS TURÍSTICOS Y GASTRONÓMICOS (SIT)</t>
  </si>
  <si>
    <t>02.01.001.043.730249.003.002</t>
  </si>
  <si>
    <t>Contratar el servicio especializado para el diseño, desarrollo, fortalecimiento e implementación del producto turístico “Semana Santa Quiteña 2026”, para diversificar la oferta turística del Distrito Metropolitano de Quito y promoción del destino</t>
  </si>
  <si>
    <t>02.01.001.049.730207.000.002</t>
  </si>
  <si>
    <t>02.01.001.050.730606.000.002</t>
  </si>
  <si>
    <t>Servicios Profesionales Especialista en Desarrollo Territorial Para el Diseño de Intervenciones en Barrios con Vocación Turística en el Distrito Metropolitano de Quito</t>
  </si>
  <si>
    <t>Impulso y Atracción especializada MICE para la Captación de Eventos de Gran Formato en el destino Quito 02</t>
  </si>
  <si>
    <t>02.01.001.051.730207.000.002</t>
  </si>
  <si>
    <t>Mantenimiento servidores NAS (arrastre)</t>
  </si>
  <si>
    <t>Devengo Enero</t>
  </si>
  <si>
    <t>Devengo Total</t>
  </si>
  <si>
    <t>Certificado Enero</t>
  </si>
  <si>
    <t>Compromiso Enero</t>
  </si>
  <si>
    <t>Certificado Total</t>
  </si>
  <si>
    <t>Compromiso Total</t>
  </si>
  <si>
    <t>#</t>
  </si>
  <si>
    <t>Saldo Disponible</t>
  </si>
  <si>
    <t>Suma de Presupuesto con Reformas</t>
  </si>
  <si>
    <t>Adquisición de partes, piezas y/o repuestos de impresoras (arrastre)</t>
  </si>
  <si>
    <t>Etiquetas de fila</t>
  </si>
  <si>
    <t>Etiquetas de columna</t>
  </si>
  <si>
    <t>Suma de Devengo Enero</t>
  </si>
  <si>
    <t>Contratación de Estudios técnicos para la Implementación de la Plaza de Espectáculos de Quito, en el Parque Bicentenario</t>
  </si>
  <si>
    <t>COSTO 2026
REFORMA 2</t>
  </si>
  <si>
    <t>CUATRIMESTRE
REFORMA 2</t>
  </si>
  <si>
    <t xml:space="preserve">PAC INICIAL </t>
  </si>
  <si>
    <t xml:space="preserve"> CERTIFICACION POA / PAI</t>
  </si>
  <si>
    <t xml:space="preserve">Reformado en 1ra reforma PAC  </t>
  </si>
  <si>
    <t xml:space="preserve">PAC - SEGUNDA REFORMA </t>
  </si>
  <si>
    <t xml:space="preserve">Reformado en 1ra reforma PAC a la espera de autorizacion del monto de la poliza de robo y asalto </t>
  </si>
  <si>
    <t xml:space="preserve">Valor Reformado en 1ra reforma PAC actualizacion de informacion por cambio de normativa </t>
  </si>
  <si>
    <t>Valor reformado en reforma PAC 1 Falta la  revisión de finanicero y jurídico  de informe técnico, informe de necesidad y TDR</t>
  </si>
  <si>
    <t xml:space="preserve">Valor reformado en reforma PAC 1 levantamiento de informacion </t>
  </si>
  <si>
    <t xml:space="preserve">primera revisión </t>
  </si>
  <si>
    <t>Eliminada en reforma 1 POA</t>
  </si>
  <si>
    <t>Falta revisión  finanicero y jurídico  de informe técnico, informe de necesidad y tdr</t>
  </si>
  <si>
    <t>No presenta documentación</t>
  </si>
  <si>
    <t>Maria Fernanda Solorzano</t>
  </si>
  <si>
    <t>Valor Reformado en 1ra reforma PAC, falta revisión  finanicero y jurídico  de informe técnico, informe de necesidad y tdr</t>
  </si>
  <si>
    <t xml:space="preserve">Eliminada en reforma 1 PAC </t>
  </si>
  <si>
    <t>Preguntas respuestas 10-02-2026</t>
  </si>
  <si>
    <t xml:space="preserve">licitación de Servicios </t>
  </si>
  <si>
    <t>9-02-2026 PUBLICACION DE LA NECESIDAD</t>
  </si>
  <si>
    <t>Internacional</t>
  </si>
  <si>
    <t>Valor Reformado en 1ra reforma PAC</t>
  </si>
  <si>
    <t>No se va contratar ST solicitará reforma</t>
  </si>
  <si>
    <t xml:space="preserve">Se elimina en reforma POA Nro. 1 la Dirección de Turismo de Negocios y Atracción de Eventos debe  solicitar reforma pac </t>
  </si>
  <si>
    <t>En proceso de la construccion del reglamento Interno</t>
  </si>
  <si>
    <t xml:space="preserve">Valor reformado en pac </t>
  </si>
  <si>
    <t>Javier Pacha</t>
  </si>
  <si>
    <t xml:space="preserve">Verificar la pertinencia de las partidas presupuestaria respecto al objeto de la contratación  </t>
  </si>
  <si>
    <t>Eliminada el 1era reforma poa</t>
  </si>
  <si>
    <t>Incremento en la 1ra reforma PAC</t>
  </si>
  <si>
    <t>11/02/20206</t>
  </si>
  <si>
    <t>PAC</t>
  </si>
  <si>
    <t>NO PAC</t>
  </si>
  <si>
    <t>PAC - NO PAC</t>
  </si>
  <si>
    <t>(Todas)</t>
  </si>
  <si>
    <t>Suma de Devengo 19 Febrero</t>
  </si>
  <si>
    <t>Suma de Certificado 19 Febrero</t>
  </si>
  <si>
    <t>Suma de Compromiso 19 Febrero</t>
  </si>
  <si>
    <t>Devengo 26 Febrero</t>
  </si>
  <si>
    <t>Certificado 26 Febrero</t>
  </si>
  <si>
    <t>Compromiso 26 Febrero</t>
  </si>
  <si>
    <t>Presupuesto 2026 Anual (original)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</si>
</sst>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mmmm/yyyy"/>
    <numFmt numFmtId="166" formatCode="dd/mm/yyyy;@"/>
    <numFmt numFmtId="167" formatCode="[$-1540A]dd\-mmm\-yy;@"/>
  </numFmts>
  <fonts count="4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6.5"/>
      <color theme="1"/>
      <name val="Calibri"/>
      <family val="2"/>
      <scheme val="minor"/>
    </font>
    <font>
      <i/>
      <sz val="6"/>
      <color rgb="FFC00000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B1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4"/>
        <bgColor rgb="FF00B050"/>
      </patternFill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31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9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0" fillId="12" borderId="26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12" fillId="12" borderId="26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43" fontId="17" fillId="8" borderId="20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43" fontId="0" fillId="12" borderId="25" xfId="1" applyFont="1" applyFill="1" applyBorder="1" applyAlignment="1">
      <alignment wrapText="1"/>
    </xf>
    <xf numFmtId="43" fontId="0" fillId="12" borderId="52" xfId="1" applyFont="1" applyFill="1" applyBorder="1" applyAlignment="1">
      <alignment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14" fontId="14" fillId="3" borderId="21" xfId="0" applyNumberFormat="1" applyFont="1" applyFill="1" applyBorder="1" applyAlignment="1">
      <alignment horizontal="center" vertical="center" wrapText="1"/>
    </xf>
    <xf numFmtId="14" fontId="14" fillId="3" borderId="23" xfId="0" applyNumberFormat="1" applyFont="1" applyFill="1" applyBorder="1" applyAlignment="1">
      <alignment horizontal="center" vertical="center" wrapText="1"/>
    </xf>
    <xf numFmtId="14" fontId="14" fillId="3" borderId="54" xfId="0" applyNumberFormat="1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14" fontId="17" fillId="8" borderId="15" xfId="0" applyNumberFormat="1" applyFont="1" applyFill="1" applyBorder="1" applyAlignment="1">
      <alignment horizontal="center" vertical="center" wrapText="1"/>
    </xf>
    <xf numFmtId="14" fontId="17" fillId="8" borderId="18" xfId="0" applyNumberFormat="1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61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28" fillId="0" borderId="0" xfId="0" applyFont="1"/>
    <xf numFmtId="0" fontId="19" fillId="12" borderId="5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1" xfId="1" applyNumberFormat="1" applyFont="1" applyFill="1" applyBorder="1" applyAlignment="1">
      <alignment vertical="center"/>
    </xf>
    <xf numFmtId="4" fontId="0" fillId="0" borderId="1" xfId="1" applyNumberFormat="1" applyFont="1" applyFill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0" fontId="0" fillId="0" borderId="0" xfId="0" pivotButton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164" fontId="3" fillId="0" borderId="3" xfId="1" applyNumberFormat="1" applyFont="1" applyBorder="1" applyAlignment="1">
      <alignment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0" xfId="0" pivotButton="1"/>
    <xf numFmtId="0" fontId="0" fillId="0" borderId="1" xfId="0" applyBorder="1" applyAlignment="1">
      <alignment vertical="center"/>
    </xf>
    <xf numFmtId="9" fontId="0" fillId="0" borderId="1" xfId="2" applyFont="1" applyFill="1" applyBorder="1" applyAlignment="1">
      <alignment vertical="center"/>
    </xf>
    <xf numFmtId="43" fontId="28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2" fillId="26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3" fillId="0" borderId="0" xfId="0" applyFont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6" fillId="16" borderId="8" xfId="0" applyFont="1" applyFill="1" applyBorder="1" applyAlignment="1">
      <alignment vertical="center" wrapText="1"/>
    </xf>
    <xf numFmtId="0" fontId="3" fillId="12" borderId="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31" fillId="22" borderId="1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43" fontId="32" fillId="23" borderId="1" xfId="0" applyNumberFormat="1" applyFont="1" applyFill="1" applyBorder="1" applyAlignment="1">
      <alignment horizontal="center" vertical="center" wrapText="1"/>
    </xf>
    <xf numFmtId="43" fontId="32" fillId="24" borderId="1" xfId="0" applyNumberFormat="1" applyFont="1" applyFill="1" applyBorder="1" applyAlignment="1">
      <alignment horizontal="center" vertical="center" wrapText="1"/>
    </xf>
    <xf numFmtId="43" fontId="32" fillId="3" borderId="1" xfId="0" applyNumberFormat="1" applyFont="1" applyFill="1" applyBorder="1" applyAlignment="1">
      <alignment horizontal="center" vertical="center" wrapText="1"/>
    </xf>
    <xf numFmtId="43" fontId="32" fillId="25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4" fontId="28" fillId="0" borderId="1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14" fontId="28" fillId="0" borderId="1" xfId="0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14" fontId="28" fillId="0" borderId="1" xfId="0" applyNumberFormat="1" applyFont="1" applyBorder="1" applyAlignment="1">
      <alignment horizontal="right" vertical="center" wrapText="1"/>
    </xf>
    <xf numFmtId="0" fontId="28" fillId="0" borderId="1" xfId="0" applyFont="1" applyBorder="1" applyAlignment="1">
      <alignment horizontal="right" wrapText="1"/>
    </xf>
    <xf numFmtId="0" fontId="28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/>
    </xf>
    <xf numFmtId="14" fontId="29" fillId="0" borderId="1" xfId="0" applyNumberFormat="1" applyFont="1" applyBorder="1" applyAlignment="1">
      <alignment horizontal="right" vertical="center"/>
    </xf>
    <xf numFmtId="15" fontId="28" fillId="0" borderId="1" xfId="0" applyNumberFormat="1" applyFont="1" applyBorder="1" applyAlignment="1">
      <alignment horizontal="right" wrapText="1"/>
    </xf>
    <xf numFmtId="4" fontId="0" fillId="0" borderId="6" xfId="0" applyNumberFormat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43" fontId="3" fillId="0" borderId="6" xfId="0" applyNumberFormat="1" applyFont="1" applyBorder="1" applyAlignment="1">
      <alignment vertical="center"/>
    </xf>
    <xf numFmtId="0" fontId="3" fillId="19" borderId="8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8" xfId="0" applyBorder="1" applyAlignment="1">
      <alignment horizontal="right" vertical="center"/>
    </xf>
    <xf numFmtId="43" fontId="0" fillId="0" borderId="10" xfId="0" applyNumberFormat="1" applyBorder="1" applyAlignment="1">
      <alignment horizontal="right" vertical="center"/>
    </xf>
    <xf numFmtId="43" fontId="28" fillId="0" borderId="10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43" fontId="0" fillId="5" borderId="10" xfId="0" applyNumberFormat="1" applyFill="1" applyBorder="1" applyAlignment="1">
      <alignment horizontal="right" vertical="center"/>
    </xf>
    <xf numFmtId="4" fontId="0" fillId="5" borderId="10" xfId="0" applyNumberFormat="1" applyFill="1" applyBorder="1" applyAlignment="1">
      <alignment horizontal="right" vertical="center"/>
    </xf>
    <xf numFmtId="14" fontId="28" fillId="17" borderId="1" xfId="0" applyNumberFormat="1" applyFont="1" applyFill="1" applyBorder="1" applyAlignment="1">
      <alignment horizontal="right" vertical="center" wrapText="1"/>
    </xf>
    <xf numFmtId="0" fontId="0" fillId="17" borderId="0" xfId="0" applyFill="1" applyAlignment="1">
      <alignment vertical="center"/>
    </xf>
    <xf numFmtId="43" fontId="0" fillId="0" borderId="0" xfId="0" applyNumberFormat="1"/>
    <xf numFmtId="0" fontId="0" fillId="5" borderId="1" xfId="0" applyFill="1" applyBorder="1" applyAlignment="1">
      <alignment vertical="center"/>
    </xf>
    <xf numFmtId="43" fontId="0" fillId="5" borderId="4" xfId="0" applyNumberFormat="1" applyFill="1" applyBorder="1" applyAlignment="1">
      <alignment horizontal="right" vertical="center"/>
    </xf>
    <xf numFmtId="14" fontId="28" fillId="0" borderId="8" xfId="0" applyNumberFormat="1" applyFont="1" applyBorder="1" applyAlignment="1">
      <alignment horizontal="right" vertical="center"/>
    </xf>
    <xf numFmtId="0" fontId="28" fillId="0" borderId="8" xfId="0" applyFont="1" applyBorder="1" applyAlignment="1">
      <alignment horizontal="right" vertical="center"/>
    </xf>
    <xf numFmtId="14" fontId="28" fillId="0" borderId="8" xfId="0" applyNumberFormat="1" applyFont="1" applyBorder="1" applyAlignment="1">
      <alignment horizontal="right"/>
    </xf>
    <xf numFmtId="0" fontId="28" fillId="0" borderId="8" xfId="0" applyFont="1" applyBorder="1" applyAlignment="1">
      <alignment horizontal="right"/>
    </xf>
    <xf numFmtId="14" fontId="28" fillId="17" borderId="8" xfId="0" applyNumberFormat="1" applyFont="1" applyFill="1" applyBorder="1" applyAlignment="1">
      <alignment horizontal="right" vertical="center" wrapText="1"/>
    </xf>
    <xf numFmtId="43" fontId="0" fillId="0" borderId="0" xfId="1" applyFont="1"/>
    <xf numFmtId="0" fontId="0" fillId="17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pivotButton="1" applyAlignment="1">
      <alignment vertical="center" wrapText="1"/>
    </xf>
    <xf numFmtId="0" fontId="3" fillId="27" borderId="8" xfId="0" applyFont="1" applyFill="1" applyBorder="1" applyAlignment="1">
      <alignment horizontal="center" vertical="center" wrapText="1"/>
    </xf>
    <xf numFmtId="10" fontId="0" fillId="0" borderId="0" xfId="2" applyNumberFormat="1" applyFont="1"/>
    <xf numFmtId="43" fontId="0" fillId="0" borderId="1" xfId="1" applyFont="1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43" fontId="0" fillId="0" borderId="6" xfId="1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35" fillId="20" borderId="1" xfId="0" applyFont="1" applyFill="1" applyBorder="1" applyAlignment="1">
      <alignment horizontal="center" vertical="center" wrapText="1"/>
    </xf>
    <xf numFmtId="0" fontId="35" fillId="22" borderId="1" xfId="0" applyFont="1" applyFill="1" applyBorder="1" applyAlignment="1">
      <alignment horizontal="center" vertical="center" wrapText="1"/>
    </xf>
    <xf numFmtId="43" fontId="36" fillId="23" borderId="1" xfId="0" applyNumberFormat="1" applyFont="1" applyFill="1" applyBorder="1" applyAlignment="1">
      <alignment horizontal="center" vertical="center" wrapText="1"/>
    </xf>
    <xf numFmtId="43" fontId="36" fillId="3" borderId="1" xfId="0" applyNumberFormat="1" applyFont="1" applyFill="1" applyBorder="1" applyAlignment="1">
      <alignment horizontal="center" vertical="center" wrapText="1"/>
    </xf>
    <xf numFmtId="43" fontId="36" fillId="25" borderId="1" xfId="0" applyNumberFormat="1" applyFont="1" applyFill="1" applyBorder="1" applyAlignment="1">
      <alignment horizontal="center" vertical="center" wrapText="1"/>
    </xf>
    <xf numFmtId="0" fontId="36" fillId="25" borderId="1" xfId="0" applyFont="1" applyFill="1" applyBorder="1" applyAlignment="1">
      <alignment horizontal="center" vertical="center" wrapText="1"/>
    </xf>
    <xf numFmtId="0" fontId="36" fillId="26" borderId="1" xfId="0" applyFont="1" applyFill="1" applyBorder="1" applyAlignment="1">
      <alignment horizontal="left" vertical="center" wrapText="1"/>
    </xf>
    <xf numFmtId="0" fontId="36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horizontal="center" vertical="center" wrapText="1"/>
    </xf>
    <xf numFmtId="0" fontId="38" fillId="26" borderId="1" xfId="0" applyFont="1" applyFill="1" applyBorder="1" applyAlignment="1">
      <alignment vertical="center" wrapText="1"/>
    </xf>
    <xf numFmtId="14" fontId="0" fillId="0" borderId="0" xfId="0" applyNumberFormat="1" applyAlignment="1">
      <alignment vertical="center"/>
    </xf>
    <xf numFmtId="14" fontId="0" fillId="0" borderId="1" xfId="0" applyNumberFormat="1" applyBorder="1" applyAlignment="1">
      <alignment vertical="center"/>
    </xf>
    <xf numFmtId="0" fontId="40" fillId="26" borderId="1" xfId="0" applyFont="1" applyFill="1" applyBorder="1" applyAlignment="1">
      <alignment vertical="center" wrapText="1"/>
    </xf>
    <xf numFmtId="0" fontId="34" fillId="0" borderId="1" xfId="0" applyFont="1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40" fillId="26" borderId="10" xfId="0" applyFont="1" applyFill="1" applyBorder="1" applyAlignment="1">
      <alignment vertical="center" wrapText="1"/>
    </xf>
    <xf numFmtId="0" fontId="28" fillId="0" borderId="6" xfId="0" applyFont="1" applyBorder="1" applyAlignment="1">
      <alignment horizontal="right" wrapText="1"/>
    </xf>
    <xf numFmtId="0" fontId="39" fillId="26" borderId="1" xfId="0" applyFont="1" applyFill="1" applyBorder="1" applyAlignment="1">
      <alignment vertical="center" wrapText="1"/>
    </xf>
    <xf numFmtId="43" fontId="38" fillId="26" borderId="1" xfId="0" applyNumberFormat="1" applyFont="1" applyFill="1" applyBorder="1" applyAlignment="1">
      <alignment horizontal="center" vertical="center"/>
    </xf>
    <xf numFmtId="0" fontId="34" fillId="0" borderId="8" xfId="0" applyFont="1" applyBorder="1" applyAlignment="1">
      <alignment vertical="center"/>
    </xf>
    <xf numFmtId="14" fontId="0" fillId="0" borderId="9" xfId="0" applyNumberFormat="1" applyBorder="1" applyAlignment="1">
      <alignment vertical="center"/>
    </xf>
    <xf numFmtId="0" fontId="38" fillId="26" borderId="10" xfId="0" applyFont="1" applyFill="1" applyBorder="1" applyAlignment="1">
      <alignment horizontal="left" vertical="center"/>
    </xf>
    <xf numFmtId="43" fontId="37" fillId="26" borderId="1" xfId="0" applyNumberFormat="1" applyFont="1" applyFill="1" applyBorder="1" applyAlignment="1">
      <alignment horizontal="center" vertical="center" wrapText="1"/>
    </xf>
    <xf numFmtId="43" fontId="38" fillId="26" borderId="1" xfId="0" applyNumberFormat="1" applyFont="1" applyFill="1" applyBorder="1" applyAlignment="1">
      <alignment vertical="center"/>
    </xf>
    <xf numFmtId="164" fontId="37" fillId="26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167" fontId="34" fillId="0" borderId="1" xfId="0" applyNumberFormat="1" applyFont="1" applyBorder="1" applyAlignment="1">
      <alignment vertical="center"/>
    </xf>
    <xf numFmtId="167" fontId="0" fillId="0" borderId="1" xfId="0" applyNumberFormat="1" applyBorder="1" applyAlignment="1">
      <alignment vertical="center"/>
    </xf>
    <xf numFmtId="167" fontId="34" fillId="0" borderId="8" xfId="0" applyNumberFormat="1" applyFont="1" applyBorder="1" applyAlignment="1">
      <alignment vertical="center"/>
    </xf>
    <xf numFmtId="167" fontId="0" fillId="0" borderId="9" xfId="0" applyNumberFormat="1" applyBorder="1" applyAlignment="1">
      <alignment vertical="center"/>
    </xf>
    <xf numFmtId="4" fontId="0" fillId="0" borderId="0" xfId="0" applyNumberFormat="1"/>
    <xf numFmtId="167" fontId="0" fillId="0" borderId="1" xfId="0" applyNumberForma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/>
    </xf>
    <xf numFmtId="167" fontId="28" fillId="0" borderId="1" xfId="0" applyNumberFormat="1" applyFont="1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 vertical="center"/>
    </xf>
    <xf numFmtId="0" fontId="3" fillId="28" borderId="1" xfId="0" applyFont="1" applyFill="1" applyBorder="1" applyAlignment="1">
      <alignment vertical="center" wrapText="1"/>
    </xf>
    <xf numFmtId="0" fontId="41" fillId="0" borderId="0" xfId="0" applyFont="1" applyAlignment="1">
      <alignment horizontal="center" vertical="center" wrapText="1"/>
    </xf>
    <xf numFmtId="0" fontId="41" fillId="14" borderId="8" xfId="0" applyFont="1" applyFill="1" applyBorder="1" applyAlignment="1">
      <alignment vertical="center"/>
    </xf>
    <xf numFmtId="0" fontId="41" fillId="18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vertical="center" wrapText="1"/>
    </xf>
    <xf numFmtId="0" fontId="41" fillId="27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2" borderId="10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29" fillId="12" borderId="7" xfId="0" applyFont="1" applyFill="1" applyBorder="1" applyAlignment="1">
      <alignment horizontal="center" vertical="center" wrapText="1"/>
    </xf>
    <xf numFmtId="0" fontId="29" fillId="12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3" fillId="8" borderId="26" xfId="0" applyFont="1" applyFill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8" borderId="39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43" fontId="17" fillId="8" borderId="1" xfId="0" applyNumberFormat="1" applyFont="1" applyFill="1" applyBorder="1" applyAlignment="1">
      <alignment horizontal="center" vertical="center" wrapText="1"/>
    </xf>
    <xf numFmtId="43" fontId="17" fillId="8" borderId="26" xfId="0" applyNumberFormat="1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14" fontId="14" fillId="8" borderId="50" xfId="0" applyNumberFormat="1" applyFont="1" applyFill="1" applyBorder="1" applyAlignment="1">
      <alignment horizontal="center" vertical="center" wrapText="1"/>
    </xf>
    <xf numFmtId="14" fontId="14" fillId="8" borderId="36" xfId="0" applyNumberFormat="1" applyFont="1" applyFill="1" applyBorder="1" applyAlignment="1">
      <alignment horizontal="center" vertical="center" wrapText="1"/>
    </xf>
    <xf numFmtId="0" fontId="10" fillId="9" borderId="45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7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14" fontId="13" fillId="3" borderId="29" xfId="0" applyNumberFormat="1" applyFont="1" applyFill="1" applyBorder="1" applyAlignment="1">
      <alignment horizontal="center" vertical="center" wrapText="1"/>
    </xf>
    <xf numFmtId="14" fontId="13" fillId="3" borderId="33" xfId="0" applyNumberFormat="1" applyFont="1" applyFill="1" applyBorder="1" applyAlignment="1">
      <alignment horizontal="center" vertical="center" wrapText="1"/>
    </xf>
    <xf numFmtId="14" fontId="13" fillId="3" borderId="36" xfId="0" applyNumberFormat="1" applyFont="1" applyFill="1" applyBorder="1" applyAlignment="1">
      <alignment horizontal="center" vertical="center" wrapText="1"/>
    </xf>
    <xf numFmtId="14" fontId="13" fillId="3" borderId="19" xfId="0" applyNumberFormat="1" applyFont="1" applyFill="1" applyBorder="1" applyAlignment="1">
      <alignment horizontal="center" vertical="center" wrapText="1"/>
    </xf>
    <xf numFmtId="14" fontId="13" fillId="3" borderId="11" xfId="0" applyNumberFormat="1" applyFont="1" applyFill="1" applyBorder="1" applyAlignment="1">
      <alignment horizontal="center" vertical="center" wrapText="1"/>
    </xf>
    <xf numFmtId="14" fontId="13" fillId="3" borderId="25" xfId="0" applyNumberFormat="1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43" fontId="26" fillId="3" borderId="20" xfId="0" applyNumberFormat="1" applyFont="1" applyFill="1" applyBorder="1" applyAlignment="1">
      <alignment horizontal="center" vertical="center" wrapText="1"/>
    </xf>
    <xf numFmtId="43" fontId="26" fillId="3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58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23" xfId="0" applyFont="1" applyFill="1" applyBorder="1" applyAlignment="1">
      <alignment horizontal="center" vertical="center" wrapText="1"/>
    </xf>
    <xf numFmtId="0" fontId="10" fillId="14" borderId="48" xfId="0" applyFont="1" applyFill="1" applyBorder="1" applyAlignment="1">
      <alignment horizontal="center" vertical="center" wrapText="1"/>
    </xf>
    <xf numFmtId="0" fontId="10" fillId="14" borderId="49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center" vertical="center" wrapText="1"/>
    </xf>
    <xf numFmtId="0" fontId="16" fillId="12" borderId="53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0" fontId="19" fillId="5" borderId="3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40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12" borderId="16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41" xfId="0" applyFont="1" applyFill="1" applyBorder="1" applyAlignment="1">
      <alignment horizontal="center" vertical="center" wrapText="1"/>
    </xf>
    <xf numFmtId="0" fontId="16" fillId="12" borderId="42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2" fillId="12" borderId="50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44">
    <dxf>
      <numFmt numFmtId="4" formatCode="#,##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numFmt numFmtId="35" formatCode="_ * #,##0.00_ ;_ * \-#,##0.00_ ;_ * &quot;-&quot;??_ ;_ @_ "/>
    </dxf>
  </dxfs>
  <tableStyles count="0" defaultTableStyle="TableStyleMedium2" defaultPivotStyle="PivotStyleLight16"/>
  <colors>
    <mruColors>
      <color rgb="FFBB1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69</xdr:col>
      <xdr:colOff>311618</xdr:colOff>
      <xdr:row>0</xdr:row>
      <xdr:rowOff>38901</xdr:rowOff>
    </xdr:from>
    <xdr:to>
      <xdr:col>71</xdr:col>
      <xdr:colOff>248703</xdr:colOff>
      <xdr:row>2</xdr:row>
      <xdr:rowOff>111867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30092" t="1001" r="25300" b="91922"/>
        <a:stretch/>
      </xdr:blipFill>
      <xdr:spPr>
        <a:xfrm>
          <a:off x="42960758" y="38901"/>
          <a:ext cx="2249755" cy="44051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ichard Correa Amores" refreshedDate="46057.467662847223" createdVersion="8" refreshedVersion="8" minRefreshableVersion="3" recordCount="224" xr:uid="{9EC2D76B-2B76-4842-BF26-94C4C99700DF}">
  <cacheSource type="worksheet">
    <worksheetSource ref="A5:FA229" sheet="Matriz POA 2026"/>
  </cacheSource>
  <cacheFields count="155">
    <cacheField name="Dirección" numFmtId="0">
      <sharedItems count="12">
        <s v="Dirección de Asesoría Jurídica"/>
        <s v="DPEI / Jefatura de TICS"/>
        <s v="Dirección de Turismo de Negocios y Atracción de Eventos"/>
        <s v="DAF / Jefatura Administrativa"/>
        <s v="DAF / Jefatura de Talento Humano"/>
        <s v="DAF / Jefatura Financiera"/>
        <s v="Dirección de Servicios para la Industria Turística"/>
        <s v="Dirección de Desarrollo de Productos Sostenibles"/>
        <s v="Dirección de Promoción de Destino Turístico"/>
        <s v="Dirección de Comercialización"/>
        <s v="Dirección de Comunicación"/>
        <s v="DPEI / Estadística"/>
      </sharedItems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Programa de ferias eventos, congresos, reuniones, ruedas de negocios y otros para la colocación del Destino, clusters  y Productos Turísticos"/>
        <s v="Elaboración de estudios para el desarrollo de una Arena de Eventos en el DMQ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Planificación, diseño e implementación de estructuras y facilidades turísticas"/>
        <s v="Desarrollo y Mercadeo del Destino, clusters  y Productos Turísticos"/>
        <s v="Estudios, investigaciones, información, datos y propuestas técnicas sobre la gestión del destino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Código Olympo" numFmtId="0">
      <sharedItems containsBlank="1"/>
    </cacheField>
    <cacheField name="#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emiMixedTypes="0" containsString="0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Presupuesto con Reformas" numFmtId="43">
      <sharedItems containsSemiMixedTypes="0" containsString="0" containsNumber="1" minValue="0" maxValue="809880"/>
    </cacheField>
    <cacheField name="Enero4" numFmtId="0">
      <sharedItems containsBlank="1" containsMixedTypes="1" containsNumber="1" minValue="0" maxValue="67490"/>
    </cacheField>
    <cacheField name="Febrero4" numFmtId="0">
      <sharedItems containsBlank="1" containsMixedTypes="1" containsNumber="1" minValue="0" maxValue="67490"/>
    </cacheField>
    <cacheField name="Marzo4" numFmtId="0">
      <sharedItems containsBlank="1" containsMixedTypes="1" containsNumber="1" minValue="0" maxValue="67490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67490"/>
    </cacheField>
    <cacheField name="Junio4" numFmtId="0">
      <sharedItems containsBlank="1" containsMixedTypes="1" containsNumber="1" minValue="0" maxValue="150000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4016"/>
    </cacheField>
    <cacheField name="Septiembre4" numFmtId="0">
      <sharedItems containsBlank="1" containsMixedTypes="1" containsNumber="1" minValue="0" maxValue="600000"/>
    </cacheField>
    <cacheField name="Octubre4" numFmtId="0">
      <sharedItems containsBlank="1" containsMixedTypes="1" containsNumber="1" minValue="0" maxValue="67490"/>
    </cacheField>
    <cacheField name="Noviembre4" numFmtId="0">
      <sharedItems containsBlank="1" containsMixedTypes="1" containsNumber="1" minValue="0" maxValue="100000"/>
    </cacheField>
    <cacheField name="Diciembre4" numFmtId="0">
      <sharedItems containsBlank="1" containsMixedTypes="1" containsNumber="1" minValue="0" maxValue="295000"/>
    </cacheField>
    <cacheField name="Saldo Disponible" numFmtId="0">
      <sharedItems containsString="0" containsBlank="1" containsNumber="1" minValue="1405.33" maxValue="19050"/>
    </cacheField>
    <cacheField name="Comprobación" numFmtId="4">
      <sharedItems containsSemiMixedTypes="0" containsString="0" containsNumber="1" containsInteger="1" minValue="0" maxValue="0"/>
    </cacheField>
    <cacheField name="Devengo Enero" numFmtId="43">
      <sharedItems containsSemiMixedTypes="0" containsString="0" containsNumber="1" minValue="0" maxValue="64055.03"/>
    </cacheField>
    <cacheField name="Certificado Enero" numFmtId="43">
      <sharedItems containsSemiMixedTypes="0" containsString="0" containsNumber="1" minValue="0" maxValue="234800"/>
    </cacheField>
    <cacheField name="Compromiso Enero" numFmtId="43">
      <sharedItems containsSemiMixedTypes="0" containsString="0" containsNumber="1" minValue="0" maxValue="80266.28"/>
    </cacheField>
    <cacheField name="Devengo Febrero" numFmtId="43">
      <sharedItems containsBlank="1"/>
    </cacheField>
    <cacheField name="Certificado Febrero" numFmtId="43">
      <sharedItems containsNonDate="0" containsString="0" containsBlank="1"/>
    </cacheField>
    <cacheField name="Compromiso Febrero" numFmtId="43">
      <sharedItems containsNonDate="0" containsString="0" containsBlank="1"/>
    </cacheField>
    <cacheField name="Devengo Total" numFmtId="43">
      <sharedItems containsMixedTypes="1" containsNumber="1" containsInteger="1" minValue="0" maxValue="0"/>
    </cacheField>
    <cacheField name="Certificado Total" numFmtId="43">
      <sharedItems containsSemiMixedTypes="0" containsString="0" containsNumber="1" minValue="0" maxValue="234800"/>
    </cacheField>
    <cacheField name="Compromiso Total" numFmtId="43">
      <sharedItems containsSemiMixedTypes="0" containsString="0" containsNumber="1" minValue="0" maxValue="80266.28"/>
    </cacheField>
    <cacheField name="COSTO 2026" numFmtId="0">
      <sharedItems containsString="0" containsBlank="1" containsNumber="1" minValue="180" maxValue="685000"/>
    </cacheField>
    <cacheField name="CUATRIMESTRE" numFmtId="0">
      <sharedItems containsString="0" containsBlank="1" containsNumber="1" containsInteger="1" minValue="1" maxValue="3"/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String="0" containsBlank="1" containsNumber="1" containsInteger="1" minValue="1" maxValue="3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String="0" containsBlank="1" containsNumber="1" containsInteger="1" minValue="18" maxValue="35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2026-04-07T00:00:00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ichard Correa Amores" refreshedDate="46057.467663657408" createdVersion="8" refreshedVersion="8" minRefreshableVersion="3" recordCount="224" xr:uid="{00000000-000A-0000-FFFF-FFFF40000000}">
  <cacheSource type="worksheet">
    <worksheetSource ref="A5:BV229" sheet="Matriz POA 2026"/>
  </cacheSource>
  <cacheFields count="75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Impulsar el desarrollo sostenible de los destinos turísticos buscando la armonización económica-medio ambiental,  socio cultural y  procesos de decisión pública-privada del sector turistico para la conversión en DTI (Gobernanza - Sostenibilidad)"/>
        <s v="Implementar y mantener las facilidades turísticas e infraestructura para la provisión de servicios turísticos accesibles a visitantes locales, nacionales y extranjeros (Accesibilidad)"/>
        <s v="Desarrollar nuevos servicios y productos tecnológicos e innovadores para mejorar el acceso y disfrute del destino turistico  (Innovación/Tecnología)"/>
      </sharedItems>
    </cacheField>
    <cacheField name="Indicador" numFmtId="0">
      <sharedItems/>
    </cacheField>
    <cacheField name="Meta 2026" numFmtId="0">
      <sharedItems count="10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Incrementar al menos un 5% el número de reservas de vuelos al destino Quito con respecto al año anterior, en el 2026"/>
        <s v="Alcanzar el 100% de ejecución en la gestión de infraestructura turística, en el 2026"/>
        <s v="Alcanzar al menos el 85% de propuestas técnicas elaboradas para la gestión del destino turístico con respecto a las propuestas planificadas, en el 2026"/>
        <s v="Organizar 10 eventos de gran de impacto para la promoción y posicionamiento del DMQ como destino de reuniones y turístico a nivel local, nacional e internacional  " u="1"/>
        <s v="Implementar 90 nuevas facilidades turísticas" u="1"/>
        <s v="Generar 12 boletínes estádisticos de la actividad turística del DMQ" u="1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Ejecución de actividades que permitan el desarrollo del turismo sostenible y la conversión del DMQ en destino turístico inteligente."/>
        <s v="(P) Provisión de Bienes y servicios para la correcta operatividad de la Empresa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acciones participativas con la industria turística y de eventos de gran impacto para la promoción y posicionamiento de Quito como Destino Turístico"/>
        <s v="(P) Implementación de acciones para fortalecer el posicionamiento de Quito como Destino Turístico"/>
        <s v="Instalación y mantenimiento de facilidades turísticas en sitios del DMQ con potencialidad turística."/>
        <s v="Implementación de estrategias innovadoras y uso de tecnología para la promoción y posicionamiento del DMQ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Programa de ferias eventos, congresos, reuniones, ruedas de negocios y otros para la colocación del Destino, clusters  y Productos Turísticos"/>
        <s v="Elaboración de estudios para el desarrollo de una Arena de Eventos en el DMQ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Planificación, diseño e implementación de estructuras y facilidades turísticas"/>
        <s v="Desarrollo y Mercadeo del Destino, clusters  y Productos Turísticos"/>
        <s v="Estudios, investigaciones, información, datos y propuestas técnicas sobre la gestión del destino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Código Olympo" numFmtId="0">
      <sharedItems containsBlank="1"/>
    </cacheField>
    <cacheField name="#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 count="3">
        <s v="Fondos Propios"/>
        <s v="-"/>
        <s v="Asignación Municipal"/>
      </sharedItems>
    </cacheField>
    <cacheField name="Presupuesto 2026 Anual" numFmtId="0">
      <sharedItems containsSemiMixedTypes="0" containsString="0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ENE A MAR" numFmtId="0" formula="Enero3+Febrero3+Marzo3" databaseField="0"/>
  </cacheFields>
  <extLst>
    <ext xmlns:x14="http://schemas.microsoft.com/office/spreadsheetml/2009/9/main" uri="{725AE2AE-9491-48be-B2B4-4EB974FC3084}">
      <x14:pivotCacheDefinition pivotCacheId="206121247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078.566553472221" createdVersion="8" refreshedVersion="8" minRefreshableVersion="3" recordCount="224" xr:uid="{D1F5B046-8134-4ED4-AF08-9775E6513273}">
  <cacheSource type="worksheet">
    <worksheetSource ref="A5:CU229" sheet="Matriz POA 2026"/>
  </cacheSource>
  <cacheFields count="99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 count="3">
        <s v="Nuevo"/>
        <s v="Arrastre"/>
        <s v="Plurianual"/>
      </sharedItems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Código Olympo" numFmtId="0">
      <sharedItems containsBlank="1"/>
    </cacheField>
    <cacheField name="#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emiMixedTypes="0" containsString="0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Presupuesto con Reformas" numFmtId="43">
      <sharedItems containsSemiMixedTypes="0" containsString="0" containsNumber="1" minValue="0" maxValue="809880"/>
    </cacheField>
    <cacheField name="Enero4" numFmtId="0">
      <sharedItems containsBlank="1" containsMixedTypes="1" containsNumber="1" minValue="0" maxValue="67490"/>
    </cacheField>
    <cacheField name="Febrero4" numFmtId="0">
      <sharedItems containsBlank="1" containsMixedTypes="1" containsNumber="1" minValue="0" maxValue="67490"/>
    </cacheField>
    <cacheField name="Marzo4" numFmtId="0">
      <sharedItems containsBlank="1" containsMixedTypes="1" containsNumber="1" minValue="0" maxValue="67490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67490"/>
    </cacheField>
    <cacheField name="Junio4" numFmtId="0">
      <sharedItems containsBlank="1" containsMixedTypes="1" containsNumber="1" minValue="0" maxValue="150000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4016"/>
    </cacheField>
    <cacheField name="Septiembre4" numFmtId="0">
      <sharedItems containsBlank="1" containsMixedTypes="1" containsNumber="1" minValue="0" maxValue="600000"/>
    </cacheField>
    <cacheField name="Octubre4" numFmtId="0">
      <sharedItems containsBlank="1" containsMixedTypes="1" containsNumber="1" minValue="0" maxValue="67490"/>
    </cacheField>
    <cacheField name="Noviembre4" numFmtId="0">
      <sharedItems containsBlank="1" containsMixedTypes="1" containsNumber="1" minValue="0" maxValue="100000"/>
    </cacheField>
    <cacheField name="Diciembre4" numFmtId="0">
      <sharedItems containsBlank="1" containsMixedTypes="1" containsNumber="1" minValue="0" maxValue="295000"/>
    </cacheField>
    <cacheField name="Saldo Disponible" numFmtId="0">
      <sharedItems containsString="0" containsBlank="1" containsNumber="1" minValue="1405.33" maxValue="19050"/>
    </cacheField>
    <cacheField name="Comprobación" numFmtId="4">
      <sharedItems containsSemiMixedTypes="0" containsString="0" containsNumber="1" containsInteger="1" minValue="0" maxValue="0"/>
    </cacheField>
    <cacheField name="Devengo Enero" numFmtId="43">
      <sharedItems containsSemiMixedTypes="0" containsString="0" containsNumber="1" minValue="0" maxValue="64055.03"/>
    </cacheField>
    <cacheField name="Certificado Enero" numFmtId="43">
      <sharedItems containsSemiMixedTypes="0" containsString="0" containsNumber="1" minValue="0" maxValue="234800"/>
    </cacheField>
    <cacheField name="Compromiso Enero" numFmtId="43">
      <sharedItems containsSemiMixedTypes="0" containsString="0" containsNumber="1" minValue="0" maxValue="80266.28"/>
    </cacheField>
    <cacheField name="Devengo 19 Febrero" numFmtId="43">
      <sharedItems containsString="0" containsBlank="1" containsNumber="1" minValue="0" maxValue="64055.03"/>
    </cacheField>
    <cacheField name="Certificado 19 Febrero" numFmtId="43">
      <sharedItems containsString="0" containsBlank="1" containsNumber="1" minValue="0" maxValue="242000"/>
    </cacheField>
    <cacheField name="Compromiso 19 Febrero" numFmtId="43">
      <sharedItems containsString="0" containsBlank="1" containsNumber="1" minValue="0" maxValue="80266.28"/>
    </cacheField>
    <cacheField name="Devengo Total" numFmtId="43">
      <sharedItems containsSemiMixedTypes="0" containsString="0" containsNumber="1" minValue="0" maxValue="128110.06"/>
    </cacheField>
    <cacheField name="Certificado Total" numFmtId="43">
      <sharedItems containsSemiMixedTypes="0" containsString="0" containsNumber="1" minValue="0" maxValue="469600"/>
    </cacheField>
    <cacheField name="Compromiso Total" numFmtId="43">
      <sharedItems containsSemiMixedTypes="0" containsString="0" containsNumber="1" minValue="0" maxValue="160532.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01.01.001.002.530702.000.009"/>
    <s v="000"/>
    <n v="530702"/>
    <s v="Fondos Propios"/>
    <n v="300"/>
    <n v="0"/>
    <n v="0"/>
    <n v="0"/>
    <n v="0"/>
    <n v="300"/>
    <n v="0"/>
    <n v="0"/>
    <n v="0"/>
    <n v="0"/>
    <n v="0"/>
    <n v="0"/>
    <n v="0"/>
    <m/>
    <n v="300"/>
    <n v="0"/>
    <n v="0"/>
    <n v="0"/>
    <n v="0"/>
    <n v="30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almacenamiento NAS tipo torre"/>
    <s v="01.01.001.166.840107.000.009"/>
    <s v="000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10000"/>
    <n v="2"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Adquisición de central telefónica para Oficina Matriz Quito Turismo"/>
    <s v="01.01.001.178.840107.000.009"/>
    <s v="000"/>
    <s v="840107"/>
    <s v="Fondos Propios"/>
    <n v="0"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computadores portátiles"/>
    <s v="01.01.001.175.840107.000.009"/>
    <s v="000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del NAS y mantenimiento "/>
    <s v="01.01.001.008.530243.000.009"/>
    <s v="000"/>
    <n v="530243"/>
    <s v="Fondos Propios"/>
    <n v="3500"/>
    <n v="0"/>
    <n v="0"/>
    <n v="0"/>
    <n v="0"/>
    <n v="3500"/>
    <n v="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3500"/>
    <n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del NAS y mantenimiento "/>
    <s v="01.01.001.008.530704.000.009"/>
    <s v="000"/>
    <n v="530704"/>
    <s v="Fondos Propios"/>
    <n v="1000"/>
    <n v="0"/>
    <n v="0"/>
    <n v="0"/>
    <n v="0"/>
    <n v="0"/>
    <n v="1000"/>
    <n v="0"/>
    <n v="0"/>
    <n v="0"/>
    <n v="0"/>
    <n v="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1000"/>
    <n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243.000.009"/>
    <s v="000"/>
    <n v="530243"/>
    <s v="Fondos Propios"/>
    <n v="3500"/>
    <n v="0"/>
    <n v="0"/>
    <n v="0"/>
    <n v="0"/>
    <n v="0"/>
    <n v="350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4500"/>
    <n v="1"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404.000.009"/>
    <s v="000"/>
    <n v="530404"/>
    <s v="Fondos Propios"/>
    <n v="1500"/>
    <n v="0"/>
    <n v="0"/>
    <n v="0"/>
    <n v="0"/>
    <n v="0"/>
    <n v="1500"/>
    <n v="0"/>
    <n v="0"/>
    <n v="0"/>
    <n v="0"/>
    <n v="0"/>
    <n v="0"/>
    <n v="-15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herramientas y accesorios tecnológicos"/>
    <s v="01.01.001.004.531406.000.009"/>
    <s v="000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herramientas y accesorios tecnológicos"/>
    <s v="01.01.001.004.531407.000.009"/>
    <s v="000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840107.000.009"/>
    <s v="000"/>
    <s v="840107"/>
    <s v="Fondos Propios"/>
    <n v="0"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702.000.009"/>
    <s v="000"/>
    <s v="530702"/>
    <s v="Fondos Propios"/>
    <n v="0"/>
    <m/>
    <m/>
    <m/>
    <m/>
    <m/>
    <m/>
    <m/>
    <m/>
    <m/>
    <m/>
    <m/>
    <m/>
    <n v="34000"/>
    <n v="34000"/>
    <m/>
    <m/>
    <m/>
    <m/>
    <m/>
    <m/>
    <m/>
    <m/>
    <n v="34000"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402.000.009"/>
    <s v="000"/>
    <s v="530402"/>
    <s v="Fondos Propios"/>
    <n v="0"/>
    <m/>
    <m/>
    <m/>
    <m/>
    <m/>
    <m/>
    <m/>
    <m/>
    <m/>
    <m/>
    <m/>
    <m/>
    <n v="8000"/>
    <n v="8000"/>
    <m/>
    <m/>
    <m/>
    <m/>
    <m/>
    <m/>
    <m/>
    <m/>
    <n v="8000"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s v="Adquisición de Material POP"/>
    <s v="01.01.002.053.530207.000.009"/>
    <s v="000"/>
    <n v="530207"/>
    <s v="Fondos Propios"/>
    <n v="27795"/>
    <m/>
    <m/>
    <m/>
    <m/>
    <m/>
    <m/>
    <m/>
    <m/>
    <n v="27795"/>
    <m/>
    <m/>
    <m/>
    <m/>
    <n v="27795"/>
    <m/>
    <m/>
    <m/>
    <m/>
    <m/>
    <m/>
    <m/>
    <m/>
    <n v="27795"/>
    <m/>
    <m/>
    <m/>
    <m/>
    <n v="0"/>
    <n v="0"/>
    <n v="0"/>
    <n v="0"/>
    <e v="#N/A"/>
    <m/>
    <m/>
    <e v="#N/A"/>
    <n v="0"/>
    <n v="0"/>
    <n v="27795"/>
    <n v="1"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monitores"/>
    <s v="01.01.001.162.840107.000.009"/>
    <s v="000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partes, piezas y/o repuestos de impresoras"/>
    <s v="01.01.001.122.530813.000.009"/>
    <s v="000"/>
    <n v="530813"/>
    <s v="Fondos Propios"/>
    <n v="5000"/>
    <n v="0"/>
    <n v="0"/>
    <n v="0"/>
    <n v="0"/>
    <n v="0"/>
    <n v="0"/>
    <n v="0"/>
    <n v="5000"/>
    <n v="0"/>
    <n v="0"/>
    <n v="0"/>
    <n v="0"/>
    <n v="-5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5000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01.01.001.122.530813.001.009"/>
    <s v="001"/>
    <n v="530813"/>
    <s v="Fondos Propios"/>
    <n v="5000"/>
    <n v="0"/>
    <n v="0"/>
    <n v="0"/>
    <n v="0"/>
    <n v="0"/>
    <n v="0"/>
    <n v="0"/>
    <n v="5000"/>
    <n v="0"/>
    <n v="0"/>
    <n v="0"/>
    <n v="0"/>
    <n v="-2260"/>
    <n v="2740"/>
    <n v="0"/>
    <n v="0"/>
    <n v="0"/>
    <n v="0"/>
    <n v="0"/>
    <n v="0"/>
    <n v="0"/>
    <n v="2740"/>
    <n v="0"/>
    <n v="0"/>
    <n v="0"/>
    <n v="0"/>
    <m/>
    <n v="0"/>
    <n v="0"/>
    <n v="0"/>
    <n v="0"/>
    <m/>
    <m/>
    <m/>
    <n v="0"/>
    <n v="0"/>
    <n v="0"/>
    <n v="5000"/>
    <n v="2"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01.01.001.179.530813.000.009"/>
    <s v="000"/>
    <s v="530813"/>
    <s v="Fondos Propios"/>
    <n v="0"/>
    <m/>
    <m/>
    <m/>
    <m/>
    <m/>
    <m/>
    <m/>
    <m/>
    <m/>
    <m/>
    <m/>
    <m/>
    <n v="7060"/>
    <n v="7060"/>
    <m/>
    <m/>
    <n v="7060"/>
    <m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01.01.001.180.530704.000.009"/>
    <s v="000"/>
    <s v="530704"/>
    <s v="Fondos Propios"/>
    <n v="0"/>
    <m/>
    <m/>
    <m/>
    <m/>
    <m/>
    <m/>
    <m/>
    <m/>
    <m/>
    <m/>
    <m/>
    <m/>
    <n v="200"/>
    <n v="200"/>
    <m/>
    <m/>
    <m/>
    <m/>
    <m/>
    <m/>
    <m/>
    <m/>
    <m/>
    <m/>
    <n v="200"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PDU para rack autocontenido"/>
    <s v="01.01.001.163.840107.000.009"/>
    <s v="000"/>
    <n v="840107"/>
    <s v="Fondos Propios"/>
    <n v="3000"/>
    <n v="0"/>
    <n v="0"/>
    <n v="0"/>
    <n v="3000"/>
    <n v="0"/>
    <n v="0"/>
    <n v="0"/>
    <n v="0"/>
    <n v="0"/>
    <n v="0"/>
    <n v="0"/>
    <n v="0"/>
    <n v="-3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3000"/>
    <n v="2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repuestos y accesorios para vehículos de la EPMGDT"/>
    <s v="01.01.001.013.530813.000.009"/>
    <s v="000"/>
    <n v="530813"/>
    <s v="Fondos Propios"/>
    <n v="500"/>
    <n v="0"/>
    <n v="0"/>
    <n v="0"/>
    <n v="0"/>
    <n v="0"/>
    <n v="0"/>
    <n v="0"/>
    <n v="0"/>
    <n v="0"/>
    <n v="500"/>
    <n v="0"/>
    <n v="0"/>
    <n v="-5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500"/>
    <n v="1"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s v="01.01.001.014.530802.000.009"/>
    <s v="000"/>
    <n v="530802"/>
    <s v="Fondos Propios"/>
    <n v="676"/>
    <n v="0"/>
    <n v="0"/>
    <n v="0"/>
    <n v="0"/>
    <n v="0"/>
    <n v="0"/>
    <n v="0"/>
    <n v="0"/>
    <n v="0"/>
    <n v="676"/>
    <n v="0"/>
    <n v="0"/>
    <m/>
    <n v="676"/>
    <n v="0"/>
    <n v="0"/>
    <n v="0"/>
    <n v="0"/>
    <n v="0"/>
    <n v="0"/>
    <n v="0"/>
    <n v="0"/>
    <n v="0"/>
    <n v="676"/>
    <n v="0"/>
    <n v="0"/>
    <m/>
    <n v="0"/>
    <n v="0"/>
    <n v="0"/>
    <n v="0"/>
    <e v="#N/A"/>
    <m/>
    <m/>
    <e v="#N/A"/>
    <n v="0"/>
    <n v="0"/>
    <n v="676"/>
    <n v="3"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s v="01.01.001.016.530807.000.009"/>
    <s v="000"/>
    <n v="530807"/>
    <s v="Fondos Propios"/>
    <n v="20000"/>
    <n v="0"/>
    <n v="0"/>
    <n v="0"/>
    <n v="0"/>
    <n v="0"/>
    <n v="0"/>
    <n v="0"/>
    <n v="20000"/>
    <n v="0"/>
    <n v="0"/>
    <n v="0"/>
    <n v="0"/>
    <n v="-1188"/>
    <n v="18812"/>
    <n v="0"/>
    <n v="0"/>
    <n v="0"/>
    <n v="0"/>
    <n v="18812"/>
    <n v="0"/>
    <n v="0"/>
    <m/>
    <n v="0"/>
    <n v="0"/>
    <n v="0"/>
    <n v="0"/>
    <m/>
    <n v="0"/>
    <n v="0"/>
    <n v="0"/>
    <n v="0"/>
    <e v="#N/A"/>
    <m/>
    <m/>
    <e v="#N/A"/>
    <n v="0"/>
    <n v="0"/>
    <n v="20000"/>
    <n v="2"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s v="01.01.001.188.530807.000.009"/>
    <s v="000"/>
    <s v="530807"/>
    <s v="Fondos Propios"/>
    <n v="0"/>
    <m/>
    <m/>
    <m/>
    <m/>
    <m/>
    <m/>
    <m/>
    <m/>
    <m/>
    <m/>
    <m/>
    <m/>
    <n v="1188"/>
    <n v="1188"/>
    <m/>
    <m/>
    <n v="1188"/>
    <m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5-2026"/>
    <s v="01.01.001.073.530701.000.009"/>
    <s v="000"/>
    <n v="530701"/>
    <s v="Fondos Propios"/>
    <n v="7000"/>
    <n v="0"/>
    <n v="0"/>
    <n v="7000"/>
    <n v="0"/>
    <n v="0"/>
    <n v="0"/>
    <n v="0"/>
    <n v="0"/>
    <n v="0"/>
    <n v="0"/>
    <n v="0"/>
    <n v="0"/>
    <n v="-7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5-2026"/>
    <s v="01.01.001.073.530702.000.009"/>
    <s v="000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5-2026"/>
    <s v="01.01.001.073.840107.000.009"/>
    <s v="000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6 - 2027"/>
    <s v="01.01.001.164.530702.000.009"/>
    <s v="000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30000"/>
    <n v="2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6 - 2027"/>
    <s v="01.01.001.164.840107.000.009"/>
    <s v="000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8492.18"/>
    <n v="2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Adquisición de UPS "/>
    <s v="01.01.001.165.840107.000.009"/>
    <s v="000"/>
    <n v="840107"/>
    <s v="Fondos Propios"/>
    <n v="17000"/>
    <n v="0"/>
    <n v="0"/>
    <n v="0"/>
    <n v="0"/>
    <n v="0"/>
    <n v="0"/>
    <n v="17000"/>
    <n v="0"/>
    <n v="0"/>
    <n v="0"/>
    <n v="0"/>
    <n v="0"/>
    <m/>
    <n v="17000"/>
    <n v="0"/>
    <n v="0"/>
    <n v="0"/>
    <n v="0"/>
    <n v="0"/>
    <n v="0"/>
    <n v="17000"/>
    <n v="0"/>
    <n v="0"/>
    <n v="0"/>
    <n v="0"/>
    <n v="0"/>
    <m/>
    <n v="0"/>
    <n v="0"/>
    <n v="0"/>
    <n v="0"/>
    <e v="#N/A"/>
    <m/>
    <m/>
    <e v="#N/A"/>
    <n v="0"/>
    <n v="0"/>
    <n v="17000"/>
    <n v="1"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suministros de oficina para la EPMGDT"/>
    <s v="01.01.001.021.530807.000.009"/>
    <s v="000"/>
    <n v="530804"/>
    <s v="Fondos Propios"/>
    <n v="10000"/>
    <n v="0"/>
    <n v="0"/>
    <n v="0"/>
    <n v="0"/>
    <n v="0"/>
    <n v="0"/>
    <n v="0"/>
    <n v="0"/>
    <n v="0"/>
    <n v="10000"/>
    <n v="0"/>
    <n v="0"/>
    <m/>
    <n v="10000"/>
    <n v="0"/>
    <n v="0"/>
    <n v="0"/>
    <n v="0"/>
    <n v="0"/>
    <n v="0"/>
    <n v="0"/>
    <n v="0"/>
    <n v="0"/>
    <n v="10000"/>
    <n v="0"/>
    <n v="0"/>
    <m/>
    <n v="0"/>
    <n v="0"/>
    <n v="0"/>
    <n v="0"/>
    <e v="#N/A"/>
    <m/>
    <m/>
    <e v="#N/A"/>
    <n v="0"/>
    <n v="0"/>
    <n v="10000"/>
    <n v="3"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s v="01.01.001.126.530210.000.009"/>
    <s v="000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n v="7800"/>
    <n v="650"/>
    <n v="650"/>
    <n v="650"/>
    <n v="650"/>
    <n v="650"/>
    <n v="650"/>
    <n v="650"/>
    <n v="650"/>
    <n v="650"/>
    <n v="650"/>
    <n v="650"/>
    <n v="650"/>
    <m/>
    <n v="0"/>
    <n v="431.16"/>
    <n v="7368.84"/>
    <n v="431.16"/>
    <e v="#N/A"/>
    <m/>
    <m/>
    <e v="#N/A"/>
    <n v="7368.84"/>
    <n v="431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106.000.009"/>
    <s v="000"/>
    <n v="530106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204.000.009"/>
    <s v="000"/>
    <n v="530204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502.000.009"/>
    <s v="000"/>
    <n v="530502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1.000.009"/>
    <s v="000"/>
    <n v="530801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4.000.009"/>
    <s v="000"/>
    <n v="530804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5.000.009"/>
    <s v="000"/>
    <n v="530805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22.000.009"/>
    <s v="000"/>
    <n v="530822"/>
    <s v="Fondos Propios"/>
    <n v="514.77"/>
    <n v="0"/>
    <n v="0"/>
    <n v="0"/>
    <n v="0"/>
    <n v="0"/>
    <n v="0"/>
    <n v="0"/>
    <n v="0"/>
    <n v="0"/>
    <n v="0"/>
    <n v="0"/>
    <n v="514.77"/>
    <m/>
    <n v="514.77"/>
    <n v="0"/>
    <n v="0"/>
    <n v="0"/>
    <n v="0"/>
    <n v="0"/>
    <n v="0"/>
    <n v="0"/>
    <n v="0"/>
    <n v="0"/>
    <n v="0"/>
    <n v="0"/>
    <n v="514.77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1601.000.009"/>
    <s v="000"/>
    <s v="531601"/>
    <s v="Fondos Propios"/>
    <n v="0"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204.000.009"/>
    <s v="000"/>
    <n v="530204"/>
    <s v="Fondos Propios"/>
    <n v="300"/>
    <n v="0"/>
    <n v="0"/>
    <n v="0"/>
    <n v="0"/>
    <n v="0"/>
    <n v="0"/>
    <n v="0"/>
    <n v="0"/>
    <n v="0"/>
    <n v="0"/>
    <n v="0"/>
    <n v="300"/>
    <m/>
    <n v="300"/>
    <n v="0"/>
    <n v="0"/>
    <n v="0"/>
    <n v="0"/>
    <n v="0"/>
    <n v="0"/>
    <n v="0"/>
    <n v="0"/>
    <n v="0"/>
    <n v="0"/>
    <n v="0"/>
    <n v="3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405.000.009"/>
    <s v="000"/>
    <n v="530405"/>
    <s v="Fondos Propios"/>
    <n v="100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04.000.009"/>
    <s v="000"/>
    <n v="530804"/>
    <s v="Fondos Propios"/>
    <n v="50"/>
    <n v="0"/>
    <n v="0"/>
    <n v="0"/>
    <n v="0"/>
    <n v="0"/>
    <n v="0"/>
    <n v="0"/>
    <n v="0"/>
    <n v="0"/>
    <n v="0"/>
    <n v="0"/>
    <n v="50"/>
    <m/>
    <n v="50"/>
    <n v="0"/>
    <n v="0"/>
    <n v="0"/>
    <n v="0"/>
    <n v="0"/>
    <n v="0"/>
    <n v="0"/>
    <n v="0"/>
    <n v="0"/>
    <n v="0"/>
    <n v="0"/>
    <n v="5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05.000.009"/>
    <s v="000"/>
    <n v="530805"/>
    <s v="Fondos Propios"/>
    <n v="200"/>
    <n v="0"/>
    <n v="0"/>
    <n v="0"/>
    <n v="0"/>
    <n v="0"/>
    <n v="0"/>
    <n v="0"/>
    <n v="0"/>
    <n v="0"/>
    <n v="0"/>
    <n v="200"/>
    <n v="0"/>
    <m/>
    <n v="200"/>
    <n v="0"/>
    <n v="0"/>
    <n v="0"/>
    <n v="0"/>
    <n v="0"/>
    <n v="0"/>
    <n v="0"/>
    <n v="0"/>
    <n v="0"/>
    <n v="0"/>
    <n v="0"/>
    <n v="2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11.000.009"/>
    <s v="000"/>
    <n v="530811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13.000.009"/>
    <s v="000"/>
    <n v="530813"/>
    <s v="Fondos Propios"/>
    <n v="800"/>
    <n v="0"/>
    <n v="0"/>
    <n v="0"/>
    <n v="0"/>
    <n v="0"/>
    <n v="0"/>
    <n v="0"/>
    <n v="0"/>
    <n v="0"/>
    <n v="800"/>
    <n v="0"/>
    <n v="0"/>
    <m/>
    <n v="800"/>
    <n v="0"/>
    <n v="0"/>
    <n v="0"/>
    <n v="0"/>
    <n v="0"/>
    <n v="0"/>
    <n v="0"/>
    <n v="0"/>
    <n v="0"/>
    <n v="0"/>
    <n v="0"/>
    <n v="8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1601.000.009"/>
    <s v="000"/>
    <s v="531601"/>
    <s v="Fondos Propios"/>
    <n v="0"/>
    <m/>
    <m/>
    <m/>
    <m/>
    <m/>
    <m/>
    <m/>
    <m/>
    <m/>
    <m/>
    <m/>
    <m/>
    <n v="400"/>
    <n v="400"/>
    <m/>
    <m/>
    <m/>
    <m/>
    <m/>
    <m/>
    <m/>
    <m/>
    <m/>
    <m/>
    <m/>
    <n v="4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contratación directa servicio de auditoría externa para los estados financieros del periodo cerrado al 31 de diciembre de 2025"/>
    <s v="01.01.001.080.530602.000.009"/>
    <s v="000"/>
    <n v="530602"/>
    <s v="Fondos Propios"/>
    <n v="6600"/>
    <n v="0"/>
    <n v="0"/>
    <n v="0"/>
    <n v="0"/>
    <n v="6600"/>
    <n v="0"/>
    <n v="0"/>
    <n v="0"/>
    <n v="0"/>
    <n v="0"/>
    <n v="0"/>
    <n v="0"/>
    <m/>
    <n v="6600"/>
    <n v="0"/>
    <n v="0"/>
    <n v="0"/>
    <n v="0"/>
    <n v="6600"/>
    <n v="0"/>
    <n v="0"/>
    <n v="0"/>
    <n v="0"/>
    <n v="0"/>
    <n v="0"/>
    <n v="0"/>
    <m/>
    <n v="0"/>
    <n v="0"/>
    <n v="0"/>
    <n v="0"/>
    <e v="#N/A"/>
    <m/>
    <m/>
    <e v="#N/A"/>
    <n v="0"/>
    <n v="0"/>
    <n v="6600"/>
    <n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sultoría para la verificación de recaudación de Tasa de Facilidades y Servicios Turísticos 2025."/>
    <s v="01.01.001.156.530601.000.009"/>
    <s v="000"/>
    <n v="530601"/>
    <s v="Fondos Propios"/>
    <n v="14400"/>
    <m/>
    <m/>
    <m/>
    <m/>
    <m/>
    <m/>
    <n v="14400"/>
    <m/>
    <m/>
    <m/>
    <m/>
    <m/>
    <m/>
    <n v="14400"/>
    <m/>
    <m/>
    <m/>
    <m/>
    <m/>
    <m/>
    <n v="14400"/>
    <m/>
    <m/>
    <m/>
    <m/>
    <m/>
    <m/>
    <n v="0"/>
    <n v="0"/>
    <n v="0"/>
    <n v="0"/>
    <e v="#N/A"/>
    <m/>
    <m/>
    <e v="#N/A"/>
    <n v="0"/>
    <n v="0"/>
    <n v="14400"/>
    <n v="1"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e v="#NUM!"/>
    <e v="#NUM!"/>
    <m/>
    <m/>
    <m/>
    <m/>
    <m/>
    <m/>
    <m/>
    <m/>
    <m/>
    <m/>
    <m/>
    <m/>
    <s v="Contratación de empresa verificadora"/>
    <s v="01.01.002.051.630601.000.009"/>
    <s v="000"/>
    <n v="630601"/>
    <s v="Fondos Propios"/>
    <n v="117500"/>
    <m/>
    <m/>
    <m/>
    <m/>
    <m/>
    <m/>
    <n v="117500"/>
    <m/>
    <m/>
    <m/>
    <m/>
    <m/>
    <n v="-117500"/>
    <n v="0"/>
    <m/>
    <m/>
    <m/>
    <m/>
    <m/>
    <m/>
    <m/>
    <m/>
    <m/>
    <m/>
    <m/>
    <m/>
    <m/>
    <n v="0"/>
    <n v="0"/>
    <n v="0"/>
    <n v="0"/>
    <e v="#N/A"/>
    <m/>
    <m/>
    <e v="#N/A"/>
    <n v="0"/>
    <n v="0"/>
    <n v="117500"/>
    <n v="2"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 los servicios profesionales de un ingeniero civil"/>
    <s v="01.01.001.135.530606.000.009"/>
    <s v="000"/>
    <n v="530606"/>
    <s v="Fondos Propios"/>
    <n v="14400"/>
    <n v="1800"/>
    <n v="1800"/>
    <n v="1800"/>
    <n v="1800"/>
    <n v="1800"/>
    <n v="1800"/>
    <n v="1800"/>
    <n v="1800"/>
    <m/>
    <m/>
    <m/>
    <m/>
    <n v="1600"/>
    <n v="16000"/>
    <m/>
    <m/>
    <m/>
    <m/>
    <m/>
    <m/>
    <m/>
    <m/>
    <n v="16000"/>
    <m/>
    <m/>
    <m/>
    <m/>
    <n v="0"/>
    <n v="0"/>
    <n v="14400"/>
    <n v="0"/>
    <e v="#N/A"/>
    <m/>
    <m/>
    <e v="#N/A"/>
    <n v="14400"/>
    <n v="0"/>
    <m/>
    <m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s v="01.01.001.026.570201.000.009"/>
    <s v="000"/>
    <n v="570201"/>
    <s v="Fondos Propios"/>
    <n v="40000"/>
    <n v="0"/>
    <n v="0"/>
    <n v="0"/>
    <n v="40000"/>
    <n v="0"/>
    <n v="0"/>
    <n v="0"/>
    <n v="0"/>
    <n v="0"/>
    <n v="0"/>
    <n v="0"/>
    <n v="0"/>
    <n v="-150"/>
    <n v="39850"/>
    <n v="0"/>
    <n v="0"/>
    <n v="0"/>
    <n v="3985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40000"/>
    <n v="1"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4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m/>
    <m/>
    <m/>
    <n v="2500"/>
    <n v="2500"/>
    <n v="2500"/>
    <n v="2500"/>
    <n v="2500"/>
    <m/>
    <m/>
    <m/>
    <m/>
    <m/>
    <n v="0"/>
    <n v="0"/>
    <n v="12500"/>
    <n v="0"/>
    <e v="#N/A"/>
    <m/>
    <m/>
    <e v="#N/A"/>
    <n v="1250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801.000.009"/>
    <s v="000"/>
    <s v="530801"/>
    <s v="Fondos Propios"/>
    <n v="0"/>
    <m/>
    <m/>
    <m/>
    <m/>
    <m/>
    <m/>
    <m/>
    <m/>
    <m/>
    <m/>
    <m/>
    <m/>
    <n v="14500"/>
    <n v="14500"/>
    <m/>
    <m/>
    <m/>
    <n v="14500"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s v="01.01.001.027.530606.000.009"/>
    <s v="000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n v="13350"/>
    <m/>
    <n v="1150"/>
    <n v="1150"/>
    <n v="1150"/>
    <n v="1150"/>
    <n v="1150"/>
    <n v="1150"/>
    <n v="1150"/>
    <n v="1150"/>
    <n v="1150"/>
    <n v="1150"/>
    <n v="185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 Servicios Profesionales, Desarrollador de software"/>
    <s v="01.01.001.124.530606.000.009"/>
    <s v="000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n v="24000"/>
    <n v="2000"/>
    <n v="2000"/>
    <n v="2000"/>
    <n v="2000"/>
    <n v="2000"/>
    <n v="2000"/>
    <n v="2000"/>
    <n v="2000"/>
    <n v="2000"/>
    <n v="2000"/>
    <n v="2000"/>
    <n v="2000"/>
    <m/>
    <n v="0"/>
    <n v="0"/>
    <n v="5000"/>
    <n v="0"/>
    <e v="#N/A"/>
    <m/>
    <m/>
    <e v="#N/A"/>
    <n v="5000"/>
    <n v="0"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s v="01.01.001.028.530606.000.009"/>
    <s v="000"/>
    <n v="530606"/>
    <s v="Fondos Propios"/>
    <n v="450"/>
    <n v="0"/>
    <n v="0"/>
    <n v="0"/>
    <n v="0"/>
    <n v="0"/>
    <n v="0"/>
    <n v="0"/>
    <n v="0"/>
    <n v="0"/>
    <n v="0"/>
    <n v="0"/>
    <n v="450"/>
    <m/>
    <n v="450"/>
    <n v="0"/>
    <n v="0"/>
    <n v="0"/>
    <n v="0"/>
    <n v="0"/>
    <n v="0"/>
    <n v="0"/>
    <n v="0"/>
    <n v="0"/>
    <n v="0"/>
    <n v="0"/>
    <n v="450"/>
    <m/>
    <n v="0"/>
    <n v="0"/>
    <n v="0"/>
    <n v="397.5"/>
    <e v="#N/A"/>
    <m/>
    <m/>
    <e v="#N/A"/>
    <n v="0"/>
    <n v="397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s v="01.01.001.186.530606.000.009"/>
    <s v="000"/>
    <s v="530606"/>
    <s v="Fondos Propios"/>
    <n v="0"/>
    <m/>
    <m/>
    <m/>
    <m/>
    <m/>
    <m/>
    <m/>
    <m/>
    <m/>
    <m/>
    <m/>
    <m/>
    <n v="450"/>
    <n v="450"/>
    <m/>
    <m/>
    <m/>
    <m/>
    <m/>
    <m/>
    <m/>
    <m/>
    <m/>
    <m/>
    <m/>
    <n v="45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1.000.009"/>
    <s v="000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n v="1500"/>
    <n v="0"/>
    <n v="0"/>
    <n v="0"/>
    <n v="0"/>
    <n v="0"/>
    <n v="0"/>
    <n v="0"/>
    <n v="0"/>
    <n v="0"/>
    <n v="0"/>
    <n v="0"/>
    <n v="1500"/>
    <m/>
    <n v="0"/>
    <n v="0"/>
    <n v="0"/>
    <n v="0"/>
    <e v="#N/A"/>
    <m/>
    <m/>
    <e v="#N/A"/>
    <n v="0"/>
    <n v="0"/>
    <n v="3000"/>
    <n v="1"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2.000.009"/>
    <s v="000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69293.27"/>
    <n v="0"/>
    <n v="0"/>
    <n v="0"/>
    <n v="0"/>
    <n v="0"/>
    <n v="0"/>
    <n v="0"/>
    <n v="0"/>
    <n v="0"/>
    <n v="0"/>
    <n v="0"/>
    <n v="69293.27"/>
    <m/>
    <n v="0"/>
    <n v="0"/>
    <n v="6200"/>
    <n v="0"/>
    <e v="#N/A"/>
    <m/>
    <m/>
    <e v="#N/A"/>
    <n v="6200"/>
    <n v="0"/>
    <n v="60000"/>
    <n v="1"/>
    <s v="No"/>
    <s v="Licitación de Servicios"/>
    <s v="Común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s v="01.01.001.024.530502.000.009"/>
    <s v="000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0"/>
    <n v="18000"/>
    <n v="0"/>
    <e v="#N/A"/>
    <m/>
    <m/>
    <e v="#N/A"/>
    <n v="1800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s v="01.01.001.031.530209.000.009"/>
    <s v="000"/>
    <n v="530209"/>
    <s v="Fondos Propios"/>
    <n v="6600"/>
    <n v="0"/>
    <n v="0"/>
    <n v="0"/>
    <n v="0"/>
    <n v="0"/>
    <n v="0"/>
    <n v="0"/>
    <n v="0"/>
    <n v="0"/>
    <n v="6600"/>
    <n v="0"/>
    <n v="0"/>
    <n v="-5000"/>
    <n v="1600"/>
    <n v="0"/>
    <n v="0"/>
    <n v="0"/>
    <n v="0"/>
    <n v="0"/>
    <n v="0"/>
    <n v="0"/>
    <n v="0"/>
    <n v="0"/>
    <n v="1600"/>
    <n v="0"/>
    <n v="0"/>
    <m/>
    <n v="0"/>
    <n v="0"/>
    <n v="0"/>
    <n v="0"/>
    <e v="#N/A"/>
    <m/>
    <m/>
    <e v="#N/A"/>
    <n v="0"/>
    <n v="0"/>
    <n v="6600"/>
    <n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tratación del servicio de inspección, identificación y funcionamiento de los circuitos de los tableros eléctricos de la EPMGDT"/>
    <s v="01.01.001.033.530811.000.009"/>
    <s v="000"/>
    <n v="530811"/>
    <s v="Fondos Propios"/>
    <n v="15000"/>
    <n v="0"/>
    <n v="0"/>
    <n v="0"/>
    <n v="0"/>
    <n v="0"/>
    <n v="0"/>
    <n v="15000"/>
    <n v="0"/>
    <n v="0"/>
    <n v="0"/>
    <n v="0"/>
    <n v="0"/>
    <m/>
    <n v="15000"/>
    <n v="0"/>
    <n v="0"/>
    <n v="0"/>
    <n v="0"/>
    <n v="0"/>
    <n v="0"/>
    <n v="1500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Contratación del servicio de mantenimiento del mobiliario perteneciente a la EPMGDT"/>
    <s v="01.01.001.035.530403.000.009"/>
    <s v="000"/>
    <n v="530403"/>
    <s v="Fondos Propios"/>
    <n v="6600"/>
    <n v="0"/>
    <n v="0"/>
    <n v="0"/>
    <n v="0"/>
    <n v="0"/>
    <n v="0"/>
    <n v="0"/>
    <n v="0"/>
    <n v="0"/>
    <n v="0"/>
    <n v="6600"/>
    <n v="0"/>
    <n v="-66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6600"/>
    <n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Contratación del servicio de mantenimiento del sistema contraincendios de las instalaciones de la EPMGDT"/>
    <s v="01.01.001.036.530404.000.009"/>
    <s v="000"/>
    <n v="530404"/>
    <s v="Fondos Propios"/>
    <n v="6600"/>
    <n v="0"/>
    <n v="0"/>
    <n v="0"/>
    <n v="0"/>
    <n v="0"/>
    <n v="0"/>
    <n v="0"/>
    <n v="0"/>
    <n v="0"/>
    <n v="0"/>
    <n v="6600"/>
    <n v="0"/>
    <m/>
    <n v="6600"/>
    <n v="0"/>
    <n v="0"/>
    <n v="0"/>
    <n v="0"/>
    <n v="0"/>
    <n v="0"/>
    <n v="0"/>
    <n v="0"/>
    <n v="0"/>
    <n v="0"/>
    <n v="660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de cisterna y bombas de agua de las instalaciones de la EPMGDT"/>
    <s v="01.01.001.037.530404.000.009"/>
    <s v="000"/>
    <n v="5304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s v="01.01.001.150.530404.000.009"/>
    <s v="000"/>
    <n v="530404"/>
    <s v="Fondos Propios"/>
    <n v="180"/>
    <n v="0"/>
    <n v="0"/>
    <n v="90"/>
    <n v="0"/>
    <n v="0"/>
    <n v="0"/>
    <n v="0"/>
    <n v="0"/>
    <n v="90"/>
    <n v="0"/>
    <n v="0"/>
    <n v="0"/>
    <n v="405.85"/>
    <n v="585.85"/>
    <n v="0"/>
    <n v="0"/>
    <n v="495.85"/>
    <n v="0"/>
    <n v="0"/>
    <n v="0"/>
    <n v="0"/>
    <n v="0"/>
    <n v="90"/>
    <n v="0"/>
    <n v="0"/>
    <n v="0"/>
    <m/>
    <n v="0"/>
    <n v="0"/>
    <n v="0"/>
    <n v="0"/>
    <e v="#N/A"/>
    <m/>
    <m/>
    <e v="#N/A"/>
    <n v="0"/>
    <n v="0"/>
    <n v="180"/>
    <n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840104.000.009"/>
    <s v="000"/>
    <s v="840104"/>
    <s v="Fondos Propios"/>
    <n v="0"/>
    <m/>
    <m/>
    <m/>
    <m/>
    <m/>
    <m/>
    <m/>
    <m/>
    <m/>
    <m/>
    <m/>
    <m/>
    <n v="230.84"/>
    <n v="230.84"/>
    <m/>
    <m/>
    <n v="230.84"/>
    <m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531407.000.009"/>
    <s v="000"/>
    <s v="531407"/>
    <s v="Fondos Propios"/>
    <n v="0"/>
    <m/>
    <m/>
    <m/>
    <m/>
    <m/>
    <m/>
    <m/>
    <m/>
    <m/>
    <m/>
    <m/>
    <m/>
    <n v="270.04000000000002"/>
    <n v="270.04000000000002"/>
    <m/>
    <m/>
    <n v="270.04000000000002"/>
    <m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s v="01.01.001.039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  <n v="0"/>
    <n v="0"/>
    <n v="0"/>
    <e v="#N/A"/>
    <m/>
    <m/>
    <e v="#N/A"/>
    <n v="0"/>
    <n v="0"/>
    <n v="1000"/>
    <n v="1"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s v="01.01.001.040.530203.000.009"/>
    <s v="000"/>
    <n v="530203"/>
    <s v="Fondos Propios"/>
    <n v="500"/>
    <n v="0"/>
    <n v="0"/>
    <n v="0"/>
    <n v="0"/>
    <n v="0"/>
    <n v="0"/>
    <n v="0"/>
    <n v="0"/>
    <n v="500"/>
    <n v="0"/>
    <n v="0"/>
    <n v="0"/>
    <m/>
    <n v="500"/>
    <n v="0"/>
    <n v="0"/>
    <n v="0"/>
    <n v="0"/>
    <n v="0"/>
    <n v="0"/>
    <n v="0"/>
    <n v="0"/>
    <n v="50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y correctivo del ascensor de las instalaciones de la EPMGDT"/>
    <s v="01.01.001.041.530404.000.009"/>
    <s v="000"/>
    <n v="530404"/>
    <s v="Fondos Propios"/>
    <n v="6000"/>
    <n v="0"/>
    <n v="0"/>
    <n v="0"/>
    <n v="0"/>
    <n v="0"/>
    <n v="0"/>
    <n v="0"/>
    <n v="0"/>
    <n v="0"/>
    <n v="6000"/>
    <n v="0"/>
    <n v="0"/>
    <m/>
    <n v="6000"/>
    <n v="0"/>
    <n v="0"/>
    <n v="0"/>
    <n v="0"/>
    <n v="0"/>
    <n v="0"/>
    <n v="0"/>
    <n v="0"/>
    <n v="0"/>
    <n v="6000"/>
    <n v="0"/>
    <n v="0"/>
    <m/>
    <n v="0"/>
    <n v="0"/>
    <n v="0"/>
    <n v="0"/>
    <e v="#N/A"/>
    <m/>
    <m/>
    <e v="#N/A"/>
    <n v="0"/>
    <n v="0"/>
    <n v="6000"/>
    <n v="1"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y correctivo del sistema de aire acondicionado para las instalaciones de la EPMGDT"/>
    <s v="01.01.001.043.530404.000.009"/>
    <s v="000"/>
    <n v="530404"/>
    <s v="Fondos Propios"/>
    <n v="6600"/>
    <n v="0"/>
    <n v="0"/>
    <n v="0"/>
    <n v="0"/>
    <n v="0"/>
    <n v="0"/>
    <n v="0"/>
    <n v="0"/>
    <n v="0"/>
    <n v="6600"/>
    <n v="0"/>
    <n v="0"/>
    <m/>
    <n v="6600"/>
    <n v="0"/>
    <n v="0"/>
    <n v="0"/>
    <n v="0"/>
    <n v="0"/>
    <n v="0"/>
    <n v="0"/>
    <n v="0"/>
    <n v="0"/>
    <n v="660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tratación del servicio de mantenimiento preventivo y correctivo del transformador de las instalaciones de la EPMGDT"/>
    <s v="01.01.001.044.530404.000.009"/>
    <s v="000"/>
    <n v="530404"/>
    <s v="Fondos Propios"/>
    <n v="1000"/>
    <n v="0"/>
    <n v="0"/>
    <n v="0"/>
    <n v="0"/>
    <n v="0"/>
    <n v="0"/>
    <n v="1000"/>
    <n v="0"/>
    <n v="0"/>
    <n v="0"/>
    <n v="0"/>
    <n v="0"/>
    <m/>
    <n v="1000"/>
    <n v="0"/>
    <n v="0"/>
    <n v="0"/>
    <n v="0"/>
    <n v="0"/>
    <n v="0"/>
    <n v="100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s v="01.01.001.045.530405.000.009"/>
    <s v="000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n v="10000"/>
    <n v="0"/>
    <n v="0"/>
    <n v="1000"/>
    <n v="1000"/>
    <n v="1000"/>
    <n v="1000"/>
    <n v="1000"/>
    <n v="1000"/>
    <n v="1000"/>
    <n v="1000"/>
    <n v="1000"/>
    <n v="1000"/>
    <m/>
    <n v="0"/>
    <n v="0"/>
    <n v="0"/>
    <n v="0"/>
    <e v="#N/A"/>
    <m/>
    <m/>
    <e v="#N/A"/>
    <n v="0"/>
    <n v="0"/>
    <n v="12500"/>
    <n v="1"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s v="01.01.001.046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s v="01.01.001.047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  <n v="0"/>
    <n v="0"/>
    <n v="0"/>
    <e v="#N/A"/>
    <m/>
    <m/>
    <e v="#N/A"/>
    <n v="0"/>
    <n v="0"/>
    <n v="2500"/>
    <n v="1"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5.630207.000.009"/>
    <s v="000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84951.1"/>
    <m/>
    <n v="4000"/>
    <n v="4000"/>
    <n v="4000"/>
    <n v="4000"/>
    <n v="12000"/>
    <n v="12000"/>
    <n v="12000"/>
    <n v="6000"/>
    <n v="6000"/>
    <n v="10475.549999999999"/>
    <n v="5790.73"/>
    <n v="4684.82"/>
    <n v="0"/>
    <n v="0"/>
    <n v="0"/>
    <n v="80266.28"/>
    <e v="#N/A"/>
    <m/>
    <m/>
    <e v="#N/A"/>
    <n v="0"/>
    <n v="80266.28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1"/>
    <d v="2026-02-01T00:00:00"/>
    <d v="2026-09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20.630207.000.009"/>
    <s v="000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84951.1"/>
    <n v="0"/>
    <n v="10000"/>
    <n v="10000"/>
    <n v="10000"/>
    <n v="10000"/>
    <n v="15000"/>
    <n v="15000"/>
    <n v="10000"/>
    <n v="266.27999999999997"/>
    <n v="0"/>
    <n v="0"/>
    <n v="0"/>
    <n v="4684.82"/>
    <n v="0"/>
    <n v="0"/>
    <n v="0"/>
    <n v="80266.28"/>
    <e v="#N/A"/>
    <m/>
    <m/>
    <e v="#N/A"/>
    <n v="0"/>
    <n v="80266.28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0.009"/>
    <s v="000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n v="0"/>
    <n v="0"/>
    <n v="0"/>
    <n v="0"/>
    <n v="0"/>
    <n v="0"/>
    <n v="0"/>
    <n v="0"/>
    <n v="0"/>
    <n v="0"/>
    <n v="0"/>
    <n v="0"/>
    <m/>
    <m/>
    <n v="0"/>
    <n v="0"/>
    <n v="0"/>
    <n v="0"/>
    <e v="#N/A"/>
    <m/>
    <m/>
    <e v="#N/A"/>
    <n v="0"/>
    <n v="0"/>
    <n v="175000"/>
    <n v="2"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4.630207.000.009"/>
    <s v="000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25485.23"/>
    <n v="0"/>
    <n v="0"/>
    <n v="0"/>
    <n v="0"/>
    <n v="0"/>
    <n v="24079.9"/>
    <n v="0"/>
    <n v="0"/>
    <n v="0"/>
    <n v="0"/>
    <n v="0"/>
    <n v="0"/>
    <n v="1405.33"/>
    <n v="0"/>
    <n v="0"/>
    <n v="0"/>
    <n v="24079.9"/>
    <e v="#N/A"/>
    <m/>
    <m/>
    <e v="#N/A"/>
    <n v="0"/>
    <n v="24079.9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1.009"/>
    <s v="001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n v="0"/>
    <n v="0"/>
    <n v="0"/>
    <n v="0"/>
    <n v="0"/>
    <n v="0"/>
    <n v="0"/>
    <m/>
    <m/>
    <n v="0"/>
    <n v="0"/>
    <n v="0"/>
    <n v="0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s v="01.01.001.049.580101.000.009"/>
    <s v="000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0"/>
    <n v="0"/>
    <n v="20361"/>
    <e v="#N/A"/>
    <m/>
    <m/>
    <e v="#N/A"/>
    <n v="0"/>
    <n v="203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s v="01.01.001.191.530606.000.009"/>
    <s v="000"/>
    <s v="530606"/>
    <s v="Fondos Propios"/>
    <n v="0"/>
    <m/>
    <m/>
    <m/>
    <m/>
    <m/>
    <m/>
    <m/>
    <m/>
    <m/>
    <m/>
    <m/>
    <m/>
    <n v="1100"/>
    <n v="1100"/>
    <m/>
    <n v="1100"/>
    <m/>
    <m/>
    <m/>
    <m/>
    <m/>
    <m/>
    <m/>
    <m/>
    <m/>
    <m/>
    <m/>
    <n v="0"/>
    <n v="1100"/>
    <n v="0"/>
    <n v="1100"/>
    <e v="#N/A"/>
    <m/>
    <m/>
    <e v="#N/A"/>
    <n v="0"/>
    <n v="1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s v="01.01.001.190.530605.000.009"/>
    <s v="000"/>
    <s v="530605"/>
    <s v="Fondos Propios"/>
    <n v="0"/>
    <m/>
    <m/>
    <m/>
    <m/>
    <m/>
    <m/>
    <m/>
    <m/>
    <m/>
    <m/>
    <m/>
    <m/>
    <n v="2800"/>
    <n v="2800"/>
    <m/>
    <m/>
    <n v="2800"/>
    <m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Evaluación y preparación para la certificación de la seguridad de la información de un servicio de Quito Turismo "/>
    <s v="01.01.001.167.530601.000.009"/>
    <s v="000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10000"/>
    <n v="2"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s v="01.01.002.003.670204.000.009"/>
    <s v="000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0"/>
    <n v="0"/>
    <n v="3000"/>
    <e v="#N/A"/>
    <m/>
    <m/>
    <e v="#N/A"/>
    <n v="0"/>
    <n v="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s v="01.01.003.001.510306.000.009"/>
    <s v="000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280.8"/>
    <n v="0"/>
    <n v="280.8"/>
    <e v="#N/A"/>
    <m/>
    <m/>
    <e v="#N/A"/>
    <n v="0"/>
    <n v="28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s v="01.01.003.002.510601.000.009"/>
    <s v="000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0"/>
    <n v="16359.85"/>
    <n v="5811.77"/>
    <n v="16359.85"/>
    <e v="#N/A"/>
    <m/>
    <m/>
    <e v="#N/A"/>
    <n v="5811.77"/>
    <n v="16359.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e v="#NUM!"/>
    <e v="#NUM!"/>
    <m/>
    <m/>
    <m/>
    <m/>
    <m/>
    <m/>
    <m/>
    <m/>
    <m/>
    <m/>
    <m/>
    <m/>
    <s v="Generar la nómina de la EPMGDT (Compensación por Desahucio)"/>
    <s v="01.01.003.015.510704.000.009"/>
    <s v="000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n v="0"/>
    <m/>
    <m/>
    <m/>
    <m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s v="01.01.003.003.510304.000.009"/>
    <s v="000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n v="522"/>
    <n v="43.5"/>
    <n v="43.5"/>
    <n v="43.5"/>
    <n v="43.5"/>
    <n v="43.5"/>
    <n v="43.5"/>
    <n v="43.5"/>
    <n v="43.5"/>
    <n v="43.5"/>
    <n v="43.5"/>
    <n v="43.5"/>
    <n v="43.5"/>
    <m/>
    <n v="0"/>
    <n v="39"/>
    <n v="0"/>
    <n v="39"/>
    <e v="#N/A"/>
    <m/>
    <m/>
    <e v="#N/A"/>
    <n v="0"/>
    <n v="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1.01.003.004.510707.000.009"/>
    <s v="000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19105.119999999988"/>
    <n v="1592.09"/>
    <n v="1592.09"/>
    <n v="1592.09"/>
    <n v="1592.09"/>
    <n v="1592.09"/>
    <n v="1592.09"/>
    <n v="1592.09"/>
    <n v="1592.09"/>
    <n v="1592.09"/>
    <n v="1592.09"/>
    <n v="1592.09"/>
    <n v="1592.13"/>
    <m/>
    <n v="0"/>
    <n v="2166.06"/>
    <n v="0"/>
    <n v="2166.06"/>
    <e v="#N/A"/>
    <m/>
    <m/>
    <e v="#N/A"/>
    <n v="0"/>
    <n v="2166.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s v="01.01.003.005.510204.000.009"/>
    <s v="000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44160"/>
    <n v="3680"/>
    <n v="3680"/>
    <n v="3680"/>
    <n v="3680"/>
    <n v="3680"/>
    <n v="3680"/>
    <n v="3680"/>
    <n v="3680"/>
    <n v="3680"/>
    <n v="3680"/>
    <n v="3680"/>
    <n v="3680"/>
    <m/>
    <n v="0"/>
    <n v="870.69"/>
    <n v="1792.76"/>
    <n v="870.69"/>
    <e v="#N/A"/>
    <m/>
    <m/>
    <e v="#N/A"/>
    <n v="1792.76"/>
    <n v="870.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s v="01.01.003.006.510203.000.009"/>
    <s v="000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0"/>
    <n v="3362.72"/>
    <n v="4157.21"/>
    <n v="3362.72"/>
    <e v="#N/A"/>
    <m/>
    <m/>
    <e v="#N/A"/>
    <n v="4157.21"/>
    <n v="3362.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s v="01.01.003.007.510513.000.009"/>
    <s v="000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870.5"/>
    <n v="8896.1299999999992"/>
    <n v="1870.5"/>
    <e v="#N/A"/>
    <m/>
    <m/>
    <e v="#N/A"/>
    <n v="8896.1299999999992"/>
    <n v="187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s v="01.01.003.008.510602.000.009"/>
    <s v="000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104374.34999999999"/>
    <n v="8697.86"/>
    <n v="8697.86"/>
    <n v="8697.86"/>
    <n v="8697.86"/>
    <n v="8697.86"/>
    <n v="8697.86"/>
    <n v="8697.86"/>
    <n v="8697.86"/>
    <n v="8697.86"/>
    <n v="8697.86"/>
    <n v="8697.86"/>
    <n v="8697.89"/>
    <m/>
    <n v="0"/>
    <n v="8564.68"/>
    <n v="865.71"/>
    <n v="8564.68"/>
    <e v="#N/A"/>
    <m/>
    <m/>
    <e v="#N/A"/>
    <n v="865.71"/>
    <n v="8564.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s v="01.01.003.009.510509.000.009"/>
    <s v="000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0"/>
    <n v="13115.94"/>
    <n v="35580.730000000003"/>
    <n v="13115.94"/>
    <e v="#N/A"/>
    <m/>
    <m/>
    <e v="#N/A"/>
    <n v="35580.730000000003"/>
    <n v="13115.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s v="01.01.003.010.510105.000.009"/>
    <s v="000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809880"/>
    <n v="67490"/>
    <n v="67490"/>
    <n v="67490"/>
    <n v="67490"/>
    <n v="67490"/>
    <n v="67490"/>
    <n v="67490"/>
    <n v="67490"/>
    <n v="67490"/>
    <n v="67490"/>
    <n v="67490"/>
    <n v="67490"/>
    <m/>
    <n v="0"/>
    <n v="57356.66"/>
    <n v="45600"/>
    <n v="57356.66"/>
    <e v="#N/A"/>
    <m/>
    <m/>
    <e v="#N/A"/>
    <n v="45600"/>
    <n v="57356.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s v="01.01.003.011.510106.000.009"/>
    <s v="000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2888"/>
    <n v="0"/>
    <n v="2888"/>
    <e v="#N/A"/>
    <m/>
    <m/>
    <e v="#N/A"/>
    <n v="0"/>
    <n v="28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s v="01.01.003.012.510510.000.009"/>
    <s v="000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02420.54"/>
    <n v="66868.38"/>
    <n v="66868.38"/>
    <n v="66868.38"/>
    <n v="66868.38"/>
    <n v="66868.38"/>
    <n v="66868.38"/>
    <n v="66868.38"/>
    <n v="66868.38"/>
    <n v="66868.38"/>
    <n v="66868.38"/>
    <n v="66868.38"/>
    <n v="66868.36"/>
    <m/>
    <n v="0"/>
    <n v="64055.03"/>
    <n v="61464.71"/>
    <n v="64055.03"/>
    <e v="#N/A"/>
    <m/>
    <m/>
    <e v="#N/A"/>
    <n v="61464.71"/>
    <n v="64055.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s v="01.01.003.013.510512.000.009"/>
    <s v="000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186.6600000000001"/>
    <n v="9579.9699999999993"/>
    <n v="1186.6600000000001"/>
    <e v="#N/A"/>
    <m/>
    <m/>
    <e v="#N/A"/>
    <n v="9579.9699999999993"/>
    <n v="1186.66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s v="01.01.001.052.530404.000.009"/>
    <s v="000"/>
    <n v="530404"/>
    <s v="Fondos Propios"/>
    <n v="3000"/>
    <n v="0"/>
    <n v="0"/>
    <n v="0"/>
    <n v="0"/>
    <n v="0"/>
    <n v="0"/>
    <n v="1500"/>
    <n v="0"/>
    <n v="0"/>
    <n v="0"/>
    <n v="0"/>
    <n v="1500"/>
    <m/>
    <n v="3000"/>
    <n v="0"/>
    <n v="0"/>
    <n v="0"/>
    <n v="0"/>
    <n v="0"/>
    <n v="0"/>
    <n v="1500"/>
    <n v="0"/>
    <n v="0"/>
    <n v="0"/>
    <n v="0"/>
    <n v="1500"/>
    <m/>
    <n v="0"/>
    <n v="0"/>
    <n v="0"/>
    <n v="0"/>
    <e v="#N/A"/>
    <m/>
    <m/>
    <e v="#N/A"/>
    <n v="0"/>
    <n v="0"/>
    <n v="3000"/>
    <m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s v="01.01.002.057.530207.000.009"/>
    <s v="000"/>
    <s v="530207"/>
    <s v="Fondos Propios"/>
    <n v="0"/>
    <m/>
    <m/>
    <m/>
    <m/>
    <m/>
    <m/>
    <m/>
    <m/>
    <m/>
    <m/>
    <m/>
    <m/>
    <n v="50000"/>
    <n v="50000"/>
    <m/>
    <m/>
    <m/>
    <m/>
    <m/>
    <n v="50000"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s v="01.01.001.187.570201.000.009"/>
    <s v="000"/>
    <s v="570201"/>
    <s v="Fondos Propios"/>
    <n v="0"/>
    <m/>
    <m/>
    <m/>
    <m/>
    <m/>
    <m/>
    <m/>
    <m/>
    <m/>
    <m/>
    <m/>
    <m/>
    <n v="150"/>
    <n v="150"/>
    <m/>
    <m/>
    <m/>
    <m/>
    <m/>
    <m/>
    <m/>
    <m/>
    <m/>
    <m/>
    <m/>
    <n v="15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Mantenimiento de edificios de la EPMGDT (fase 2)"/>
    <s v="01.01.001.057.530402.000.009"/>
    <s v="000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102695.5"/>
    <n v="0"/>
    <n v="0"/>
    <n v="0"/>
    <n v="0"/>
    <n v="0"/>
    <n v="0"/>
    <n v="102695.5"/>
    <n v="0"/>
    <n v="0"/>
    <n v="0"/>
    <n v="0"/>
    <n v="0"/>
    <m/>
    <n v="0"/>
    <n v="0"/>
    <n v="0"/>
    <n v="0"/>
    <e v="#N/A"/>
    <m/>
    <m/>
    <e v="#N/A"/>
    <n v="0"/>
    <n v="0"/>
    <n v="329995.5"/>
    <n v="2"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01.01.001.168.530404.000.009"/>
    <s v="000"/>
    <n v="530404"/>
    <s v="Fondos Propios"/>
    <n v="2000"/>
    <n v="0"/>
    <n v="0"/>
    <n v="0"/>
    <n v="0"/>
    <n v="0"/>
    <n v="0"/>
    <n v="0"/>
    <n v="0"/>
    <n v="2000"/>
    <n v="0"/>
    <n v="0"/>
    <n v="0"/>
    <m/>
    <n v="2000"/>
    <n v="0"/>
    <n v="0"/>
    <n v="0"/>
    <n v="0"/>
    <n v="0"/>
    <n v="0"/>
    <n v="0"/>
    <n v="0"/>
    <n v="2000"/>
    <n v="0"/>
    <n v="0"/>
    <n v="0"/>
    <m/>
    <n v="0"/>
    <n v="0"/>
    <n v="0"/>
    <n v="0"/>
    <e v="#N/A"/>
    <m/>
    <m/>
    <e v="#N/A"/>
    <n v="0"/>
    <n v="0"/>
    <n v="2000"/>
    <n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de sistema contra incendios de la EPMDGT"/>
    <s v="01.01.001.151.530404.000.009"/>
    <s v="000"/>
    <n v="530404"/>
    <s v="Fondos Propios"/>
    <n v="40000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01.01.001.061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  <n v="0"/>
    <n v="0"/>
    <n v="0"/>
    <e v="#N/A"/>
    <m/>
    <m/>
    <e v="#N/A"/>
    <n v="0"/>
    <n v="0"/>
    <n v="10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01.01.001.177.530701.000.009"/>
    <s v="000"/>
    <s v="530701"/>
    <s v="Fondos Propios"/>
    <n v="0"/>
    <m/>
    <m/>
    <m/>
    <m/>
    <m/>
    <m/>
    <m/>
    <m/>
    <m/>
    <m/>
    <m/>
    <m/>
    <n v="60000"/>
    <n v="60000"/>
    <m/>
    <m/>
    <m/>
    <m/>
    <m/>
    <m/>
    <m/>
    <n v="60000"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del sistema hidrosanitario (fase 1)"/>
    <s v="01.01.001.152.530404.000.009"/>
    <s v="000"/>
    <n v="530404"/>
    <s v="Fondos Propios"/>
    <n v="74600"/>
    <n v="0"/>
    <n v="0"/>
    <n v="0"/>
    <n v="0"/>
    <n v="0"/>
    <n v="74600"/>
    <n v="0"/>
    <n v="0"/>
    <n v="0"/>
    <n v="0"/>
    <n v="0"/>
    <n v="0"/>
    <m/>
    <n v="74600"/>
    <n v="0"/>
    <n v="0"/>
    <n v="0"/>
    <n v="0"/>
    <n v="0"/>
    <n v="7460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01.01.001.058.530404.000.009"/>
    <s v="000"/>
    <n v="530404"/>
    <s v="Fondos Propios"/>
    <n v="3500"/>
    <n v="0"/>
    <n v="0"/>
    <n v="0"/>
    <n v="0"/>
    <n v="0"/>
    <n v="0"/>
    <n v="0"/>
    <n v="0"/>
    <n v="0"/>
    <n v="3500"/>
    <n v="0"/>
    <n v="0"/>
    <m/>
    <n v="3500"/>
    <n v="0"/>
    <n v="0"/>
    <n v="0"/>
    <n v="0"/>
    <n v="0"/>
    <n v="0"/>
    <n v="0"/>
    <n v="0"/>
    <n v="0"/>
    <n v="3500"/>
    <n v="0"/>
    <n v="0"/>
    <m/>
    <n v="0"/>
    <n v="0"/>
    <n v="0"/>
    <n v="0"/>
    <e v="#N/A"/>
    <m/>
    <m/>
    <e v="#N/A"/>
    <n v="0"/>
    <n v="0"/>
    <n v="3500"/>
    <n v="3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Mantenimiento preventivo de equipos interactivos multimedia y equipos electronicos para el registro de informacion estadistica"/>
    <s v="01.01.001.059.530404.000.009"/>
    <s v="000"/>
    <n v="530404"/>
    <s v="Fondos Propios"/>
    <n v="3000"/>
    <n v="0"/>
    <n v="0"/>
    <n v="0"/>
    <n v="0"/>
    <n v="0"/>
    <n v="0"/>
    <n v="0"/>
    <n v="0"/>
    <n v="0"/>
    <n v="3000"/>
    <n v="0"/>
    <n v="0"/>
    <n v="-3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3000"/>
    <n v="3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01.01.001.169.530404.000.009"/>
    <s v="000"/>
    <n v="530404"/>
    <s v="Fondos Propios"/>
    <n v="2000"/>
    <n v="0"/>
    <n v="0"/>
    <n v="0"/>
    <n v="2000"/>
    <n v="0"/>
    <n v="0"/>
    <n v="0"/>
    <n v="0"/>
    <n v="0"/>
    <n v="0"/>
    <n v="0"/>
    <n v="0"/>
    <m/>
    <n v="2000"/>
    <n v="0"/>
    <n v="0"/>
    <n v="0"/>
    <n v="200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2000"/>
    <n v="1"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01.01.001.184.530704.000.009"/>
    <s v="000"/>
    <s v="530704"/>
    <s v="Fondos Propios"/>
    <n v="0"/>
    <m/>
    <m/>
    <m/>
    <m/>
    <m/>
    <m/>
    <m/>
    <m/>
    <m/>
    <m/>
    <m/>
    <m/>
    <n v="3000"/>
    <n v="3000"/>
    <m/>
    <m/>
    <m/>
    <m/>
    <m/>
    <m/>
    <m/>
    <n v="3000"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terial de construcción"/>
    <s v="01.01.001.064.530811.000.009"/>
    <s v="000"/>
    <n v="530811"/>
    <s v="Fondos Propios"/>
    <n v="1000"/>
    <n v="0"/>
    <n v="0"/>
    <n v="0"/>
    <n v="0"/>
    <n v="0"/>
    <n v="0"/>
    <n v="0"/>
    <n v="0"/>
    <n v="0"/>
    <n v="0"/>
    <n v="1000"/>
    <n v="0"/>
    <m/>
    <n v="1000"/>
    <n v="0"/>
    <n v="0"/>
    <n v="0"/>
    <n v="0"/>
    <n v="0"/>
    <n v="0"/>
    <n v="0"/>
    <n v="0"/>
    <n v="0"/>
    <n v="0"/>
    <n v="1000"/>
    <n v="0"/>
    <m/>
    <n v="0"/>
    <n v="0"/>
    <n v="0"/>
    <n v="0"/>
    <e v="#N/A"/>
    <m/>
    <m/>
    <e v="#N/A"/>
    <n v="0"/>
    <n v="0"/>
    <n v="1000"/>
    <n v="2"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x v="5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x v="6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x v="7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s v="01.01.001.157.570203.000.009"/>
    <s v="000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0"/>
    <n v="0"/>
    <n v="5401.56"/>
    <e v="#N/A"/>
    <m/>
    <m/>
    <e v="#N/A"/>
    <n v="0"/>
    <n v="5401.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s v="01.01.001.158.570203.000.009"/>
    <s v="000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n v="3000"/>
    <n v="250"/>
    <n v="250"/>
    <n v="250"/>
    <n v="250"/>
    <n v="250"/>
    <n v="250"/>
    <n v="250"/>
    <n v="250"/>
    <n v="250"/>
    <n v="250"/>
    <n v="250"/>
    <n v="250"/>
    <m/>
    <n v="0"/>
    <n v="237.42"/>
    <n v="0"/>
    <n v="2060"/>
    <e v="#N/A"/>
    <m/>
    <m/>
    <e v="#N/A"/>
    <n v="0"/>
    <n v="20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s v="01.01.001.112.570102.000.009"/>
    <s v="000"/>
    <n v="570102"/>
    <s v="Fondos Propios"/>
    <n v="29311"/>
    <n v="0"/>
    <n v="0"/>
    <n v="0"/>
    <n v="0"/>
    <n v="29311"/>
    <n v="0"/>
    <n v="0"/>
    <n v="0"/>
    <n v="0"/>
    <n v="0"/>
    <n v="0"/>
    <n v="0"/>
    <m/>
    <n v="29311"/>
    <n v="0"/>
    <n v="0"/>
    <n v="0"/>
    <n v="0"/>
    <n v="29311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agua potable)"/>
    <s v="01.01.001.068.530101.000.009"/>
    <s v="000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2.1"/>
    <n v="0"/>
    <n v="6000"/>
    <e v="#N/A"/>
    <m/>
    <m/>
    <e v="#N/A"/>
    <n v="0"/>
    <n v="6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s v="01.01.001.069.530104.000.009"/>
    <s v="000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2501.17"/>
    <n v="0"/>
    <n v="28000"/>
    <e v="#N/A"/>
    <m/>
    <m/>
    <e v="#N/A"/>
    <n v="0"/>
    <n v="2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s v="01.01.001.070.530105.000.009"/>
    <s v="000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315.24"/>
    <n v="0"/>
    <n v="6000"/>
    <e v="#N/A"/>
    <m/>
    <m/>
    <e v="#N/A"/>
    <n v="0"/>
    <n v="6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Pago de tasa de limpieza EMASEO"/>
    <s v="01.01.001.153.570102.000.009"/>
    <s v="000"/>
    <n v="570102"/>
    <s v="Fondos Propios"/>
    <n v="49020"/>
    <n v="0"/>
    <n v="0"/>
    <n v="0"/>
    <n v="0"/>
    <n v="0"/>
    <n v="0"/>
    <n v="0"/>
    <n v="0"/>
    <n v="0"/>
    <n v="49020"/>
    <n v="0"/>
    <n v="0"/>
    <m/>
    <n v="49020"/>
    <n v="0"/>
    <n v="0"/>
    <n v="0"/>
    <n v="0"/>
    <n v="0"/>
    <n v="0"/>
    <n v="0"/>
    <n v="0"/>
    <n v="0"/>
    <n v="4902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Promoción y Posicionamiento turístico del destino Quito en el marco de la producción de un evento gastronomico"/>
    <s v="01.01.002.054.630207.000.009"/>
    <s v="000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s v="01.01.002.005.631203.000.009"/>
    <s v="000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0"/>
    <n v="0"/>
    <n v="50000"/>
    <n v="0"/>
    <e v="#N/A"/>
    <m/>
    <m/>
    <e v="#N/A"/>
    <n v="5000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s v="01.01.002.006.630204.000.009"/>
    <s v="000"/>
    <n v="630204"/>
    <s v="Fondos Propios"/>
    <n v="100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s v="Realizar el proceso administrativo para la implementación y gestión de los puntos de Distribución de Contenidos en el DMQ."/>
    <s v="01.01.002.023.630502.000.009"/>
    <s v="000"/>
    <n v="630502"/>
    <s v="Fondos Propios"/>
    <n v="60000"/>
    <n v="0"/>
    <n v="0"/>
    <n v="0"/>
    <n v="0"/>
    <n v="0"/>
    <n v="0"/>
    <n v="0"/>
    <n v="0"/>
    <n v="0"/>
    <n v="0"/>
    <n v="0"/>
    <n v="60000"/>
    <m/>
    <n v="60000"/>
    <n v="0"/>
    <n v="0"/>
    <n v="0"/>
    <n v="0"/>
    <n v="0"/>
    <n v="0"/>
    <n v="0"/>
    <n v="0"/>
    <n v="0"/>
    <n v="0"/>
    <n v="0"/>
    <n v="60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01.01.001.072.530702.000.009"/>
    <s v="000"/>
    <n v="530702"/>
    <s v="Fondos Propios"/>
    <n v="6600"/>
    <n v="0"/>
    <n v="0"/>
    <n v="0"/>
    <n v="3000"/>
    <n v="0"/>
    <n v="0"/>
    <n v="0"/>
    <n v="3600"/>
    <n v="0"/>
    <n v="0"/>
    <n v="0"/>
    <n v="0"/>
    <m/>
    <n v="6600"/>
    <n v="0"/>
    <n v="0"/>
    <n v="0"/>
    <n v="3000"/>
    <n v="0"/>
    <n v="0"/>
    <n v="0"/>
    <n v="3600"/>
    <n v="0"/>
    <n v="0"/>
    <n v="0"/>
    <n v="0"/>
    <m/>
    <n v="0"/>
    <n v="0"/>
    <n v="0"/>
    <n v="0"/>
    <e v="#N/A"/>
    <m/>
    <m/>
    <e v="#N/A"/>
    <n v="0"/>
    <n v="0"/>
    <n v="6600"/>
    <n v="1"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Renovación de la suscripción de herramientas ofimáticas colaborativas con correo electrónico"/>
    <s v="01.01.001.123.530702.000.009"/>
    <s v="000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33000"/>
    <n v="2"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Renovación de la suscripción de la licencias de Business Inteligent"/>
    <s v="01.01.001.017.530702.000.009"/>
    <s v="000"/>
    <n v="530702"/>
    <s v="Fondos Propios"/>
    <n v="2000"/>
    <n v="0"/>
    <n v="0"/>
    <n v="0"/>
    <n v="0"/>
    <n v="2000"/>
    <n v="0"/>
    <n v="0"/>
    <n v="0"/>
    <n v="0"/>
    <n v="0"/>
    <n v="0"/>
    <n v="0"/>
    <n v="-2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2000"/>
    <n v="1"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01.01.001.055.530702.000.009"/>
    <s v="000"/>
    <n v="530702"/>
    <s v="Fondos Propios"/>
    <n v="7000"/>
    <n v="0"/>
    <n v="0"/>
    <n v="0"/>
    <n v="0"/>
    <n v="0"/>
    <n v="0"/>
    <n v="0"/>
    <n v="7000"/>
    <n v="0"/>
    <n v="0"/>
    <n v="0"/>
    <n v="0"/>
    <m/>
    <n v="7000"/>
    <n v="0"/>
    <n v="0"/>
    <n v="0"/>
    <n v="0"/>
    <n v="0"/>
    <n v="0"/>
    <n v="0"/>
    <n v="7000"/>
    <n v="0"/>
    <n v="0"/>
    <n v="0"/>
    <n v="0"/>
    <m/>
    <n v="0"/>
    <n v="0"/>
    <n v="0"/>
    <n v="0"/>
    <e v="#N/A"/>
    <m/>
    <m/>
    <e v="#N/A"/>
    <n v="0"/>
    <n v="0"/>
    <n v="7000"/>
    <n v="2"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01.01.001.075.530702.000.009"/>
    <s v="000"/>
    <n v="530702"/>
    <s v="Fondos Propios"/>
    <n v="7200"/>
    <n v="0"/>
    <n v="0"/>
    <n v="0"/>
    <n v="0"/>
    <n v="0"/>
    <n v="0"/>
    <n v="0"/>
    <n v="0"/>
    <n v="0"/>
    <n v="0"/>
    <n v="0"/>
    <n v="7200"/>
    <m/>
    <n v="7200"/>
    <n v="0"/>
    <n v="0"/>
    <n v="0"/>
    <n v="0"/>
    <n v="0"/>
    <n v="0"/>
    <n v="0"/>
    <n v="0"/>
    <n v="0"/>
    <n v="0"/>
    <n v="0"/>
    <n v="7200"/>
    <m/>
    <n v="0"/>
    <n v="0"/>
    <n v="0"/>
    <n v="0"/>
    <e v="#N/A"/>
    <m/>
    <m/>
    <e v="#N/A"/>
    <n v="0"/>
    <n v="0"/>
    <n v="7200"/>
    <n v="3"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01.01.001.096.530702.000.009"/>
    <s v="000"/>
    <n v="530702"/>
    <s v="Fondos Propios"/>
    <n v="8000"/>
    <n v="0"/>
    <n v="0"/>
    <n v="0"/>
    <n v="0"/>
    <n v="0"/>
    <n v="8000"/>
    <n v="0"/>
    <n v="0"/>
    <n v="0"/>
    <n v="0"/>
    <n v="0"/>
    <n v="0"/>
    <m/>
    <n v="8000"/>
    <n v="0"/>
    <n v="0"/>
    <n v="0"/>
    <n v="0"/>
    <n v="0"/>
    <n v="8000"/>
    <n v="0"/>
    <n v="0"/>
    <n v="0"/>
    <n v="0"/>
    <n v="0"/>
    <n v="0"/>
    <m/>
    <n v="0"/>
    <n v="0"/>
    <n v="0"/>
    <n v="0"/>
    <e v="#N/A"/>
    <m/>
    <m/>
    <e v="#N/A"/>
    <n v="0"/>
    <n v="0"/>
    <n v="8000"/>
    <n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01.01.001.074.530702.000.009"/>
    <s v="000"/>
    <n v="530702"/>
    <s v="Fondos Propios"/>
    <n v="7000"/>
    <n v="0"/>
    <n v="0"/>
    <n v="0"/>
    <n v="0"/>
    <n v="0"/>
    <n v="0"/>
    <n v="0"/>
    <n v="0"/>
    <n v="7000"/>
    <n v="0"/>
    <n v="0"/>
    <n v="0"/>
    <m/>
    <n v="7000"/>
    <n v="0"/>
    <n v="0"/>
    <n v="0"/>
    <n v="0"/>
    <n v="0"/>
    <n v="0"/>
    <n v="0"/>
    <n v="0"/>
    <n v="7000"/>
    <n v="0"/>
    <n v="0"/>
    <n v="0"/>
    <m/>
    <n v="0"/>
    <n v="0"/>
    <n v="0"/>
    <n v="0"/>
    <e v="#N/A"/>
    <m/>
    <m/>
    <e v="#N/A"/>
    <n v="0"/>
    <n v="0"/>
    <n v="7000"/>
    <n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01.01.001.076.530702.000.009"/>
    <s v="000"/>
    <n v="530702"/>
    <s v="Fondos Propios"/>
    <n v="7000"/>
    <n v="0"/>
    <n v="0"/>
    <n v="0"/>
    <n v="0"/>
    <n v="0"/>
    <n v="0"/>
    <n v="0"/>
    <n v="0"/>
    <n v="0"/>
    <n v="0"/>
    <n v="7000"/>
    <n v="0"/>
    <m/>
    <n v="7000"/>
    <n v="0"/>
    <n v="0"/>
    <n v="0"/>
    <n v="0"/>
    <n v="0"/>
    <n v="0"/>
    <n v="0"/>
    <n v="0"/>
    <n v="0"/>
    <n v="0"/>
    <n v="7000"/>
    <n v="0"/>
    <m/>
    <n v="0"/>
    <n v="0"/>
    <n v="0"/>
    <n v="0"/>
    <e v="#N/A"/>
    <m/>
    <m/>
    <e v="#N/A"/>
    <n v="0"/>
    <n v="0"/>
    <n v="7000"/>
    <n v="3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s v="01.01.001.077.570102.000.009"/>
    <s v="000"/>
    <n v="570102"/>
    <s v="Fondos Propios"/>
    <n v="2000"/>
    <n v="0"/>
    <n v="0"/>
    <n v="0"/>
    <n v="0"/>
    <n v="0"/>
    <n v="0"/>
    <n v="0"/>
    <n v="0"/>
    <n v="0"/>
    <n v="0"/>
    <n v="0"/>
    <n v="2000"/>
    <m/>
    <n v="2000"/>
    <n v="0"/>
    <n v="0"/>
    <n v="0"/>
    <n v="0"/>
    <n v="0"/>
    <n v="0"/>
    <n v="0"/>
    <n v="0"/>
    <n v="0"/>
    <n v="0"/>
    <n v="0"/>
    <n v="2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s v="01.01.002.008.530207.000.009"/>
    <s v="000"/>
    <n v="530207"/>
    <s v="Fondos Propios"/>
    <n v="100000"/>
    <n v="0"/>
    <n v="0"/>
    <n v="20000"/>
    <n v="0"/>
    <n v="50000"/>
    <n v="30000"/>
    <n v="0"/>
    <n v="0"/>
    <n v="0"/>
    <n v="0"/>
    <n v="0"/>
    <n v="0"/>
    <m/>
    <n v="100000"/>
    <n v="0"/>
    <n v="0"/>
    <n v="20000"/>
    <n v="0"/>
    <n v="50000"/>
    <n v="30000"/>
    <n v="0"/>
    <n v="0"/>
    <n v="0"/>
    <n v="0"/>
    <n v="0"/>
    <n v="0"/>
    <m/>
    <n v="0"/>
    <n v="0"/>
    <n v="100000"/>
    <n v="0"/>
    <e v="#N/A"/>
    <m/>
    <m/>
    <e v="#N/A"/>
    <n v="10000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s v="01.01.002.019.530207.000.009"/>
    <s v="000"/>
    <n v="530207"/>
    <s v="Fondos Propios"/>
    <n v="10000"/>
    <n v="0"/>
    <n v="0"/>
    <n v="5000"/>
    <n v="5000"/>
    <n v="0"/>
    <n v="0"/>
    <n v="0"/>
    <n v="0"/>
    <n v="0"/>
    <n v="0"/>
    <n v="0"/>
    <n v="0"/>
    <m/>
    <n v="10000"/>
    <n v="0"/>
    <n v="0"/>
    <n v="5000"/>
    <n v="5000"/>
    <n v="0"/>
    <n v="0"/>
    <n v="0"/>
    <n v="0"/>
    <n v="0"/>
    <n v="0"/>
    <n v="0"/>
    <n v="0"/>
    <m/>
    <n v="0"/>
    <n v="0"/>
    <n v="10000"/>
    <n v="0"/>
    <e v="#N/A"/>
    <m/>
    <m/>
    <e v="#N/A"/>
    <n v="1000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Servicio de Agencia de Marketing Tradicional para el mercado local y nacional 2026 - 2027"/>
    <s v="01.01.002.055.630207.002.009"/>
    <s v="002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n v="0"/>
    <n v="0"/>
    <n v="0"/>
    <n v="0"/>
    <n v="0"/>
    <n v="0"/>
    <n v="0"/>
    <n v="0"/>
    <m/>
    <m/>
    <m/>
    <m/>
    <m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Servicio de Agencia de Marketing Tradicional para el mercado local y nacional 2026 - 2027"/>
    <s v="01.01.002.055.630207.001.009"/>
    <s v="001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n v="0"/>
    <n v="0"/>
    <n v="0"/>
    <n v="0"/>
    <n v="0"/>
    <n v="0"/>
    <n v="0"/>
    <n v="0"/>
    <n v="0"/>
    <n v="0"/>
    <n v="0"/>
    <m/>
    <n v="0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Servicio de Agencia de Marketing Tradicional para el mercado local y nacional 2026 - 2027"/>
    <s v="01.01.002.055.630207.000.009"/>
    <s v="000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n v="0"/>
    <n v="0"/>
    <n v="0"/>
    <m/>
    <m/>
    <m/>
    <m/>
    <m/>
    <m/>
    <m/>
    <m/>
    <m/>
    <m/>
    <m/>
    <n v="0"/>
    <n v="0"/>
    <n v="0"/>
    <n v="0"/>
    <e v="#N/A"/>
    <m/>
    <m/>
    <e v="#N/A"/>
    <n v="0"/>
    <n v="0"/>
    <n v="137500"/>
    <n v="2"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s v="01.01.001.079.530207.000.009"/>
    <s v="000"/>
    <n v="530207"/>
    <s v="Fondos Propios"/>
    <n v="47050"/>
    <n v="15000"/>
    <n v="15000"/>
    <n v="17050"/>
    <n v="0"/>
    <n v="0"/>
    <n v="0"/>
    <n v="0"/>
    <n v="0"/>
    <n v="0"/>
    <n v="0"/>
    <n v="0"/>
    <n v="0"/>
    <m/>
    <n v="47050"/>
    <n v="15000"/>
    <n v="15000"/>
    <n v="17050"/>
    <n v="0"/>
    <n v="0"/>
    <n v="0"/>
    <n v="0"/>
    <n v="0"/>
    <n v="0"/>
    <n v="0"/>
    <n v="0"/>
    <n v="0"/>
    <m/>
    <n v="0"/>
    <n v="0"/>
    <n v="0"/>
    <n v="47050"/>
    <e v="#N/A"/>
    <m/>
    <m/>
    <e v="#N/A"/>
    <n v="0"/>
    <n v="47050"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s v="01.01.001.159.530207.000.009"/>
    <s v="000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n v="195000"/>
    <n v="0"/>
    <n v="0"/>
    <n v="0"/>
    <m/>
    <n v="15000"/>
    <n v="20000"/>
    <n v="25000"/>
    <n v="15000"/>
    <n v="35000"/>
    <n v="25000"/>
    <n v="25000"/>
    <n v="35000"/>
    <m/>
    <n v="0"/>
    <n v="0"/>
    <n v="0"/>
    <n v="0"/>
    <e v="#N/A"/>
    <m/>
    <m/>
    <e v="#N/A"/>
    <n v="0"/>
    <n v="0"/>
    <n v="240000"/>
    <n v="1"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s v="01.01.001.145.530209.000.009"/>
    <s v="000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0"/>
    <n v="0"/>
    <n v="63855"/>
    <e v="#N/A"/>
    <m/>
    <m/>
    <e v="#N/A"/>
    <n v="0"/>
    <n v="638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s v="01.01.002.009.630601.000.009"/>
    <s v="000"/>
    <n v="630601"/>
    <s v="Fondos Propios"/>
    <n v="85000"/>
    <m/>
    <m/>
    <m/>
    <m/>
    <m/>
    <m/>
    <m/>
    <m/>
    <m/>
    <m/>
    <m/>
    <n v="85000"/>
    <m/>
    <n v="85000"/>
    <m/>
    <m/>
    <m/>
    <m/>
    <m/>
    <m/>
    <m/>
    <m/>
    <m/>
    <m/>
    <m/>
    <n v="85000"/>
    <m/>
    <n v="0"/>
    <n v="0"/>
    <n v="0"/>
    <n v="0"/>
    <e v="#N/A"/>
    <m/>
    <m/>
    <e v="#N/A"/>
    <n v="0"/>
    <n v="0"/>
    <n v="85000"/>
    <n v="1"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01-01T00:00:00"/>
    <d v="2026-12-31T00:00:00"/>
    <m/>
    <m/>
    <m/>
    <m/>
    <m/>
    <m/>
    <m/>
    <m/>
    <m/>
    <m/>
    <m/>
    <m/>
    <s v="Servicio de Auditoría CCMQ"/>
    <s v="01.01.002.002.630602.000.009"/>
    <s v="000"/>
    <n v="630602"/>
    <s v="Fondos Propios"/>
    <n v="6600"/>
    <s v="-"/>
    <s v="-"/>
    <s v="-"/>
    <s v="-"/>
    <n v="6600"/>
    <s v="-"/>
    <s v="-"/>
    <s v="-"/>
    <s v="-"/>
    <s v="-"/>
    <s v="-"/>
    <s v="-"/>
    <m/>
    <n v="6600"/>
    <s v="-"/>
    <s v="-"/>
    <s v="-"/>
    <s v="-"/>
    <n v="6600"/>
    <s v="-"/>
    <s v="-"/>
    <s v="-"/>
    <s v="-"/>
    <s v="-"/>
    <s v="-"/>
    <s v="-"/>
    <m/>
    <n v="0"/>
    <n v="0"/>
    <n v="0"/>
    <n v="0"/>
    <e v="#N/A"/>
    <m/>
    <m/>
    <e v="#N/A"/>
    <n v="0"/>
    <n v="0"/>
    <n v="6600"/>
    <n v="1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Diego Guamán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2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"/>
    <s v="01.01.002.010.530613.000.009"/>
    <s v="000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n v="40648.5"/>
    <n v="0"/>
    <n v="0"/>
    <n v="0"/>
    <n v="40648.5"/>
    <n v="0"/>
    <n v="0"/>
    <n v="0"/>
    <n v="0"/>
    <n v="0"/>
    <n v="0"/>
    <n v="0"/>
    <n v="0"/>
    <m/>
    <n v="0"/>
    <n v="0"/>
    <n v="40648.5"/>
    <n v="0"/>
    <e v="#N/A"/>
    <m/>
    <m/>
    <e v="#N/A"/>
    <n v="40648.5"/>
    <n v="0"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x v="2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 2025 – 2026 (arrastre)"/>
    <s v="01.01.002.056.530613.000.009"/>
    <s v="000"/>
    <s v="530613"/>
    <s v="Fondos Propios"/>
    <n v="0"/>
    <m/>
    <m/>
    <m/>
    <m/>
    <m/>
    <m/>
    <m/>
    <m/>
    <m/>
    <m/>
    <m/>
    <m/>
    <n v="1492.25"/>
    <n v="1492.25"/>
    <m/>
    <m/>
    <m/>
    <n v="1492.25"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08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s v="01.01.002.049.530613.000.009"/>
    <s v="000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n v="87195.75"/>
    <n v="0"/>
    <n v="0"/>
    <n v="0"/>
    <n v="0"/>
    <n v="0"/>
    <n v="0"/>
    <n v="0"/>
    <n v="44000"/>
    <n v="0"/>
    <n v="0"/>
    <n v="0"/>
    <n v="43195.75"/>
    <m/>
    <n v="0"/>
    <n v="0"/>
    <n v="0"/>
    <n v="0"/>
    <e v="#N/A"/>
    <m/>
    <m/>
    <e v="#N/A"/>
    <n v="0"/>
    <n v="0"/>
    <n v="77339.55"/>
    <n v="2"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01-01T00:00:00"/>
    <d v="2026-12-31T00:00:00"/>
    <m/>
    <m/>
    <m/>
    <m/>
    <m/>
    <m/>
    <m/>
    <m/>
    <m/>
    <m/>
    <m/>
    <m/>
    <s v="Servicio de conexión de datos Datalink."/>
    <s v="01.01.002.011.630105.000.009"/>
    <s v="000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1000"/>
    <s v="-"/>
    <n v="90.91"/>
    <n v="90.91"/>
    <n v="90.91"/>
    <n v="90.91"/>
    <n v="90.91"/>
    <n v="90.91"/>
    <n v="90.91"/>
    <n v="90.91"/>
    <n v="90.91"/>
    <n v="90.91"/>
    <n v="90.9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s v="01.01.002.048.630207.000.009"/>
    <s v="000"/>
    <n v="630207"/>
    <s v="Fondos Propios"/>
    <n v="9000"/>
    <m/>
    <m/>
    <m/>
    <m/>
    <m/>
    <m/>
    <n v="9000"/>
    <m/>
    <m/>
    <m/>
    <m/>
    <m/>
    <m/>
    <n v="9000"/>
    <m/>
    <m/>
    <m/>
    <m/>
    <m/>
    <m/>
    <n v="9000"/>
    <m/>
    <m/>
    <m/>
    <m/>
    <m/>
    <m/>
    <n v="0"/>
    <n v="0"/>
    <n v="0"/>
    <n v="0"/>
    <e v="#N/A"/>
    <m/>
    <m/>
    <e v="#N/A"/>
    <n v="0"/>
    <n v="0"/>
    <n v="9000"/>
    <n v="2"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01.01.001.084.530105.000.009"/>
    <s v="000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n v="1710"/>
    <n v="227.7"/>
    <n v="227.7"/>
    <n v="227.7"/>
    <n v="227.7"/>
    <n v="227.7"/>
    <n v="227.7"/>
    <n v="343.8"/>
    <n v="0"/>
    <n v="0"/>
    <n v="0"/>
    <n v="0"/>
    <n v="0"/>
    <m/>
    <n v="0"/>
    <n v="227.7"/>
    <n v="49.99"/>
    <n v="1660.01"/>
    <e v="#N/A"/>
    <m/>
    <m/>
    <e v="#N/A"/>
    <n v="49.99"/>
    <n v="1660.01"/>
    <m/>
    <m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01.01.001.170.530105.000.009"/>
    <s v="000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n v="1400"/>
    <n v="0"/>
    <n v="0"/>
    <n v="0"/>
    <n v="0"/>
    <n v="0"/>
    <n v="0"/>
    <n v="227.7"/>
    <n v="227.7"/>
    <n v="227.7"/>
    <n v="227.7"/>
    <n v="227.7"/>
    <n v="261.5"/>
    <m/>
    <n v="0"/>
    <n v="0"/>
    <n v="0"/>
    <n v="0"/>
    <e v="#N/A"/>
    <m/>
    <m/>
    <e v="#N/A"/>
    <n v="0"/>
    <n v="0"/>
    <n v="1400"/>
    <n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flete y movilización"/>
    <s v="01.01.001.114.530202.000.009"/>
    <s v="000"/>
    <n v="530202"/>
    <s v="Fondos Propios"/>
    <n v="2000"/>
    <n v="0"/>
    <n v="0"/>
    <n v="0"/>
    <n v="0"/>
    <n v="0"/>
    <n v="0"/>
    <n v="0"/>
    <n v="0"/>
    <n v="0"/>
    <n v="0"/>
    <n v="0"/>
    <n v="2000"/>
    <n v="-2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2000"/>
    <n v="2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s v="01.01.002.012.630204.000.009"/>
    <s v="000"/>
    <n v="630204"/>
    <s v="Fondos Propios"/>
    <n v="4000"/>
    <n v="0"/>
    <n v="0"/>
    <n v="0"/>
    <n v="0"/>
    <n v="0"/>
    <n v="0"/>
    <n v="0"/>
    <n v="0"/>
    <n v="4000"/>
    <n v="0"/>
    <n v="0"/>
    <n v="0"/>
    <m/>
    <n v="4000"/>
    <n v="0"/>
    <n v="0"/>
    <n v="0"/>
    <n v="0"/>
    <n v="0"/>
    <n v="0"/>
    <n v="0"/>
    <n v="0"/>
    <n v="4000"/>
    <n v="0"/>
    <n v="0"/>
    <n v="0"/>
    <m/>
    <n v="0"/>
    <n v="0"/>
    <n v="0"/>
    <n v="0"/>
    <e v="#N/A"/>
    <m/>
    <m/>
    <e v="#N/A"/>
    <n v="0"/>
    <n v="0"/>
    <n v="4000"/>
    <n v="2"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impresión de material POP para la estrategia de comunicación externa e interna."/>
    <s v="01.01.001.160.530404.000.009"/>
    <s v="000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25000"/>
    <n v="1"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01.01.001.086.530105.000.009"/>
    <s v="000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2026.66"/>
    <n v="306.08"/>
    <n v="18693.919999999998"/>
    <e v="#N/A"/>
    <m/>
    <m/>
    <e v="#N/A"/>
    <n v="306.08"/>
    <n v="18693.919999999998"/>
    <m/>
    <m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01.01.001.171.530105.000.009"/>
    <s v="000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n v="12500"/>
    <n v="0"/>
    <n v="0"/>
    <n v="0"/>
    <n v="0"/>
    <n v="0"/>
    <n v="0"/>
    <n v="0"/>
    <n v="2500"/>
    <n v="2500"/>
    <n v="2500"/>
    <n v="2500"/>
    <n v="2500"/>
    <m/>
    <n v="0"/>
    <n v="0"/>
    <n v="0"/>
    <n v="0"/>
    <e v="#N/A"/>
    <m/>
    <m/>
    <e v="#N/A"/>
    <n v="0"/>
    <n v="0"/>
    <n v="12500"/>
    <n v="2"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s v="01.01.001.103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01.01.001.105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e v="#N/A"/>
    <m/>
    <m/>
    <e v="#N/A"/>
    <n v="0"/>
    <n v="0"/>
    <n v="10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01.01.001.140.530704.000.009"/>
    <s v="000"/>
    <n v="530704"/>
    <s v="Fondos Propios"/>
    <n v="2000"/>
    <n v="0"/>
    <n v="0"/>
    <n v="0"/>
    <n v="0"/>
    <n v="0"/>
    <n v="0"/>
    <n v="0"/>
    <n v="0"/>
    <n v="0"/>
    <n v="2000"/>
    <n v="0"/>
    <n v="0"/>
    <m/>
    <n v="2000"/>
    <n v="0"/>
    <n v="0"/>
    <n v="0"/>
    <n v="0"/>
    <n v="0"/>
    <n v="0"/>
    <n v="0"/>
    <n v="0"/>
    <n v="0"/>
    <n v="2000"/>
    <n v="0"/>
    <n v="0"/>
    <m/>
    <n v="0"/>
    <n v="0"/>
    <n v="0"/>
    <n v="0"/>
    <e v="#N/A"/>
    <m/>
    <m/>
    <e v="#N/A"/>
    <n v="0"/>
    <n v="0"/>
    <n v="20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mantenimiento preventivo de computadores con vigencia tecnológica Lenovo"/>
    <s v="01.01.001.172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10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01.01.001.173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e v="#N/A"/>
    <m/>
    <m/>
    <e v="#N/A"/>
    <n v="0"/>
    <n v="0"/>
    <n v="10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01.01.001.106.530704.000.009"/>
    <s v="000"/>
    <n v="530704"/>
    <s v="Fondos Propios"/>
    <n v="1100"/>
    <n v="0"/>
    <n v="0"/>
    <n v="0"/>
    <n v="0"/>
    <n v="0"/>
    <n v="0"/>
    <n v="0"/>
    <n v="0"/>
    <n v="0"/>
    <n v="0"/>
    <n v="1100"/>
    <n v="0"/>
    <m/>
    <n v="1100"/>
    <n v="0"/>
    <n v="0"/>
    <n v="0"/>
    <n v="0"/>
    <n v="0"/>
    <n v="0"/>
    <n v="0"/>
    <n v="0"/>
    <n v="0"/>
    <n v="0"/>
    <n v="1100"/>
    <n v="0"/>
    <m/>
    <n v="0"/>
    <n v="0"/>
    <n v="0"/>
    <n v="0"/>
    <e v="#N/A"/>
    <m/>
    <m/>
    <e v="#N/A"/>
    <n v="0"/>
    <n v="0"/>
    <n v="11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mantenimiento preventivo de impresoras con vigencia tecnológica"/>
    <s v="01.01.001.088.530704.000.009"/>
    <s v="000"/>
    <n v="530704"/>
    <s v="Fondos Propios"/>
    <n v="1000"/>
    <n v="0"/>
    <n v="0"/>
    <n v="0"/>
    <n v="0"/>
    <n v="0"/>
    <n v="0"/>
    <n v="0"/>
    <n v="0"/>
    <n v="0"/>
    <n v="0"/>
    <n v="100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01.01.001.089.530704.000.009"/>
    <s v="000"/>
    <n v="530704"/>
    <s v="Fondos Propios"/>
    <n v="10000"/>
    <n v="0"/>
    <n v="0"/>
    <n v="0"/>
    <n v="0"/>
    <n v="0"/>
    <n v="0"/>
    <n v="0"/>
    <n v="0"/>
    <n v="0"/>
    <n v="0"/>
    <n v="10000"/>
    <n v="0"/>
    <m/>
    <n v="10000"/>
    <n v="0"/>
    <n v="0"/>
    <n v="0"/>
    <n v="0"/>
    <n v="0"/>
    <n v="0"/>
    <n v="0"/>
    <n v="0"/>
    <n v="0"/>
    <n v="0"/>
    <n v="10000"/>
    <n v="0"/>
    <m/>
    <n v="0"/>
    <n v="0"/>
    <n v="0"/>
    <n v="0"/>
    <e v="#N/A"/>
    <m/>
    <m/>
    <e v="#N/A"/>
    <n v="0"/>
    <n v="0"/>
    <n v="100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Servicio de mantenimiento preventivo y correctivo del sistema eléctrico del generador"/>
    <s v="01.01.001.042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2"/>
    <e v="#NUM!"/>
    <e v="#NUM!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s v="01.01.002.044.530201.000.009"/>
    <s v="000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2500"/>
    <n v="0"/>
    <n v="0"/>
    <n v="0"/>
    <n v="0"/>
    <n v="0"/>
    <n v="0"/>
    <n v="0"/>
    <n v="0"/>
    <n v="0"/>
    <n v="0"/>
    <n v="0"/>
    <n v="0"/>
    <n v="2500"/>
    <n v="0"/>
    <n v="0"/>
    <n v="0"/>
    <n v="0"/>
    <e v="#N/A"/>
    <m/>
    <m/>
    <e v="#N/A"/>
    <n v="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s v="01.01.001.111.530255.000.009"/>
    <s v="000"/>
    <n v="530255"/>
    <s v="Fondos Propios"/>
    <n v="6000"/>
    <n v="0"/>
    <n v="0"/>
    <n v="0"/>
    <n v="0"/>
    <n v="0"/>
    <n v="0"/>
    <n v="6000"/>
    <n v="0"/>
    <n v="0"/>
    <n v="0"/>
    <n v="0"/>
    <n v="0"/>
    <n v="-1000"/>
    <n v="5000"/>
    <n v="0"/>
    <n v="0"/>
    <n v="0"/>
    <n v="0"/>
    <n v="0"/>
    <n v="0"/>
    <n v="5000"/>
    <n v="0"/>
    <n v="0"/>
    <n v="0"/>
    <n v="0"/>
    <n v="0"/>
    <m/>
    <n v="0"/>
    <n v="0"/>
    <n v="0"/>
    <n v="0"/>
    <e v="#N/A"/>
    <m/>
    <m/>
    <e v="#N/A"/>
    <n v="0"/>
    <n v="0"/>
    <n v="6000"/>
    <n v="1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s v="01.01.001.111.570199.000.009"/>
    <s v="000"/>
    <n v="570199"/>
    <s v="Fondos Propios"/>
    <n v="900"/>
    <n v="0"/>
    <n v="0"/>
    <n v="0"/>
    <n v="0"/>
    <n v="0"/>
    <n v="0"/>
    <n v="900"/>
    <n v="0"/>
    <n v="0"/>
    <n v="0"/>
    <n v="0"/>
    <n v="0"/>
    <m/>
    <n v="900"/>
    <n v="0"/>
    <n v="0"/>
    <n v="0"/>
    <n v="0"/>
    <n v="0"/>
    <n v="0"/>
    <n v="90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s v="01.01.001.006.530255.000.009"/>
    <s v="000"/>
    <n v="530255"/>
    <s v="Fondos Propios"/>
    <n v="6600"/>
    <n v="0"/>
    <n v="0"/>
    <n v="0"/>
    <n v="0"/>
    <n v="0"/>
    <n v="0"/>
    <n v="6600"/>
    <n v="0"/>
    <n v="0"/>
    <n v="0"/>
    <n v="0"/>
    <n v="0"/>
    <m/>
    <n v="6600"/>
    <n v="0"/>
    <n v="0"/>
    <n v="0"/>
    <n v="0"/>
    <n v="0"/>
    <n v="0"/>
    <n v="660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s v="01.01.001.048.530105.000.009"/>
    <s v="000"/>
    <n v="530105"/>
    <s v="Fondos Propios"/>
    <n v="283"/>
    <n v="0"/>
    <n v="0"/>
    <n v="0"/>
    <n v="0"/>
    <n v="0"/>
    <n v="0"/>
    <n v="0"/>
    <n v="283"/>
    <n v="0"/>
    <n v="0"/>
    <n v="0"/>
    <n v="0"/>
    <m/>
    <n v="283"/>
    <n v="0"/>
    <n v="0"/>
    <n v="0"/>
    <n v="0"/>
    <n v="0"/>
    <n v="0"/>
    <n v="0"/>
    <n v="283"/>
    <n v="0"/>
    <n v="0"/>
    <n v="0"/>
    <n v="0"/>
    <m/>
    <n v="0"/>
    <n v="0"/>
    <n v="283"/>
    <n v="0"/>
    <e v="#N/A"/>
    <m/>
    <m/>
    <e v="#N/A"/>
    <n v="283"/>
    <n v="0"/>
    <n v="283"/>
    <n v="1"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1.009"/>
    <s v="001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n v="438975"/>
    <n v="0"/>
    <n v="0"/>
    <n v="0"/>
    <m/>
    <m/>
    <m/>
    <n v="10000"/>
    <n v="20000"/>
    <n v="30000"/>
    <n v="40000"/>
    <n v="100000"/>
    <n v="238975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5-01T00:00:00"/>
    <d v="2026-10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0.009"/>
    <s v="000"/>
    <n v="630207"/>
    <s v="Fondos Propios"/>
    <n v="125000"/>
    <n v="0"/>
    <m/>
    <m/>
    <m/>
    <n v="20025"/>
    <n v="20025"/>
    <n v="22025"/>
    <n v="28025"/>
    <n v="14875"/>
    <n v="20025"/>
    <m/>
    <m/>
    <m/>
    <n v="125000"/>
    <n v="0"/>
    <m/>
    <m/>
    <m/>
    <n v="20025"/>
    <n v="20025"/>
    <n v="22025"/>
    <n v="28025"/>
    <n v="14875"/>
    <n v="20025"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0.009"/>
    <s v="000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n v="495000"/>
    <n v="0"/>
    <m/>
    <m/>
    <m/>
    <m/>
    <m/>
    <n v="10000"/>
    <n v="20000"/>
    <n v="30000"/>
    <n v="40000"/>
    <n v="100000"/>
    <n v="295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1.009"/>
    <s v="001"/>
    <n v="630207"/>
    <s v="Fondos Propios"/>
    <n v="33500"/>
    <n v="0"/>
    <n v="0"/>
    <n v="0"/>
    <n v="0"/>
    <n v="7500"/>
    <n v="0"/>
    <n v="0"/>
    <n v="7500"/>
    <n v="0"/>
    <n v="0"/>
    <n v="0"/>
    <n v="18500"/>
    <m/>
    <n v="33500"/>
    <n v="0"/>
    <n v="0"/>
    <n v="0"/>
    <n v="0"/>
    <n v="7500"/>
    <n v="0"/>
    <n v="0"/>
    <n v="7500"/>
    <n v="0"/>
    <n v="0"/>
    <n v="0"/>
    <n v="18500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s v="01.01.001.115.530208.000.009"/>
    <s v="000"/>
    <n v="530208"/>
    <s v="Fondos Propios"/>
    <n v="96030"/>
    <n v="16005"/>
    <n v="16005"/>
    <n v="16005"/>
    <n v="16005"/>
    <n v="16005"/>
    <n v="16005"/>
    <m/>
    <m/>
    <m/>
    <m/>
    <m/>
    <m/>
    <m/>
    <n v="96030"/>
    <n v="12830"/>
    <n v="12830"/>
    <n v="12830"/>
    <n v="12830"/>
    <n v="12830"/>
    <n v="12830"/>
    <m/>
    <m/>
    <m/>
    <m/>
    <m/>
    <m/>
    <n v="19050"/>
    <n v="0"/>
    <n v="0"/>
    <n v="0"/>
    <n v="76980"/>
    <e v="#N/A"/>
    <m/>
    <m/>
    <e v="#N/A"/>
    <n v="0"/>
    <n v="76980"/>
    <m/>
    <m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s v="01.01.001.154.530208.000.009"/>
    <s v="000"/>
    <n v="530208"/>
    <s v="Fondos Propios"/>
    <n v="76980"/>
    <m/>
    <m/>
    <m/>
    <m/>
    <m/>
    <m/>
    <n v="12830"/>
    <n v="12830"/>
    <n v="12830"/>
    <n v="12830"/>
    <n v="12830"/>
    <n v="12830"/>
    <m/>
    <n v="76980"/>
    <m/>
    <m/>
    <m/>
    <m/>
    <m/>
    <m/>
    <n v="12830"/>
    <n v="12830"/>
    <n v="12830"/>
    <n v="12830"/>
    <n v="12830"/>
    <n v="12830"/>
    <m/>
    <n v="0"/>
    <n v="0"/>
    <n v="0"/>
    <n v="0"/>
    <e v="#N/A"/>
    <m/>
    <m/>
    <e v="#N/A"/>
    <n v="0"/>
    <n v="0"/>
    <n v="201453"/>
    <n v="2"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01.01.001.185.530704.000.009"/>
    <s v="000"/>
    <s v="530704"/>
    <s v="Fondos Propios"/>
    <n v="0"/>
    <m/>
    <m/>
    <m/>
    <m/>
    <m/>
    <m/>
    <m/>
    <m/>
    <m/>
    <m/>
    <m/>
    <m/>
    <n v="3500"/>
    <n v="3500"/>
    <m/>
    <m/>
    <m/>
    <m/>
    <m/>
    <n v="3500"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Servicio de transporte para verificadores"/>
    <s v="01.01.002.052.630201.000.009"/>
    <s v="000"/>
    <n v="630201"/>
    <s v="Fondos Propios"/>
    <n v="70000"/>
    <m/>
    <m/>
    <m/>
    <m/>
    <m/>
    <m/>
    <n v="70000"/>
    <m/>
    <m/>
    <m/>
    <m/>
    <m/>
    <n v="-9500"/>
    <n v="60500"/>
    <m/>
    <m/>
    <m/>
    <m/>
    <m/>
    <m/>
    <m/>
    <m/>
    <m/>
    <m/>
    <m/>
    <n v="60500"/>
    <m/>
    <n v="0"/>
    <n v="0"/>
    <n v="0"/>
    <n v="0"/>
    <e v="#N/A"/>
    <m/>
    <m/>
    <e v="#N/A"/>
    <n v="0"/>
    <n v="0"/>
    <n v="70000"/>
    <n v="2"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s v="01.01.001.051.530241.000.009"/>
    <s v="000"/>
    <n v="530241"/>
    <s v="Fondos Propios"/>
    <n v="1026"/>
    <n v="270"/>
    <n v="270"/>
    <n v="270"/>
    <n v="216"/>
    <n v="0"/>
    <n v="0"/>
    <n v="0"/>
    <n v="0"/>
    <n v="0"/>
    <n v="0"/>
    <n v="0"/>
    <n v="0"/>
    <m/>
    <n v="1026"/>
    <n v="270"/>
    <n v="270"/>
    <n v="270"/>
    <n v="216"/>
    <n v="0"/>
    <n v="0"/>
    <n v="0"/>
    <n v="0"/>
    <n v="0"/>
    <n v="0"/>
    <n v="0"/>
    <n v="0"/>
    <m/>
    <n v="0"/>
    <n v="0"/>
    <n v="0"/>
    <n v="1026"/>
    <e v="#N/A"/>
    <m/>
    <m/>
    <e v="#N/A"/>
    <n v="0"/>
    <n v="1026"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s v="01.01.001.161.530241.000.009"/>
    <s v="000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n v="3500"/>
    <n v="0"/>
    <n v="0"/>
    <n v="0"/>
    <n v="0"/>
    <n v="400"/>
    <n v="400"/>
    <n v="400"/>
    <n v="400"/>
    <n v="400"/>
    <n v="400"/>
    <n v="400"/>
    <n v="700"/>
    <m/>
    <n v="0"/>
    <n v="0"/>
    <n v="0"/>
    <n v="0"/>
    <e v="#N/A"/>
    <m/>
    <m/>
    <e v="#N/A"/>
    <n v="0"/>
    <n v="0"/>
    <n v="3500"/>
    <m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11-01T00:00:00"/>
    <d v="2026-11-30T00:00:00"/>
    <m/>
    <m/>
    <m/>
    <m/>
    <m/>
    <m/>
    <m/>
    <m/>
    <m/>
    <m/>
    <m/>
    <m/>
    <s v="SERVICIOS DE CONSULTORÍA PARA IMPLEMENTACIÓN DE LA NORMA ISO 37001:2016 SISTEMAS DE GESTIÓN ANTISOBORNO"/>
    <s v="01.01.002.050.630601.000.009"/>
    <s v="000"/>
    <n v="630601"/>
    <s v="Fondos Propios"/>
    <n v="25000"/>
    <n v="0"/>
    <n v="0"/>
    <n v="0"/>
    <n v="0"/>
    <n v="0"/>
    <n v="0"/>
    <n v="0"/>
    <n v="0"/>
    <n v="0"/>
    <n v="0"/>
    <n v="25000"/>
    <n v="0"/>
    <m/>
    <n v="25000"/>
    <n v="0"/>
    <n v="0"/>
    <n v="0"/>
    <n v="0"/>
    <n v="0"/>
    <n v="0"/>
    <n v="0"/>
    <n v="0"/>
    <n v="0"/>
    <n v="0"/>
    <n v="25000"/>
    <n v="0"/>
    <m/>
    <n v="0"/>
    <n v="0"/>
    <n v="0"/>
    <n v="0"/>
    <e v="#N/A"/>
    <m/>
    <m/>
    <e v="#N/A"/>
    <n v="0"/>
    <n v="0"/>
    <n v="25000"/>
    <n v="2"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s v="01.01.002.043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0"/>
    <n v="12500"/>
    <n v="0"/>
    <e v="#N/A"/>
    <m/>
    <m/>
    <e v="#N/A"/>
    <n v="1250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oporte y garantías técnicas solución ERP Olympo"/>
    <s v="01.01.001.174.530701.000.009"/>
    <s v="000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50000"/>
    <n v="2"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01.01.001.176.530702.000.009"/>
    <s v="000"/>
    <s v="530702"/>
    <s v="Fondos Propios"/>
    <n v="0"/>
    <m/>
    <m/>
    <m/>
    <m/>
    <m/>
    <m/>
    <m/>
    <m/>
    <m/>
    <m/>
    <m/>
    <m/>
    <n v="9259.93"/>
    <n v="9259.93"/>
    <m/>
    <m/>
    <m/>
    <m/>
    <m/>
    <m/>
    <m/>
    <n v="9259.93"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01.01.001.182.530702.000.009"/>
    <s v="000"/>
    <s v="530702"/>
    <s v="Fondos Propios"/>
    <n v="0"/>
    <m/>
    <m/>
    <m/>
    <m/>
    <m/>
    <m/>
    <m/>
    <m/>
    <m/>
    <m/>
    <m/>
    <m/>
    <n v="65000"/>
    <n v="65000"/>
    <m/>
    <m/>
    <m/>
    <m/>
    <n v="1000"/>
    <m/>
    <m/>
    <m/>
    <m/>
    <m/>
    <n v="64000"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0.009"/>
    <s v="000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28000"/>
    <n v="3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1.009"/>
    <s v="001"/>
    <n v="530702"/>
    <s v="Fondos Propios"/>
    <n v="8000"/>
    <n v="0"/>
    <n v="0"/>
    <n v="0"/>
    <n v="0"/>
    <n v="0"/>
    <n v="0"/>
    <n v="0"/>
    <n v="0"/>
    <n v="0"/>
    <n v="0"/>
    <n v="8000"/>
    <n v="0"/>
    <n v="-8000"/>
    <n v="0"/>
    <n v="0"/>
    <n v="0"/>
    <n v="0"/>
    <n v="0"/>
    <n v="0"/>
    <n v="0"/>
    <n v="0"/>
    <n v="0"/>
    <n v="0"/>
    <n v="0"/>
    <n v="0"/>
    <n v="0"/>
    <m/>
    <n v="0"/>
    <n v="0"/>
    <n v="0"/>
    <n v="0"/>
    <m/>
    <m/>
    <m/>
    <n v="0"/>
    <n v="0"/>
    <n v="0"/>
    <n v="8000"/>
    <n v="3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seguridad informática para el aseguramiento de los activos_x000a_de información"/>
    <s v="01.01.001.181.530702.000.009"/>
    <s v="000"/>
    <s v="530702"/>
    <s v="Fondos Propios"/>
    <n v="0"/>
    <m/>
    <m/>
    <m/>
    <m/>
    <m/>
    <m/>
    <m/>
    <m/>
    <m/>
    <m/>
    <m/>
    <m/>
    <n v="26000"/>
    <n v="26000"/>
    <m/>
    <m/>
    <m/>
    <m/>
    <m/>
    <m/>
    <m/>
    <m/>
    <m/>
    <m/>
    <n v="26000"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s v="01.01.001.155.530303.000.009"/>
    <s v="000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s v="01.01.001.155.530304.000.009"/>
    <s v="000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0"/>
    <n v="19523.599999999999"/>
    <n v="0"/>
    <e v="#N/A"/>
    <m/>
    <m/>
    <e v="#N/A"/>
    <n v="19523.59999999999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7-01T00:00:00"/>
    <d v="2026-12-31T00:00:00"/>
    <m/>
    <m/>
    <m/>
    <m/>
    <m/>
    <m/>
    <m/>
    <m/>
    <m/>
    <m/>
    <m/>
    <m/>
    <s v="CONTRATACIÓN DEL SERVICIO DE ACTIVACIONES TURÍSTICAS PARA PROMOCIÓN DESTINO QUITO EN EL MERCADO LOCAL Y NACIONAL"/>
    <s v="02.01.001.046.730207.000.002"/>
    <s v="000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n v="100000"/>
    <n v="0"/>
    <n v="0"/>
    <n v="0"/>
    <n v="0"/>
    <n v="0"/>
    <n v="0"/>
    <n v="50000"/>
    <n v="0"/>
    <n v="0"/>
    <n v="0"/>
    <n v="0"/>
    <n v="50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6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s v="02.01.001.043.730249.001.002"/>
    <s v="001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n v="537792"/>
    <n v="0"/>
    <n v="0"/>
    <m/>
    <m/>
    <m/>
    <n v="60016"/>
    <n v="85256"/>
    <n v="74016"/>
    <n v="85256"/>
    <m/>
    <n v="33248"/>
    <n v="200000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4-01T00:00:00"/>
    <d v="2026-04-30T00:00:00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s v="02.01.001.049.730207.000.002"/>
    <s v="000"/>
    <s v="730207"/>
    <s v="Asignación Municipal"/>
    <n v="0"/>
    <m/>
    <m/>
    <m/>
    <m/>
    <m/>
    <m/>
    <m/>
    <m/>
    <m/>
    <m/>
    <m/>
    <m/>
    <n v="120000"/>
    <n v="120000"/>
    <m/>
    <m/>
    <m/>
    <n v="120000"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9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s v="02.01.001.043.730249.000.002"/>
    <s v="000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n v="700000"/>
    <n v="0"/>
    <n v="0"/>
    <m/>
    <m/>
    <m/>
    <m/>
    <m/>
    <m/>
    <n v="600000"/>
    <m/>
    <m/>
    <n v="100000"/>
    <m/>
    <n v="0"/>
    <n v="0"/>
    <n v="0"/>
    <n v="0"/>
    <e v="#N/A"/>
    <m/>
    <m/>
    <e v="#N/A"/>
    <n v="0"/>
    <n v="0"/>
    <n v="685000"/>
    <n v="1"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6-01T00:00:00"/>
    <d v="2026-10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s v="02.01.001.043.730249.002.002"/>
    <s v="002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n v="49999.99"/>
    <n v="0"/>
    <n v="0"/>
    <m/>
    <m/>
    <m/>
    <n v="19999.990000000002"/>
    <m/>
    <n v="15000"/>
    <m/>
    <n v="15000"/>
    <m/>
    <m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8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s v="02.01.001.043.730249.003.002"/>
    <s v="003"/>
    <s v="730249"/>
    <s v="Asignación Municipal"/>
    <n v="0"/>
    <m/>
    <m/>
    <m/>
    <m/>
    <m/>
    <m/>
    <m/>
    <m/>
    <m/>
    <m/>
    <m/>
    <m/>
    <n v="70000"/>
    <n v="70000"/>
    <m/>
    <m/>
    <m/>
    <m/>
    <m/>
    <m/>
    <m/>
    <n v="15000"/>
    <m/>
    <n v="12500"/>
    <m/>
    <n v="42500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</r>
  <r>
    <x v="3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x v="10"/>
    <d v="2026-04-01T00:00:00"/>
    <d v="2026-04-30T00:00:00"/>
    <m/>
    <m/>
    <m/>
    <m/>
    <m/>
    <m/>
    <m/>
    <m/>
    <m/>
    <m/>
    <m/>
    <m/>
    <s v="Estudios para el desarrollo de una Arena de Eventos en el DMQ"/>
    <s v="02.01.001.035.730605.000.002"/>
    <s v="000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n v="242000"/>
    <n v="0"/>
    <n v="0"/>
    <m/>
    <n v="242000"/>
    <n v="0"/>
    <n v="0"/>
    <n v="0"/>
    <n v="0"/>
    <n v="0"/>
    <n v="0"/>
    <n v="0"/>
    <n v="0"/>
    <m/>
    <n v="0"/>
    <n v="0"/>
    <n v="169400"/>
    <n v="0"/>
    <e v="#N/A"/>
    <m/>
    <m/>
    <e v="#N/A"/>
    <n v="169400"/>
    <n v="0"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Aporte Patronal)"/>
    <s v="02.01.001.008.710601.000.002"/>
    <s v="000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1047.9100000000001"/>
    <n v="1321.65"/>
    <n v="1047.9100000000001"/>
    <e v="#N/A"/>
    <m/>
    <m/>
    <e v="#N/A"/>
    <n v="1321.65"/>
    <n v="1047.91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2.01.001.009.710707.000.002"/>
    <s v="000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Décimo Cuarto Sueldo)"/>
    <s v="02.01.001.010.710204.000.002"/>
    <s v="000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n v="5280"/>
    <n v="440"/>
    <n v="440"/>
    <n v="440"/>
    <n v="440"/>
    <n v="440"/>
    <n v="440"/>
    <n v="440"/>
    <n v="440"/>
    <n v="440"/>
    <n v="440"/>
    <n v="440"/>
    <n v="440"/>
    <m/>
    <n v="0"/>
    <n v="40.17"/>
    <n v="455.22"/>
    <n v="40.17"/>
    <e v="#N/A"/>
    <m/>
    <m/>
    <e v="#N/A"/>
    <n v="455.22"/>
    <n v="40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Décimo Tercer Sueldo)"/>
    <s v="02.01.001.011.710203.000.002"/>
    <s v="000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75.34"/>
    <n v="945.39"/>
    <n v="75.34"/>
    <e v="#N/A"/>
    <m/>
    <m/>
    <e v="#N/A"/>
    <n v="945.39"/>
    <n v="75.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Fondos de Reserva)"/>
    <s v="02.01.001.012.710602.000.002"/>
    <s v="000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577.05999999999995"/>
    <n v="945.01"/>
    <n v="577.05999999999995"/>
    <e v="#N/A"/>
    <m/>
    <m/>
    <e v="#N/A"/>
    <n v="945.01"/>
    <n v="577.05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Horas Extraordinarias y Suplementarias)"/>
    <s v="02.01.001.024.710509.000.002"/>
    <s v="000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0"/>
    <n v="3797.02"/>
    <n v="0"/>
    <e v="#N/A"/>
    <m/>
    <m/>
    <e v="#N/A"/>
    <n v="3797.0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Servicios Personales por Contrato)"/>
    <s v="02.01.001.013.710510.000.002"/>
    <s v="000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114600"/>
    <n v="9550"/>
    <n v="9550"/>
    <n v="9550"/>
    <n v="9550"/>
    <n v="9550"/>
    <n v="9550"/>
    <n v="9550"/>
    <n v="9550"/>
    <n v="9550"/>
    <n v="9550"/>
    <n v="9550"/>
    <n v="9550"/>
    <m/>
    <n v="0"/>
    <n v="8994.91"/>
    <n v="11344.67"/>
    <n v="8994.91"/>
    <e v="#N/A"/>
    <m/>
    <m/>
    <e v="#N/A"/>
    <n v="11344.67"/>
    <n v="8994.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x v="12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s v="02.01.001.034.730207.000.002"/>
    <s v="000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n v="234800"/>
    <n v="0"/>
    <n v="0"/>
    <n v="0"/>
    <n v="0"/>
    <n v="0"/>
    <n v="0"/>
    <n v="117400"/>
    <n v="0"/>
    <n v="0"/>
    <n v="0"/>
    <n v="0"/>
    <n v="117400"/>
    <m/>
    <n v="0"/>
    <n v="0"/>
    <n v="234800"/>
    <n v="0"/>
    <e v="#N/A"/>
    <m/>
    <m/>
    <e v="#N/A"/>
    <n v="23480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s v="02.01.001.047.730249.000.002"/>
    <s v="000"/>
    <n v="730249"/>
    <s v="Asignación Municipal"/>
    <n v="40000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  <n v="0"/>
    <n v="0"/>
    <n v="0"/>
    <e v="#N/A"/>
    <m/>
    <m/>
    <e v="#N/A"/>
    <n v="0"/>
    <n v="0"/>
    <n v="40000"/>
    <n v="1"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x v="13"/>
    <e v="#NUM!"/>
    <e v="#NUM!"/>
    <m/>
    <m/>
    <m/>
    <m/>
    <m/>
    <m/>
    <m/>
    <m/>
    <m/>
    <m/>
    <m/>
    <m/>
    <s v="Readecuaciones, mobiliario y equipamiento del predio 203140 correspondiente al Mirador de Guápulo"/>
    <s v="02.01.001.044.730601.000.002"/>
    <s v="000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120000"/>
    <n v="2"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x v="12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16.730207.000.002"/>
    <s v="000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n v="57655"/>
    <n v="0"/>
    <n v="9609.16"/>
    <n v="9609.16"/>
    <n v="9609.17"/>
    <n v="9609.17"/>
    <n v="9609.17"/>
    <n v="9609.17"/>
    <m/>
    <m/>
    <m/>
    <m/>
    <m/>
    <m/>
    <n v="0"/>
    <n v="0"/>
    <n v="0"/>
    <n v="0"/>
    <e v="#N/A"/>
    <m/>
    <m/>
    <e v="#N/A"/>
    <n v="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x v="12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23.730207.000.002"/>
    <s v="000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n v="48977.5"/>
    <n v="0"/>
    <n v="8162.91"/>
    <n v="8162.91"/>
    <n v="8162.92"/>
    <n v="8162.92"/>
    <n v="8162.92"/>
    <n v="8162.92"/>
    <m/>
    <m/>
    <m/>
    <m/>
    <m/>
    <m/>
    <n v="0"/>
    <n v="0"/>
    <n v="0"/>
    <n v="0"/>
    <e v="#N/A"/>
    <m/>
    <m/>
    <e v="#N/A"/>
    <n v="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4"/>
    <d v="2026-02-01T00:00:00"/>
    <d v="2026-12-31T00:00:00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s v="02.01.001.050.730606.000.002"/>
    <s v="000"/>
    <s v="730606"/>
    <s v="Asignación Municipal"/>
    <n v="0"/>
    <m/>
    <m/>
    <m/>
    <m/>
    <m/>
    <m/>
    <m/>
    <m/>
    <m/>
    <m/>
    <m/>
    <m/>
    <n v="30800"/>
    <n v="30800"/>
    <m/>
    <n v="2800"/>
    <n v="2800"/>
    <n v="2800"/>
    <n v="2800"/>
    <n v="2800"/>
    <n v="2800"/>
    <n v="2800"/>
    <n v="2800"/>
    <n v="2800"/>
    <n v="2800"/>
    <n v="28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s v="02.01.001.051.730207.000.002"/>
    <s v="000"/>
    <s v="730207"/>
    <s v="Asignación Municipal"/>
    <n v="0"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4"/>
    <e v="#NUM!"/>
    <e v="#NUM!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0.002"/>
    <s v="000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n v="0"/>
    <n v="0"/>
    <m/>
    <m/>
    <m/>
    <m/>
    <m/>
    <m/>
    <m/>
    <m/>
    <m/>
    <m/>
    <m/>
    <m/>
    <n v="0"/>
    <n v="0"/>
    <n v="0"/>
    <n v="0"/>
    <e v="#N/A"/>
    <m/>
    <m/>
    <e v="#N/A"/>
    <n v="0"/>
    <n v="0"/>
    <n v="150000"/>
    <n v="1"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4"/>
    <e v="#NUM!"/>
    <e v="#NUM!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1.002"/>
    <s v="001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n v="0"/>
    <n v="0"/>
    <m/>
    <m/>
    <m/>
    <m/>
    <m/>
    <m/>
    <m/>
    <m/>
    <m/>
    <m/>
    <m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x v="13"/>
    <d v="2026-05-01T00:00:00"/>
    <d v="2026-09-30T00:00:00"/>
    <m/>
    <m/>
    <m/>
    <m/>
    <m/>
    <m/>
    <m/>
    <m/>
    <m/>
    <m/>
    <m/>
    <m/>
    <s v="Servicio de implementación de facilidades turísticas en el DMQ"/>
    <s v="02.01.001.017.730425.000.002"/>
    <s v="000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n v="147000"/>
    <n v="0"/>
    <n v="0"/>
    <n v="0"/>
    <n v="0"/>
    <n v="27000"/>
    <n v="30000"/>
    <n v="30000"/>
    <n v="30000"/>
    <n v="30000"/>
    <m/>
    <n v="0"/>
    <n v="0"/>
    <m/>
    <n v="0"/>
    <n v="0"/>
    <n v="146595"/>
    <n v="0"/>
    <e v="#N/A"/>
    <m/>
    <m/>
    <e v="#N/A"/>
    <n v="146595"/>
    <n v="0"/>
    <n v="140000"/>
    <n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x v="13"/>
    <e v="#NUM!"/>
    <e v="#NUM!"/>
    <m/>
    <m/>
    <m/>
    <m/>
    <m/>
    <m/>
    <m/>
    <m/>
    <m/>
    <m/>
    <m/>
    <m/>
    <s v="Servicio de Mantenimiento de facilidades turísticas en el DMQ"/>
    <s v="02.01.001.015.730425.000.002"/>
    <s v="000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n v="0"/>
    <n v="0"/>
    <n v="0"/>
    <n v="0"/>
    <n v="0"/>
    <n v="0"/>
    <m/>
    <m/>
    <m/>
    <n v="0"/>
    <n v="0"/>
    <n v="0"/>
    <n v="0"/>
    <m/>
    <n v="0"/>
    <n v="0"/>
    <n v="0"/>
    <n v="0"/>
    <e v="#N/A"/>
    <m/>
    <m/>
    <e v="#N/A"/>
    <n v="0"/>
    <n v="0"/>
    <n v="75000"/>
    <n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Servicio de Organización y producción de 1 evento internacional captado para 2026 PCMA"/>
    <s v="02.01.001.048.730249.000.002"/>
    <s v="000"/>
    <n v="730249"/>
    <s v="Asignación Municipal"/>
    <n v="150000"/>
    <n v="0"/>
    <n v="0"/>
    <n v="0"/>
    <n v="0"/>
    <n v="0"/>
    <n v="150000"/>
    <n v="0"/>
    <n v="0"/>
    <n v="0"/>
    <n v="0"/>
    <n v="0"/>
    <n v="0"/>
    <m/>
    <n v="150000"/>
    <n v="0"/>
    <n v="0"/>
    <n v="0"/>
    <n v="0"/>
    <n v="0"/>
    <n v="150000"/>
    <n v="0"/>
    <n v="0"/>
    <n v="0"/>
    <n v="0"/>
    <n v="0"/>
    <n v="0"/>
    <m/>
    <n v="0"/>
    <n v="0"/>
    <n v="0"/>
    <n v="0"/>
    <e v="#N/A"/>
    <m/>
    <m/>
    <e v="#N/A"/>
    <n v="0"/>
    <n v="0"/>
    <n v="150000"/>
    <n v="1"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4"/>
    <d v="2026-06-01T00:00:00"/>
    <d v="2026-12-31T00:00:00"/>
    <m/>
    <m/>
    <m/>
    <m/>
    <m/>
    <m/>
    <m/>
    <m/>
    <m/>
    <m/>
    <m/>
    <m/>
    <s v="SERVICIO DE PAUTA DE CAMPAÑA PROMOCIONAL DEL DESTINO QUITO"/>
    <s v="02.01.001.021.730207.000.002"/>
    <s v="000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n v="88500"/>
    <n v="0"/>
    <n v="0"/>
    <n v="0"/>
    <n v="0"/>
    <n v="0"/>
    <n v="8000"/>
    <n v="8000"/>
    <n v="8000"/>
    <n v="8000"/>
    <n v="8000"/>
    <n v="8000"/>
    <n v="40500"/>
    <m/>
    <n v="0"/>
    <n v="0"/>
    <n v="0"/>
    <n v="0"/>
    <e v="#N/A"/>
    <m/>
    <m/>
    <e v="#N/A"/>
    <n v="0"/>
    <n v="0"/>
    <n v="380000"/>
    <n v="1"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</r>
  <r>
    <x v="1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21"/>
    <n v="0.21"/>
    <n v="0.21"/>
    <n v="0.46"/>
    <n v="0.46"/>
    <n v="0.46"/>
    <n v="0.71"/>
    <n v="0.71"/>
    <n v="0.71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x v="15"/>
    <d v="2026-10-01T00:00:00"/>
    <d v="2026-10-31T00:00:00"/>
    <m/>
    <m/>
    <m/>
    <m/>
    <m/>
    <m/>
    <m/>
    <m/>
    <m/>
    <m/>
    <m/>
    <m/>
    <s v="Suscripción al servicio de provisión de datos en línea para la gestión de servicios de inteligencia turística"/>
    <s v="02.01.001.031.730702.000.002"/>
    <s v="000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n v="39246.509999999995"/>
    <n v="0"/>
    <n v="0"/>
    <n v="0"/>
    <n v="0"/>
    <n v="0"/>
    <n v="0"/>
    <n v="0"/>
    <n v="0"/>
    <n v="0"/>
    <n v="39246.51"/>
    <n v="0"/>
    <n v="0"/>
    <m/>
    <n v="0"/>
    <n v="0"/>
    <n v="0"/>
    <n v="0"/>
    <e v="#N/A"/>
    <m/>
    <m/>
    <e v="#N/A"/>
    <n v="0"/>
    <n v="0"/>
    <n v="148771"/>
    <n v="2"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01.01.001.002.530702.000.009"/>
    <s v="000"/>
    <n v="530702"/>
    <x v="0"/>
    <n v="300"/>
    <n v="0"/>
    <n v="0"/>
    <n v="0"/>
    <n v="0"/>
    <n v="3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almacenamiento NAS tipo torre"/>
    <s v="01.01.001.166.840107.000.009"/>
    <s v="000"/>
    <n v="840107"/>
    <x v="0"/>
    <n v="10000"/>
    <n v="0"/>
    <n v="0"/>
    <n v="0"/>
    <n v="0"/>
    <n v="0"/>
    <n v="0"/>
    <n v="0"/>
    <n v="0"/>
    <n v="0"/>
    <n v="1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Adquisición de central telefónica para Oficina Matriz Quito Turismo"/>
    <s v="01.01.001.178.840107.000.009"/>
    <s v="000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computadores portátiles"/>
    <s v="01.01.001.175.840107.000.009"/>
    <s v="000"/>
    <n v="840107"/>
    <x v="0"/>
    <n v="15000"/>
    <n v="0"/>
    <n v="0"/>
    <n v="0"/>
    <n v="0"/>
    <n v="0"/>
    <n v="0"/>
    <n v="0"/>
    <n v="1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del NAS y mantenimiento "/>
    <s v="01.01.001.008.530243.000.009"/>
    <s v="000"/>
    <n v="530243"/>
    <x v="0"/>
    <n v="3500"/>
    <n v="0"/>
    <n v="0"/>
    <n v="0"/>
    <n v="0"/>
    <n v="35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del NAS y mantenimiento "/>
    <s v="01.01.001.008.530704.000.009"/>
    <s v="000"/>
    <n v="530704"/>
    <x v="0"/>
    <n v="1000"/>
    <n v="0"/>
    <n v="0"/>
    <n v="0"/>
    <n v="0"/>
    <n v="0"/>
    <n v="1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243.000.009"/>
    <s v="000"/>
    <n v="530243"/>
    <x v="0"/>
    <n v="3500"/>
    <n v="0"/>
    <n v="0"/>
    <n v="0"/>
    <n v="0"/>
    <n v="0"/>
    <n v="3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404.000.009"/>
    <s v="000"/>
    <n v="530404"/>
    <x v="0"/>
    <n v="1500"/>
    <n v="0"/>
    <n v="0"/>
    <n v="0"/>
    <n v="0"/>
    <n v="0"/>
    <n v="1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herramientas y accesorios tecnológicos"/>
    <s v="01.01.001.004.531406.000.009"/>
    <s v="000"/>
    <n v="531406"/>
    <x v="0"/>
    <n v="3383.88"/>
    <n v="0"/>
    <n v="0"/>
    <n v="0"/>
    <n v="0"/>
    <n v="3383.88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herramientas y accesorios tecnológicos"/>
    <s v="01.01.001.004.531407.000.009"/>
    <s v="000"/>
    <n v="531407"/>
    <x v="0"/>
    <n v="3383.87"/>
    <n v="0"/>
    <n v="0"/>
    <n v="0"/>
    <n v="0"/>
    <n v="3383.87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840107.000.009"/>
    <s v="000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702.000.009"/>
    <s v="000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402.000.009"/>
    <s v="000"/>
    <s v="530402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s v="Adquisición de Material POP"/>
    <s v="01.01.002.053.530207.000.009"/>
    <s v="000"/>
    <n v="530207"/>
    <x v="0"/>
    <n v="27795"/>
    <m/>
    <m/>
    <m/>
    <m/>
    <m/>
    <m/>
    <m/>
    <m/>
    <n v="27795"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monitores"/>
    <s v="01.01.001.162.840107.000.009"/>
    <s v="000"/>
    <n v="840107"/>
    <x v="0"/>
    <n v="10000"/>
    <n v="0"/>
    <n v="0"/>
    <n v="0"/>
    <n v="0"/>
    <n v="0"/>
    <n v="0"/>
    <n v="0"/>
    <n v="0"/>
    <n v="10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partes, piezas y/o repuestos de impresoras"/>
    <s v="01.01.001.122.530813.000.009"/>
    <s v="000"/>
    <n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01.01.001.122.530813.001.009"/>
    <s v="001"/>
    <n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01.01.001.179.530813.000.009"/>
    <s v="000"/>
    <s v="530813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01.01.001.180.530704.000.009"/>
    <s v="000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PDU para rack autocontenido"/>
    <s v="01.01.001.163.840107.000.009"/>
    <s v="000"/>
    <n v="840107"/>
    <x v="0"/>
    <n v="3000"/>
    <n v="0"/>
    <n v="0"/>
    <n v="0"/>
    <n v="300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repuestos y accesorios para vehículos de la EPMGDT"/>
    <s v="01.01.001.013.530813.000.009"/>
    <s v="000"/>
    <n v="530813"/>
    <x v="0"/>
    <n v="500"/>
    <n v="0"/>
    <n v="0"/>
    <n v="0"/>
    <n v="0"/>
    <n v="0"/>
    <n v="0"/>
    <n v="0"/>
    <n v="0"/>
    <n v="0"/>
    <n v="50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s v="01.01.001.014.530802.000.009"/>
    <s v="000"/>
    <n v="530802"/>
    <x v="0"/>
    <n v="676"/>
    <n v="0"/>
    <n v="0"/>
    <n v="0"/>
    <n v="0"/>
    <n v="0"/>
    <n v="0"/>
    <n v="0"/>
    <n v="0"/>
    <n v="0"/>
    <n v="676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s v="01.01.001.016.530807.000.009"/>
    <s v="000"/>
    <n v="530807"/>
    <x v="0"/>
    <n v="20000"/>
    <n v="0"/>
    <n v="0"/>
    <n v="0"/>
    <n v="0"/>
    <n v="0"/>
    <n v="0"/>
    <n v="0"/>
    <n v="2000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s v="01.01.001.188.530807.000.009"/>
    <s v="000"/>
    <s v="5308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5-2026"/>
    <s v="01.01.001.073.530701.000.009"/>
    <s v="000"/>
    <n v="530701"/>
    <x v="0"/>
    <n v="7000"/>
    <n v="0"/>
    <n v="0"/>
    <n v="7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5-2026"/>
    <s v="01.01.001.073.530702.000.009"/>
    <s v="000"/>
    <n v="530702"/>
    <x v="0"/>
    <n v="40000"/>
    <n v="0"/>
    <n v="0"/>
    <n v="4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5-2026"/>
    <s v="01.01.001.073.840107.000.009"/>
    <s v="000"/>
    <n v="840107"/>
    <x v="0"/>
    <n v="60000"/>
    <n v="0"/>
    <n v="0"/>
    <n v="6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6 - 2027"/>
    <s v="01.01.001.164.530702.000.009"/>
    <s v="000"/>
    <n v="530702"/>
    <x v="0"/>
    <n v="30000"/>
    <n v="0"/>
    <n v="0"/>
    <n v="0"/>
    <n v="0"/>
    <n v="0"/>
    <n v="0"/>
    <n v="0"/>
    <n v="0"/>
    <n v="0"/>
    <n v="3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6 - 2027"/>
    <s v="01.01.001.164.840107.000.009"/>
    <s v="000"/>
    <n v="840107"/>
    <x v="0"/>
    <n v="8492.18"/>
    <n v="0"/>
    <n v="0"/>
    <n v="0"/>
    <n v="0"/>
    <n v="0"/>
    <n v="0"/>
    <n v="0"/>
    <n v="0"/>
    <n v="0"/>
    <n v="8492.18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Adquisición de UPS "/>
    <s v="01.01.001.165.840107.000.009"/>
    <s v="000"/>
    <n v="840107"/>
    <x v="0"/>
    <n v="17000"/>
    <n v="0"/>
    <n v="0"/>
    <n v="0"/>
    <n v="0"/>
    <n v="0"/>
    <n v="0"/>
    <n v="17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suministros de oficina para la EPMGDT"/>
    <s v="01.01.001.021.530807.000.009"/>
    <s v="000"/>
    <n v="530804"/>
    <x v="0"/>
    <n v="10000"/>
    <n v="0"/>
    <n v="0"/>
    <n v="0"/>
    <n v="0"/>
    <n v="0"/>
    <n v="0"/>
    <n v="0"/>
    <n v="0"/>
    <n v="0"/>
    <n v="1000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s v="01.01.001.126.530210.000.009"/>
    <s v="000"/>
    <n v="530210"/>
    <x v="0"/>
    <n v="7800"/>
    <n v="650"/>
    <n v="650"/>
    <n v="650"/>
    <n v="650"/>
    <n v="650"/>
    <n v="650"/>
    <n v="650"/>
    <n v="650"/>
    <n v="650"/>
    <n v="650"/>
    <n v="650"/>
    <n v="6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106.000.009"/>
    <s v="000"/>
    <n v="530106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204.000.009"/>
    <s v="000"/>
    <n v="5302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502.000.009"/>
    <s v="000"/>
    <n v="530502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1.000.009"/>
    <s v="000"/>
    <n v="530801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4.000.009"/>
    <s v="000"/>
    <n v="5308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5.000.009"/>
    <s v="000"/>
    <n v="530805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22.000.009"/>
    <s v="000"/>
    <n v="530822"/>
    <x v="0"/>
    <n v="514.77"/>
    <n v="0"/>
    <n v="0"/>
    <n v="0"/>
    <n v="0"/>
    <n v="0"/>
    <n v="0"/>
    <n v="0"/>
    <n v="0"/>
    <n v="0"/>
    <n v="0"/>
    <n v="0"/>
    <n v="514.7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1601.000.009"/>
    <s v="000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204.000.009"/>
    <s v="000"/>
    <n v="530204"/>
    <x v="0"/>
    <n v="300"/>
    <n v="0"/>
    <n v="0"/>
    <n v="0"/>
    <n v="0"/>
    <n v="0"/>
    <n v="0"/>
    <n v="0"/>
    <n v="0"/>
    <n v="0"/>
    <n v="0"/>
    <n v="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405.000.009"/>
    <s v="000"/>
    <n v="530405"/>
    <x v="0"/>
    <n v="100"/>
    <n v="0"/>
    <n v="0"/>
    <n v="0"/>
    <n v="0"/>
    <n v="0"/>
    <n v="0"/>
    <n v="0"/>
    <n v="0"/>
    <n v="0"/>
    <n v="0"/>
    <n v="0"/>
    <n v="1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04.000.009"/>
    <s v="000"/>
    <n v="530804"/>
    <x v="0"/>
    <n v="50"/>
    <n v="0"/>
    <n v="0"/>
    <n v="0"/>
    <n v="0"/>
    <n v="0"/>
    <n v="0"/>
    <n v="0"/>
    <n v="0"/>
    <n v="0"/>
    <n v="0"/>
    <n v="0"/>
    <n v="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05.000.009"/>
    <s v="000"/>
    <n v="530805"/>
    <x v="0"/>
    <n v="200"/>
    <n v="0"/>
    <n v="0"/>
    <n v="0"/>
    <n v="0"/>
    <n v="0"/>
    <n v="0"/>
    <n v="0"/>
    <n v="0"/>
    <n v="0"/>
    <n v="0"/>
    <n v="2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11.000.009"/>
    <s v="000"/>
    <n v="530811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13.000.009"/>
    <s v="000"/>
    <n v="530813"/>
    <x v="0"/>
    <n v="800"/>
    <n v="0"/>
    <n v="0"/>
    <n v="0"/>
    <n v="0"/>
    <n v="0"/>
    <n v="0"/>
    <n v="0"/>
    <n v="0"/>
    <n v="0"/>
    <n v="8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1601.000.009"/>
    <s v="000"/>
    <s v="531601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contratación directa servicio de auditoría externa para los estados financieros del periodo cerrado al 31 de diciembre de 2025"/>
    <s v="01.01.001.080.530602.000.009"/>
    <s v="000"/>
    <n v="530602"/>
    <x v="0"/>
    <n v="6600"/>
    <n v="0"/>
    <n v="0"/>
    <n v="0"/>
    <n v="0"/>
    <n v="660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sultoría para la verificación de recaudación de Tasa de Facilidades y Servicios Turísticos 2025."/>
    <s v="01.01.001.156.530601.000.009"/>
    <s v="000"/>
    <n v="530601"/>
    <x v="0"/>
    <n v="14400"/>
    <m/>
    <m/>
    <m/>
    <m/>
    <m/>
    <m/>
    <n v="144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e v="#NUM!"/>
    <e v="#NUM!"/>
    <m/>
    <m/>
    <m/>
    <m/>
    <m/>
    <m/>
    <m/>
    <m/>
    <m/>
    <m/>
    <m/>
    <m/>
    <s v="Contratación de empresa verificadora"/>
    <s v="01.01.002.051.630601.000.009"/>
    <s v="000"/>
    <n v="630601"/>
    <x v="0"/>
    <n v="117500"/>
    <m/>
    <m/>
    <m/>
    <m/>
    <m/>
    <m/>
    <n v="117500"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 los servicios profesionales de un ingeniero civil"/>
    <s v="01.01.001.135.530606.000.009"/>
    <s v="000"/>
    <n v="530606"/>
    <x v="0"/>
    <n v="14400"/>
    <n v="1800"/>
    <n v="1800"/>
    <n v="1800"/>
    <n v="1800"/>
    <n v="1800"/>
    <n v="1800"/>
    <n v="1800"/>
    <n v="1800"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s v="01.01.001.026.570201.000.009"/>
    <s v="000"/>
    <n v="570201"/>
    <x v="0"/>
    <n v="40000"/>
    <n v="0"/>
    <n v="0"/>
    <n v="0"/>
    <n v="4000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4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606.000.009"/>
    <s v="000"/>
    <n v="530606"/>
    <x v="0"/>
    <n v="12500"/>
    <n v="2500"/>
    <n v="2500"/>
    <n v="2500"/>
    <n v="2500"/>
    <n v="25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801.000.009"/>
    <s v="000"/>
    <s v="530801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s v="01.01.001.027.530606.000.009"/>
    <s v="000"/>
    <n v="530606"/>
    <x v="0"/>
    <n v="13800"/>
    <n v="1150"/>
    <n v="1150"/>
    <n v="1150"/>
    <n v="1150"/>
    <n v="1150"/>
    <n v="1150"/>
    <n v="1150"/>
    <n v="1150"/>
    <n v="1150"/>
    <n v="1150"/>
    <n v="1150"/>
    <n v="115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 Servicios Profesionales, Desarrollador de software"/>
    <s v="01.01.001.124.530606.000.009"/>
    <s v="000"/>
    <n v="530606"/>
    <x v="0"/>
    <n v="6000"/>
    <n v="2000"/>
    <n v="2000"/>
    <n v="200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s v="01.01.001.028.530606.000.009"/>
    <s v="000"/>
    <n v="530606"/>
    <x v="0"/>
    <n v="450"/>
    <n v="0"/>
    <n v="0"/>
    <n v="0"/>
    <n v="0"/>
    <n v="0"/>
    <n v="0"/>
    <n v="0"/>
    <n v="0"/>
    <n v="0"/>
    <n v="0"/>
    <n v="0"/>
    <n v="4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s v="01.01.001.186.530606.000.009"/>
    <s v="000"/>
    <s v="530606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1.000.009"/>
    <s v="000"/>
    <n v="530301"/>
    <x v="0"/>
    <n v="3000"/>
    <n v="0"/>
    <n v="250"/>
    <n v="250"/>
    <n v="250"/>
    <n v="250"/>
    <n v="250"/>
    <n v="250"/>
    <n v="300"/>
    <n v="300"/>
    <n v="300"/>
    <n v="30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2.000.009"/>
    <s v="000"/>
    <n v="530302"/>
    <x v="0"/>
    <n v="60000"/>
    <n v="0"/>
    <n v="5400"/>
    <n v="5400"/>
    <n v="5400"/>
    <n v="5400"/>
    <n v="5400"/>
    <n v="5500"/>
    <n v="5500"/>
    <n v="5500"/>
    <n v="5500"/>
    <n v="5500"/>
    <n v="5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s v="01.01.001.024.530502.000.009"/>
    <s v="000"/>
    <n v="530502"/>
    <x v="0"/>
    <n v="18000"/>
    <n v="1500"/>
    <n v="1500"/>
    <n v="1500"/>
    <n v="1500"/>
    <n v="1500"/>
    <n v="1500"/>
    <n v="1500"/>
    <n v="1500"/>
    <n v="1500"/>
    <n v="1500"/>
    <n v="1500"/>
    <n v="1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s v="01.01.001.031.530209.000.009"/>
    <s v="000"/>
    <n v="530209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tratación del servicio de inspección, identificación y funcionamiento de los circuitos de los tableros eléctricos de la EPMGDT"/>
    <s v="01.01.001.033.530811.000.009"/>
    <s v="000"/>
    <n v="530811"/>
    <x v="0"/>
    <n v="15000"/>
    <n v="0"/>
    <n v="0"/>
    <n v="0"/>
    <n v="0"/>
    <n v="0"/>
    <n v="0"/>
    <n v="15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Contratación del servicio de mantenimiento del mobiliario perteneciente a la EPMGDT"/>
    <s v="01.01.001.035.530403.000.009"/>
    <s v="000"/>
    <n v="530403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Contratación del servicio de mantenimiento del sistema contraincendios de las instalaciones de la EPMGDT"/>
    <s v="01.01.001.036.530404.000.009"/>
    <s v="000"/>
    <n v="530404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de cisterna y bombas de agua de las instalaciones de la EPMGDT"/>
    <s v="01.01.001.037.530404.000.009"/>
    <s v="000"/>
    <n v="530404"/>
    <x v="0"/>
    <n v="1000"/>
    <n v="0"/>
    <n v="0"/>
    <n v="0"/>
    <n v="0"/>
    <n v="0"/>
    <n v="0"/>
    <n v="0"/>
    <n v="0"/>
    <n v="0"/>
    <n v="1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s v="01.01.001.150.530404.000.009"/>
    <s v="000"/>
    <n v="530404"/>
    <x v="0"/>
    <n v="180"/>
    <n v="0"/>
    <n v="0"/>
    <n v="90"/>
    <n v="0"/>
    <n v="0"/>
    <n v="0"/>
    <n v="0"/>
    <n v="0"/>
    <n v="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840104.000.009"/>
    <s v="000"/>
    <s v="8401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531407.000.009"/>
    <s v="000"/>
    <s v="5314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s v="01.01.001.039.530404.000.009"/>
    <s v="000"/>
    <n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s v="01.01.001.040.530203.000.009"/>
    <s v="000"/>
    <n v="530203"/>
    <x v="0"/>
    <n v="500"/>
    <n v="0"/>
    <n v="0"/>
    <n v="0"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y correctivo del ascensor de las instalaciones de la EPMGDT"/>
    <s v="01.01.001.041.530404.000.009"/>
    <s v="000"/>
    <n v="530404"/>
    <x v="0"/>
    <n v="6000"/>
    <n v="0"/>
    <n v="0"/>
    <n v="0"/>
    <n v="0"/>
    <n v="0"/>
    <n v="0"/>
    <n v="0"/>
    <n v="0"/>
    <n v="0"/>
    <n v="6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y correctivo del sistema de aire acondicionado para las instalaciones de la EPMGDT"/>
    <s v="01.01.001.043.530404.000.009"/>
    <s v="000"/>
    <n v="530404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tratación del servicio de mantenimiento preventivo y correctivo del transformador de las instalaciones de la EPMGDT"/>
    <s v="01.01.001.044.530404.000.009"/>
    <s v="000"/>
    <n v="530404"/>
    <x v="0"/>
    <n v="1000"/>
    <n v="0"/>
    <n v="0"/>
    <n v="0"/>
    <n v="0"/>
    <n v="0"/>
    <n v="0"/>
    <n v="1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s v="01.01.001.045.530405.000.009"/>
    <s v="000"/>
    <n v="530405"/>
    <x v="0"/>
    <n v="10000"/>
    <n v="0"/>
    <n v="0"/>
    <n v="1000"/>
    <n v="1000"/>
    <n v="1000"/>
    <n v="1000"/>
    <n v="1000"/>
    <n v="1000"/>
    <n v="1000"/>
    <n v="1000"/>
    <n v="100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s v="01.01.001.046.530405.000.009"/>
    <s v="000"/>
    <n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s v="01.01.001.047.530405.000.009"/>
    <s v="000"/>
    <n v="530405"/>
    <x v="0"/>
    <n v="2500"/>
    <n v="0"/>
    <n v="0"/>
    <n v="250"/>
    <n v="250"/>
    <n v="250"/>
    <n v="250"/>
    <n v="250"/>
    <n v="250"/>
    <n v="250"/>
    <n v="250"/>
    <n v="250"/>
    <n v="25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5.630207.000.009"/>
    <s v="000"/>
    <n v="630207"/>
    <x v="0"/>
    <n v="84951.1"/>
    <n v="2000"/>
    <n v="6000"/>
    <n v="6000"/>
    <n v="6000"/>
    <n v="6000"/>
    <n v="10000"/>
    <n v="10000"/>
    <n v="10000"/>
    <n v="10000"/>
    <n v="6000"/>
    <n v="6000"/>
    <n v="6951.1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2-01T00:00:00"/>
    <d v="2026-09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20.630207.000.009"/>
    <s v="000"/>
    <n v="630207"/>
    <x v="0"/>
    <n v="84951.1"/>
    <n v="0"/>
    <n v="10000"/>
    <n v="10000"/>
    <n v="10000"/>
    <n v="10000"/>
    <n v="15000"/>
    <n v="15000"/>
    <n v="10000"/>
    <n v="4951.1000000000004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0.009"/>
    <s v="000"/>
    <n v="630207"/>
    <x v="0"/>
    <n v="50000"/>
    <n v="0"/>
    <n v="0"/>
    <n v="0"/>
    <n v="0"/>
    <n v="0"/>
    <n v="0"/>
    <n v="0"/>
    <n v="0"/>
    <n v="0"/>
    <n v="0"/>
    <n v="0"/>
    <n v="50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4.630207.000.009"/>
    <s v="000"/>
    <n v="630207"/>
    <x v="0"/>
    <n v="25485.23"/>
    <n v="0"/>
    <n v="0"/>
    <n v="0"/>
    <n v="0"/>
    <n v="0"/>
    <n v="25485.23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1.009"/>
    <s v="001"/>
    <n v="630207"/>
    <x v="0"/>
    <n v="40000"/>
    <n v="0"/>
    <n v="0"/>
    <n v="0"/>
    <n v="0"/>
    <n v="0"/>
    <n v="0"/>
    <n v="15000"/>
    <n v="2500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s v="01.01.001.049.580101.000.009"/>
    <s v="000"/>
    <n v="580101"/>
    <x v="0"/>
    <n v="29000"/>
    <n v="2416.67"/>
    <n v="2416.67"/>
    <n v="2416.67"/>
    <n v="2416.67"/>
    <n v="2416.67"/>
    <n v="2416.67"/>
    <n v="2416.67"/>
    <n v="2416.67"/>
    <n v="2416.67"/>
    <n v="2416.67"/>
    <n v="2416.67"/>
    <n v="2416.6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s v="01.01.001.191.530606.000.009"/>
    <s v="000"/>
    <s v="530606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s v="01.01.001.190.530605.000.009"/>
    <s v="000"/>
    <s v="530605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Evaluación y preparación para la certificación de la seguridad de la información de un servicio de Quito Turismo "/>
    <s v="01.01.001.167.530601.000.009"/>
    <s v="000"/>
    <n v="530601"/>
    <x v="0"/>
    <n v="10000"/>
    <n v="0"/>
    <n v="0"/>
    <n v="0"/>
    <n v="0"/>
    <n v="0"/>
    <n v="0"/>
    <n v="0"/>
    <n v="0"/>
    <n v="3333.3333333333335"/>
    <n v="3333.3333333333335"/>
    <n v="3333.3333333333335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s v="01.01.002.003.670204.000.009"/>
    <s v="000"/>
    <n v="670204"/>
    <x v="0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s v="01.01.003.001.510306.000.009"/>
    <s v="000"/>
    <n v="510306"/>
    <x v="0"/>
    <n v="3758.4"/>
    <n v="313.2"/>
    <n v="313.2"/>
    <n v="313.2"/>
    <n v="313.2"/>
    <n v="313.2"/>
    <n v="313.2"/>
    <n v="313.2"/>
    <n v="313.2"/>
    <n v="313.2"/>
    <n v="313.2"/>
    <n v="313.2"/>
    <n v="313.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s v="01.01.003.002.510601.000.009"/>
    <s v="000"/>
    <n v="510601"/>
    <x v="0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e v="#NUM!"/>
    <e v="#NUM!"/>
    <m/>
    <m/>
    <m/>
    <m/>
    <m/>
    <m/>
    <m/>
    <m/>
    <m/>
    <m/>
    <m/>
    <m/>
    <s v="Generar la nómina de la EPMGDT (Compensación por Desahucio)"/>
    <s v="01.01.003.015.510704.000.009"/>
    <s v="000"/>
    <n v="510704"/>
    <x v="0"/>
    <n v="22302"/>
    <n v="1858.5"/>
    <n v="1858.5"/>
    <n v="1858.5"/>
    <n v="1858.5"/>
    <n v="1858.5"/>
    <n v="1858.5"/>
    <n v="1858.5"/>
    <n v="1858.5"/>
    <n v="1858.5"/>
    <n v="1858.5"/>
    <n v="1858.5"/>
    <n v="1858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s v="01.01.003.003.510304.000.009"/>
    <s v="000"/>
    <n v="510304"/>
    <x v="0"/>
    <n v="522"/>
    <n v="43.5"/>
    <n v="43.5"/>
    <n v="43.5"/>
    <n v="43.5"/>
    <n v="43.5"/>
    <n v="43.5"/>
    <n v="43.5"/>
    <n v="43.5"/>
    <n v="43.5"/>
    <n v="43.5"/>
    <n v="43.5"/>
    <n v="43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1.01.003.004.510707.000.009"/>
    <s v="000"/>
    <n v="510707"/>
    <x v="0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s v="01.01.003.005.510204.000.009"/>
    <s v="000"/>
    <n v="510204"/>
    <x v="0"/>
    <n v="44160"/>
    <n v="3680"/>
    <n v="3680"/>
    <n v="3680"/>
    <n v="3680"/>
    <n v="3680"/>
    <n v="3680"/>
    <n v="3680"/>
    <n v="3680"/>
    <n v="3680"/>
    <n v="3680"/>
    <n v="3680"/>
    <n v="368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s v="01.01.003.006.510203.000.009"/>
    <s v="000"/>
    <n v="510203"/>
    <x v="0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s v="01.01.003.007.510513.000.009"/>
    <s v="000"/>
    <n v="510513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s v="01.01.003.008.510602.000.009"/>
    <s v="000"/>
    <n v="510602"/>
    <x v="0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s v="01.01.003.009.510509.000.009"/>
    <s v="000"/>
    <n v="510509"/>
    <x v="0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s v="01.01.003.010.510105.000.009"/>
    <s v="000"/>
    <n v="510105"/>
    <x v="0"/>
    <n v="847680"/>
    <n v="70640"/>
    <n v="70640"/>
    <n v="70640"/>
    <n v="70640"/>
    <n v="70640"/>
    <n v="70640"/>
    <n v="70640"/>
    <n v="70640"/>
    <n v="70640"/>
    <n v="70640"/>
    <n v="70640"/>
    <n v="7064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s v="01.01.003.011.510106.000.009"/>
    <s v="000"/>
    <n v="510106"/>
    <x v="0"/>
    <n v="34656"/>
    <n v="2888"/>
    <n v="2888"/>
    <n v="2888"/>
    <n v="2888"/>
    <n v="2888"/>
    <n v="2888"/>
    <n v="2888"/>
    <n v="2888"/>
    <n v="2888"/>
    <n v="2888"/>
    <n v="2888"/>
    <n v="288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s v="01.01.003.012.510510.000.009"/>
    <s v="000"/>
    <n v="510510"/>
    <x v="0"/>
    <n v="728292"/>
    <n v="60691"/>
    <n v="60691"/>
    <n v="60691"/>
    <n v="60691"/>
    <n v="60691"/>
    <n v="60691"/>
    <n v="60691"/>
    <n v="60691"/>
    <n v="60691"/>
    <n v="60691"/>
    <n v="60691"/>
    <n v="6069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s v="01.01.003.013.510512.000.009"/>
    <s v="000"/>
    <n v="510512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s v="01.01.001.052.530404.000.009"/>
    <s v="000"/>
    <n v="530404"/>
    <x v="0"/>
    <n v="3000"/>
    <n v="0"/>
    <n v="0"/>
    <n v="0"/>
    <n v="0"/>
    <n v="0"/>
    <n v="0"/>
    <n v="1500"/>
    <n v="0"/>
    <n v="0"/>
    <n v="0"/>
    <n v="0"/>
    <n v="1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s v="01.01.002.057.530207.000.009"/>
    <s v="000"/>
    <s v="5302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s v="01.01.001.187.570201.000.009"/>
    <s v="000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Mantenimiento de edificios de la EPMGDT (fase 2)"/>
    <s v="01.01.001.057.530402.000.009"/>
    <s v="000"/>
    <n v="530402"/>
    <x v="0"/>
    <n v="102695.5"/>
    <n v="0"/>
    <n v="0"/>
    <n v="0"/>
    <n v="0"/>
    <n v="0"/>
    <n v="0"/>
    <n v="102695.5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01.01.001.168.530404.000.009"/>
    <s v="000"/>
    <n v="530404"/>
    <x v="0"/>
    <n v="2000"/>
    <n v="0"/>
    <n v="0"/>
    <n v="0"/>
    <n v="0"/>
    <n v="0"/>
    <n v="0"/>
    <n v="0"/>
    <n v="0"/>
    <n v="2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de sistema contra incendios de la EPMDGT"/>
    <s v="01.01.001.151.530404.000.009"/>
    <s v="000"/>
    <n v="530404"/>
    <x v="0"/>
    <n v="40000"/>
    <n v="0"/>
    <n v="0"/>
    <n v="0"/>
    <n v="0"/>
    <n v="0"/>
    <n v="40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01.01.001.061.530404.000.009"/>
    <s v="000"/>
    <n v="530404"/>
    <x v="0"/>
    <n v="1000"/>
    <n v="0"/>
    <n v="0"/>
    <n v="0"/>
    <n v="0"/>
    <n v="0"/>
    <n v="0"/>
    <n v="0"/>
    <n v="0"/>
    <n v="1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01.01.001.177.530701.000.009"/>
    <s v="000"/>
    <s v="5307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del sistema hidrosanitario (fase 1)"/>
    <s v="01.01.001.152.530404.000.009"/>
    <s v="000"/>
    <n v="530404"/>
    <x v="0"/>
    <n v="74600"/>
    <n v="0"/>
    <n v="0"/>
    <n v="0"/>
    <n v="0"/>
    <n v="0"/>
    <n v="746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01.01.001.058.530404.000.009"/>
    <s v="000"/>
    <n v="530404"/>
    <x v="0"/>
    <n v="3500"/>
    <n v="0"/>
    <n v="0"/>
    <n v="0"/>
    <n v="0"/>
    <n v="0"/>
    <n v="0"/>
    <n v="0"/>
    <n v="0"/>
    <n v="0"/>
    <n v="35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Mantenimiento preventivo de equipos interactivos multimedia y equipos electronicos para el registro de informacion estadistica"/>
    <s v="01.01.001.059.530404.000.009"/>
    <s v="000"/>
    <n v="530404"/>
    <x v="0"/>
    <n v="3000"/>
    <n v="0"/>
    <n v="0"/>
    <n v="0"/>
    <n v="0"/>
    <n v="0"/>
    <n v="0"/>
    <n v="0"/>
    <n v="0"/>
    <n v="0"/>
    <n v="3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01.01.001.169.530404.000.009"/>
    <s v="000"/>
    <n v="530404"/>
    <x v="0"/>
    <n v="2000"/>
    <n v="0"/>
    <n v="0"/>
    <n v="0"/>
    <n v="2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01.01.001.184.530704.000.009"/>
    <s v="000"/>
    <s v="5307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terial de construcción"/>
    <s v="01.01.001.064.530811.000.009"/>
    <s v="000"/>
    <n v="530811"/>
    <x v="0"/>
    <n v="1000"/>
    <n v="0"/>
    <n v="0"/>
    <n v="0"/>
    <n v="0"/>
    <n v="0"/>
    <n v="0"/>
    <n v="0"/>
    <n v="0"/>
    <n v="0"/>
    <n v="0"/>
    <n v="100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s v="01.01.001.157.570203.000.009"/>
    <s v="000"/>
    <n v="570203"/>
    <x v="0"/>
    <n v="5700"/>
    <n v="466.66"/>
    <n v="466.66"/>
    <n v="466.66"/>
    <n v="466.66"/>
    <n v="466.66"/>
    <n v="466.66"/>
    <n v="566.66"/>
    <n v="466.66"/>
    <n v="466.66"/>
    <n v="466.66"/>
    <n v="466.66"/>
    <n v="466.74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s v="01.01.001.158.570203.000.009"/>
    <s v="000"/>
    <n v="570203"/>
    <x v="0"/>
    <n v="3000"/>
    <n v="250"/>
    <n v="25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s v="01.01.001.112.570102.000.009"/>
    <s v="000"/>
    <n v="570102"/>
    <x v="0"/>
    <n v="29311"/>
    <n v="0"/>
    <n v="0"/>
    <n v="0"/>
    <n v="0"/>
    <n v="29311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agua potable)"/>
    <s v="01.01.001.068.530101.000.009"/>
    <s v="000"/>
    <n v="530101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s v="01.01.001.069.530104.000.009"/>
    <s v="000"/>
    <n v="530104"/>
    <x v="0"/>
    <n v="28000"/>
    <n v="2300"/>
    <n v="2300"/>
    <n v="2300"/>
    <n v="2300"/>
    <n v="2300"/>
    <n v="2300"/>
    <n v="2300"/>
    <n v="2300"/>
    <n v="2300"/>
    <n v="2400"/>
    <n v="240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s v="01.01.001.070.530105.000.009"/>
    <s v="000"/>
    <n v="530105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Pago de tasa de limpieza EMASEO"/>
    <s v="01.01.001.153.570102.000.009"/>
    <s v="000"/>
    <n v="570102"/>
    <x v="0"/>
    <n v="49020"/>
    <n v="0"/>
    <n v="0"/>
    <n v="0"/>
    <n v="0"/>
    <n v="0"/>
    <n v="0"/>
    <n v="0"/>
    <n v="0"/>
    <n v="0"/>
    <n v="4902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Promoción y Posicionamiento turístico del destino Quito en el marco de la producción de un evento gastronomico"/>
    <s v="01.01.002.054.630207.000.009"/>
    <s v="000"/>
    <n v="630207"/>
    <x v="0"/>
    <n v="50000"/>
    <n v="0"/>
    <n v="0"/>
    <n v="0"/>
    <n v="0"/>
    <n v="0"/>
    <n v="5000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s v="01.01.002.005.631203.000.009"/>
    <s v="000"/>
    <n v="631203"/>
    <x v="0"/>
    <n v="50000"/>
    <s v="-"/>
    <n v="4545.45"/>
    <n v="4545.45"/>
    <n v="4545.45"/>
    <n v="4545.45"/>
    <n v="4545.45"/>
    <n v="4545.46"/>
    <n v="4545.46"/>
    <n v="4545.46"/>
    <n v="4545.46"/>
    <n v="4545.46"/>
    <n v="4545.45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s v="01.01.002.006.630204.000.009"/>
    <s v="000"/>
    <n v="630204"/>
    <x v="0"/>
    <n v="100"/>
    <n v="0"/>
    <n v="0"/>
    <n v="0"/>
    <n v="0"/>
    <n v="0"/>
    <n v="0"/>
    <n v="0"/>
    <n v="0"/>
    <n v="0"/>
    <n v="0"/>
    <n v="0"/>
    <n v="1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s v="Realizar el proceso administrativo para la implementación y gestión de los puntos de Distribución de Contenidos en el DMQ."/>
    <s v="01.01.002.023.630502.000.009"/>
    <s v="000"/>
    <n v="630502"/>
    <x v="0"/>
    <n v="60000"/>
    <n v="0"/>
    <n v="0"/>
    <n v="0"/>
    <n v="0"/>
    <n v="0"/>
    <n v="0"/>
    <n v="0"/>
    <n v="0"/>
    <n v="0"/>
    <n v="0"/>
    <n v="0"/>
    <n v="600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01.01.001.072.530702.000.009"/>
    <s v="000"/>
    <n v="530702"/>
    <x v="0"/>
    <n v="6600"/>
    <n v="0"/>
    <n v="0"/>
    <n v="0"/>
    <n v="3000"/>
    <n v="0"/>
    <n v="0"/>
    <n v="0"/>
    <n v="36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Renovación de la suscripción de herramientas ofimáticas colaborativas con correo electrónico"/>
    <s v="01.01.001.123.530702.000.009"/>
    <s v="000"/>
    <n v="530702"/>
    <x v="0"/>
    <n v="33000"/>
    <n v="0"/>
    <n v="0"/>
    <n v="0"/>
    <n v="0"/>
    <n v="0"/>
    <n v="0"/>
    <n v="0"/>
    <n v="0"/>
    <n v="33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Renovación de la suscripción de la licencias de Business Inteligent"/>
    <s v="01.01.001.017.530702.000.009"/>
    <s v="000"/>
    <n v="530702"/>
    <x v="0"/>
    <n v="2000"/>
    <n v="0"/>
    <n v="0"/>
    <n v="0"/>
    <n v="0"/>
    <n v="20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01.01.001.055.530702.000.009"/>
    <s v="000"/>
    <n v="530702"/>
    <x v="0"/>
    <n v="7000"/>
    <n v="0"/>
    <n v="0"/>
    <n v="0"/>
    <n v="0"/>
    <n v="0"/>
    <n v="0"/>
    <n v="0"/>
    <n v="7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01.01.001.075.530702.000.009"/>
    <s v="000"/>
    <n v="530702"/>
    <x v="0"/>
    <n v="7200"/>
    <n v="0"/>
    <n v="0"/>
    <n v="0"/>
    <n v="0"/>
    <n v="0"/>
    <n v="0"/>
    <n v="0"/>
    <n v="0"/>
    <n v="0"/>
    <n v="0"/>
    <n v="0"/>
    <n v="72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01.01.001.096.530702.000.009"/>
    <s v="000"/>
    <n v="530702"/>
    <x v="0"/>
    <n v="8000"/>
    <n v="0"/>
    <n v="0"/>
    <n v="0"/>
    <n v="0"/>
    <n v="0"/>
    <n v="8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01.01.001.074.530702.000.009"/>
    <s v="000"/>
    <n v="530702"/>
    <x v="0"/>
    <n v="7000"/>
    <n v="0"/>
    <n v="0"/>
    <n v="0"/>
    <n v="0"/>
    <n v="0"/>
    <n v="0"/>
    <n v="0"/>
    <n v="0"/>
    <n v="7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01.01.001.076.530702.000.009"/>
    <s v="000"/>
    <n v="530702"/>
    <x v="0"/>
    <n v="7000"/>
    <n v="0"/>
    <n v="0"/>
    <n v="0"/>
    <n v="0"/>
    <n v="0"/>
    <n v="0"/>
    <n v="0"/>
    <n v="0"/>
    <n v="0"/>
    <n v="0"/>
    <n v="7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s v="01.01.001.077.570102.000.009"/>
    <s v="000"/>
    <n v="570102"/>
    <x v="0"/>
    <n v="2000"/>
    <n v="0"/>
    <n v="0"/>
    <n v="0"/>
    <n v="0"/>
    <n v="0"/>
    <n v="0"/>
    <n v="0"/>
    <n v="0"/>
    <n v="0"/>
    <n v="0"/>
    <n v="0"/>
    <n v="2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s v="01.01.002.008.530207.000.009"/>
    <s v="000"/>
    <n v="530207"/>
    <x v="0"/>
    <n v="100000"/>
    <n v="0"/>
    <n v="0"/>
    <n v="20000"/>
    <n v="0"/>
    <n v="50000"/>
    <n v="3000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s v="01.01.002.019.530207.000.009"/>
    <s v="000"/>
    <n v="530207"/>
    <x v="0"/>
    <n v="10000"/>
    <n v="0"/>
    <n v="0"/>
    <n v="5000"/>
    <n v="500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Servicio de Agencia de Marketing Tradicional para el mercado local y nacional 2026 - 2027"/>
    <s v="01.01.002.055.630207.002.009"/>
    <s v="002"/>
    <n v="630207"/>
    <x v="0"/>
    <n v="67500"/>
    <n v="0"/>
    <n v="0"/>
    <n v="0"/>
    <n v="0"/>
    <n v="0"/>
    <n v="0"/>
    <n v="0"/>
    <n v="0"/>
    <n v="27500"/>
    <n v="0"/>
    <n v="0"/>
    <n v="40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Servicio de Agencia de Marketing Tradicional para el mercado local y nacional 2026 - 2027"/>
    <s v="01.01.002.055.630207.001.009"/>
    <s v="001"/>
    <n v="630207"/>
    <x v="0"/>
    <n v="20000"/>
    <n v="0"/>
    <n v="0"/>
    <n v="0"/>
    <n v="0"/>
    <n v="0"/>
    <n v="0"/>
    <n v="0"/>
    <n v="0"/>
    <n v="0"/>
    <n v="0"/>
    <n v="2000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Servicio de Agencia de Marketing Tradicional para el mercado local y nacional 2026 - 2027"/>
    <s v="01.01.002.055.630207.000.009"/>
    <s v="000"/>
    <n v="630207"/>
    <x v="0"/>
    <n v="50000"/>
    <n v="0"/>
    <n v="0"/>
    <n v="5000"/>
    <n v="5000"/>
    <n v="5000"/>
    <n v="5000"/>
    <n v="5000"/>
    <n v="5000"/>
    <n v="5000"/>
    <n v="5000"/>
    <n v="5000"/>
    <n v="50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s v="01.01.001.079.530207.000.009"/>
    <s v="000"/>
    <n v="530207"/>
    <x v="0"/>
    <n v="47050"/>
    <n v="15000"/>
    <n v="15000"/>
    <n v="1705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s v="01.01.001.159.530207.000.009"/>
    <s v="000"/>
    <n v="530207"/>
    <x v="0"/>
    <n v="120000"/>
    <n v="0"/>
    <n v="0"/>
    <n v="0"/>
    <n v="10000"/>
    <n v="13000"/>
    <n v="10000"/>
    <n v="12000"/>
    <n v="15000"/>
    <n v="10000"/>
    <n v="18000"/>
    <n v="140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s v="01.01.001.145.530209.000.009"/>
    <s v="000"/>
    <n v="530209"/>
    <x v="0"/>
    <n v="65000"/>
    <n v="5416.66"/>
    <n v="5416.66"/>
    <n v="5416.66"/>
    <n v="5416.66"/>
    <n v="5416.67"/>
    <n v="5416.67"/>
    <n v="5416.67"/>
    <n v="5416.67"/>
    <n v="5416.67"/>
    <n v="5416.67"/>
    <n v="5416.67"/>
    <n v="5416.67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s v="01.01.002.009.630601.000.009"/>
    <s v="000"/>
    <n v="630601"/>
    <x v="0"/>
    <n v="85000"/>
    <m/>
    <m/>
    <m/>
    <m/>
    <m/>
    <m/>
    <m/>
    <m/>
    <m/>
    <m/>
    <m/>
    <n v="850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1-01T00:00:00"/>
    <d v="2026-12-31T00:00:00"/>
    <m/>
    <m/>
    <m/>
    <m/>
    <m/>
    <m/>
    <m/>
    <m/>
    <m/>
    <m/>
    <m/>
    <m/>
    <s v="Servicio de Auditoría CCMQ"/>
    <s v="01.01.002.002.630602.000.009"/>
    <s v="000"/>
    <n v="630602"/>
    <x v="0"/>
    <n v="6600"/>
    <s v="-"/>
    <s v="-"/>
    <s v="-"/>
    <s v="-"/>
    <n v="6600"/>
    <s v="-"/>
    <s v="-"/>
    <s v="-"/>
    <s v="-"/>
    <s v="-"/>
    <s v="-"/>
    <s v="-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"/>
    <s v="01.01.002.010.530613.000.009"/>
    <s v="000"/>
    <n v="530613"/>
    <x v="0"/>
    <n v="51996.95"/>
    <n v="0"/>
    <n v="0"/>
    <n v="0"/>
    <n v="51996.95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Arrastre"/>
    <s v="NO"/>
    <s v="NO"/>
    <d v="2026-01-01T00:00:00"/>
    <d v="2026-12-31T00:00:00"/>
    <m/>
    <m/>
    <m/>
    <x v="2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 2025 – 2026 (arrastre)"/>
    <s v="01.01.002.056.530613.000.009"/>
    <s v="000"/>
    <s v="530613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8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s v="01.01.002.049.530613.000.009"/>
    <s v="000"/>
    <n v="530613"/>
    <x v="0"/>
    <n v="77339.55"/>
    <n v="0"/>
    <n v="0"/>
    <n v="0"/>
    <n v="0"/>
    <n v="0"/>
    <n v="0"/>
    <n v="0"/>
    <n v="38669.75"/>
    <n v="0"/>
    <n v="0"/>
    <n v="0"/>
    <n v="38669.800000000003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1-01T00:00:00"/>
    <d v="2026-12-31T00:00:00"/>
    <m/>
    <m/>
    <m/>
    <m/>
    <m/>
    <m/>
    <m/>
    <m/>
    <m/>
    <m/>
    <m/>
    <m/>
    <s v="Servicio de conexión de datos Datalink."/>
    <s v="01.01.002.011.630105.000.009"/>
    <s v="000"/>
    <n v="630105"/>
    <x v="0"/>
    <n v="1000"/>
    <s v="-"/>
    <n v="90.91"/>
    <n v="90.91"/>
    <n v="90.91"/>
    <n v="90.91"/>
    <n v="90.91"/>
    <n v="90.91"/>
    <n v="90.91"/>
    <n v="90.91"/>
    <n v="90.91"/>
    <n v="90.91"/>
    <n v="90.9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s v="01.01.002.048.630207.000.009"/>
    <s v="000"/>
    <n v="630207"/>
    <x v="0"/>
    <n v="9000"/>
    <m/>
    <m/>
    <m/>
    <m/>
    <m/>
    <m/>
    <n v="9000"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01.01.001.084.530105.000.009"/>
    <s v="000"/>
    <n v="530105"/>
    <x v="0"/>
    <n v="1710"/>
    <n v="227.7"/>
    <n v="227.7"/>
    <n v="227.7"/>
    <n v="227.7"/>
    <n v="227.7"/>
    <n v="227.7"/>
    <n v="343.8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01.01.001.170.530105.000.009"/>
    <s v="000"/>
    <n v="530105"/>
    <x v="0"/>
    <n v="1400"/>
    <n v="0"/>
    <n v="0"/>
    <n v="0"/>
    <n v="0"/>
    <n v="0"/>
    <n v="0"/>
    <n v="227.7"/>
    <n v="227.7"/>
    <n v="227.7"/>
    <n v="227.7"/>
    <n v="227.7"/>
    <n v="261.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flete y movilización"/>
    <s v="01.01.001.114.530202.000.009"/>
    <s v="000"/>
    <n v="530202"/>
    <x v="0"/>
    <n v="2000"/>
    <n v="0"/>
    <n v="0"/>
    <n v="0"/>
    <n v="0"/>
    <n v="0"/>
    <n v="0"/>
    <n v="0"/>
    <n v="0"/>
    <n v="0"/>
    <n v="0"/>
    <n v="0"/>
    <n v="2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s v="01.01.002.012.630204.000.009"/>
    <s v="000"/>
    <n v="630204"/>
    <x v="0"/>
    <n v="4000"/>
    <n v="0"/>
    <n v="0"/>
    <n v="0"/>
    <n v="0"/>
    <n v="0"/>
    <n v="0"/>
    <n v="0"/>
    <n v="0"/>
    <n v="400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impresión de material POP para la estrategia de comunicación externa e interna."/>
    <s v="01.01.001.160.530404.000.009"/>
    <s v="000"/>
    <n v="530404"/>
    <x v="0"/>
    <n v="25000"/>
    <n v="0"/>
    <n v="0"/>
    <n v="0"/>
    <n v="0"/>
    <n v="0"/>
    <n v="0"/>
    <n v="2500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01.01.001.086.530105.000.009"/>
    <s v="000"/>
    <n v="530105"/>
    <x v="0"/>
    <n v="19000"/>
    <n v="2026.66"/>
    <n v="2026.66"/>
    <n v="2026.66"/>
    <n v="2026.66"/>
    <n v="2026.66"/>
    <n v="2026.66"/>
    <n v="2026.66"/>
    <n v="2026.66"/>
    <n v="2786.72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01.01.001.171.530105.000.009"/>
    <s v="000"/>
    <n v="530105"/>
    <x v="0"/>
    <n v="12500"/>
    <n v="0"/>
    <n v="0"/>
    <n v="0"/>
    <n v="0"/>
    <n v="0"/>
    <n v="0"/>
    <n v="0"/>
    <n v="2500"/>
    <n v="2500"/>
    <n v="2500"/>
    <n v="250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s v="01.01.001.103.530404.000.009"/>
    <s v="000"/>
    <n v="530404"/>
    <x v="0"/>
    <n v="1000"/>
    <n v="0"/>
    <n v="0"/>
    <n v="0"/>
    <n v="0"/>
    <n v="0"/>
    <n v="1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01.01.001.105.530704.000.009"/>
    <s v="000"/>
    <n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01.01.001.140.530704.000.009"/>
    <s v="000"/>
    <n v="530704"/>
    <x v="0"/>
    <n v="2000"/>
    <n v="0"/>
    <n v="0"/>
    <n v="0"/>
    <n v="0"/>
    <n v="0"/>
    <n v="0"/>
    <n v="0"/>
    <n v="0"/>
    <n v="0"/>
    <n v="2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mantenimiento preventivo de computadores con vigencia tecnológica Lenovo"/>
    <s v="01.01.001.172.530704.000.009"/>
    <s v="000"/>
    <n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01.01.001.173.530704.000.009"/>
    <s v="000"/>
    <n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01.01.001.106.530704.000.009"/>
    <s v="000"/>
    <n v="530704"/>
    <x v="0"/>
    <n v="1100"/>
    <n v="0"/>
    <n v="0"/>
    <n v="0"/>
    <n v="0"/>
    <n v="0"/>
    <n v="0"/>
    <n v="0"/>
    <n v="0"/>
    <n v="0"/>
    <n v="0"/>
    <n v="11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mantenimiento preventivo de impresoras con vigencia tecnológica"/>
    <s v="01.01.001.088.530704.000.009"/>
    <s v="000"/>
    <n v="530704"/>
    <x v="0"/>
    <n v="1000"/>
    <n v="0"/>
    <n v="0"/>
    <n v="0"/>
    <n v="0"/>
    <n v="0"/>
    <n v="0"/>
    <n v="0"/>
    <n v="0"/>
    <n v="0"/>
    <n v="0"/>
    <n v="1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01.01.001.089.530704.000.009"/>
    <s v="000"/>
    <n v="530704"/>
    <x v="0"/>
    <n v="10000"/>
    <n v="0"/>
    <n v="0"/>
    <n v="0"/>
    <n v="0"/>
    <n v="0"/>
    <n v="0"/>
    <n v="0"/>
    <n v="0"/>
    <n v="0"/>
    <n v="0"/>
    <n v="10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Servicio de mantenimiento preventivo y correctivo del sistema eléctrico del generador"/>
    <s v="01.01.001.042.530404.000.009"/>
    <s v="000"/>
    <n v="530404"/>
    <x v="0"/>
    <n v="1000"/>
    <n v="0"/>
    <n v="0"/>
    <n v="0"/>
    <n v="0"/>
    <n v="0"/>
    <n v="0"/>
    <n v="0"/>
    <n v="0"/>
    <n v="100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e v="#NUM!"/>
    <e v="#NUM!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s v="01.01.002.044.530201.000.009"/>
    <s v="000"/>
    <n v="530201"/>
    <x v="0"/>
    <n v="2500"/>
    <n v="0"/>
    <n v="150"/>
    <n v="150"/>
    <n v="150"/>
    <n v="150"/>
    <n v="150"/>
    <n v="150"/>
    <n v="150"/>
    <n v="150"/>
    <n v="150"/>
    <n v="15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s v="01.01.001.111.530255.000.009"/>
    <s v="000"/>
    <n v="530255"/>
    <x v="0"/>
    <n v="6000"/>
    <n v="0"/>
    <n v="0"/>
    <n v="0"/>
    <n v="0"/>
    <n v="0"/>
    <n v="0"/>
    <n v="6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s v="01.01.001.111.570199.000.009"/>
    <s v="000"/>
    <n v="570199"/>
    <x v="0"/>
    <n v="900"/>
    <n v="0"/>
    <n v="0"/>
    <n v="0"/>
    <n v="0"/>
    <n v="0"/>
    <n v="0"/>
    <n v="9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s v="01.01.001.006.530255.000.009"/>
    <s v="000"/>
    <n v="530255"/>
    <x v="0"/>
    <n v="6600"/>
    <n v="0"/>
    <n v="0"/>
    <n v="0"/>
    <n v="0"/>
    <n v="0"/>
    <n v="0"/>
    <n v="66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s v="01.01.001.048.530105.000.009"/>
    <s v="000"/>
    <n v="530105"/>
    <x v="0"/>
    <n v="283"/>
    <n v="0"/>
    <n v="0"/>
    <n v="0"/>
    <n v="0"/>
    <n v="0"/>
    <n v="0"/>
    <n v="0"/>
    <n v="283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1.009"/>
    <s v="001"/>
    <n v="630207"/>
    <x v="0"/>
    <n v="293975"/>
    <n v="0"/>
    <n v="0"/>
    <n v="0"/>
    <n v="29950"/>
    <n v="5000"/>
    <n v="5000"/>
    <n v="30000"/>
    <n v="30000"/>
    <n v="5000"/>
    <n v="85000"/>
    <n v="89000"/>
    <n v="15025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5-01T00:00:00"/>
    <d v="2026-10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0.009"/>
    <s v="000"/>
    <n v="630207"/>
    <x v="0"/>
    <n v="125000"/>
    <n v="0"/>
    <m/>
    <m/>
    <m/>
    <n v="20025"/>
    <n v="20025"/>
    <n v="22025"/>
    <n v="28025"/>
    <n v="14875"/>
    <n v="20025"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0.009"/>
    <s v="000"/>
    <n v="630207"/>
    <x v="0"/>
    <n v="350000"/>
    <n v="0"/>
    <n v="70000"/>
    <n v="10000"/>
    <n v="40000"/>
    <n v="10000"/>
    <n v="20000"/>
    <n v="50000"/>
    <n v="15000"/>
    <n v="17000"/>
    <n v="15000"/>
    <n v="50000"/>
    <n v="53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1.009"/>
    <s v="001"/>
    <n v="630207"/>
    <x v="0"/>
    <n v="33500"/>
    <n v="0"/>
    <n v="0"/>
    <n v="0"/>
    <n v="0"/>
    <n v="7500"/>
    <n v="0"/>
    <n v="0"/>
    <n v="7500"/>
    <n v="0"/>
    <n v="0"/>
    <n v="0"/>
    <n v="18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s v="01.01.001.115.530208.000.009"/>
    <s v="000"/>
    <n v="530208"/>
    <x v="0"/>
    <n v="96030"/>
    <n v="16005"/>
    <n v="16005"/>
    <n v="16005"/>
    <n v="16005"/>
    <n v="16005"/>
    <n v="1600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s v="01.01.001.154.530208.000.009"/>
    <s v="000"/>
    <n v="530208"/>
    <x v="0"/>
    <n v="76980"/>
    <m/>
    <m/>
    <m/>
    <m/>
    <m/>
    <m/>
    <n v="12830"/>
    <n v="12830"/>
    <n v="12830"/>
    <n v="12830"/>
    <n v="12830"/>
    <n v="1283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01.01.001.185.530704.000.009"/>
    <s v="000"/>
    <s v="530704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Servicio de transporte para verificadores"/>
    <s v="01.01.002.052.630201.000.009"/>
    <s v="000"/>
    <n v="630201"/>
    <x v="0"/>
    <n v="70000"/>
    <m/>
    <m/>
    <m/>
    <m/>
    <m/>
    <m/>
    <n v="70000"/>
    <m/>
    <m/>
    <m/>
    <m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s v="01.01.001.051.530241.000.009"/>
    <s v="000"/>
    <n v="530241"/>
    <x v="0"/>
    <n v="1026"/>
    <n v="270"/>
    <n v="270"/>
    <n v="270"/>
    <n v="216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s v="01.01.001.161.530241.000.009"/>
    <s v="000"/>
    <n v="530241"/>
    <x v="0"/>
    <n v="3500"/>
    <n v="0"/>
    <n v="0"/>
    <n v="0"/>
    <n v="0"/>
    <n v="400"/>
    <n v="400"/>
    <n v="400"/>
    <n v="400"/>
    <n v="400"/>
    <n v="400"/>
    <n v="400"/>
    <n v="7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11-01T00:00:00"/>
    <d v="2026-11-30T00:00:00"/>
    <m/>
    <m/>
    <m/>
    <m/>
    <m/>
    <m/>
    <m/>
    <m/>
    <m/>
    <m/>
    <m/>
    <m/>
    <s v="SERVICIOS DE CONSULTORÍA PARA IMPLEMENTACIÓN DE LA NORMA ISO 37001:2016 SISTEMAS DE GESTIÓN ANTISOBORNO"/>
    <s v="01.01.002.050.630601.000.009"/>
    <s v="000"/>
    <n v="630601"/>
    <x v="0"/>
    <n v="25000"/>
    <n v="0"/>
    <n v="0"/>
    <n v="0"/>
    <n v="0"/>
    <n v="0"/>
    <n v="0"/>
    <n v="0"/>
    <n v="0"/>
    <n v="0"/>
    <n v="0"/>
    <n v="2500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s v="01.01.002.043.530606.000.009"/>
    <s v="000"/>
    <n v="530606"/>
    <x v="0"/>
    <n v="12500"/>
    <n v="2500"/>
    <n v="2500"/>
    <n v="2500"/>
    <n v="2500"/>
    <n v="25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oporte y garantías técnicas solución ERP Olympo"/>
    <s v="01.01.001.174.530701.000.009"/>
    <s v="000"/>
    <n v="530701"/>
    <x v="0"/>
    <n v="50000"/>
    <n v="0"/>
    <n v="0"/>
    <n v="0"/>
    <n v="0"/>
    <n v="0"/>
    <n v="0"/>
    <n v="0"/>
    <n v="50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01.01.001.176.530702.000.009"/>
    <s v="000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01.01.001.182.530702.000.009"/>
    <s v="000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0.009"/>
    <s v="000"/>
    <n v="530702"/>
    <x v="0"/>
    <n v="28000"/>
    <n v="0"/>
    <n v="0"/>
    <n v="0"/>
    <n v="0"/>
    <n v="0"/>
    <n v="0"/>
    <n v="0"/>
    <n v="0"/>
    <n v="0"/>
    <n v="0"/>
    <n v="2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1.009"/>
    <s v="001"/>
    <n v="530702"/>
    <x v="0"/>
    <n v="8000"/>
    <n v="0"/>
    <n v="0"/>
    <n v="0"/>
    <n v="0"/>
    <n v="0"/>
    <n v="0"/>
    <n v="0"/>
    <n v="0"/>
    <n v="0"/>
    <n v="0"/>
    <n v="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seguridad informática para el aseguramiento de los activos_x000a_de información"/>
    <s v="01.01.001.181.530702.000.009"/>
    <s v="000"/>
    <s v="530702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s v="01.01.001.155.530303.000.009"/>
    <s v="000"/>
    <n v="530303"/>
    <x v="0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s v="01.01.001.155.530304.000.009"/>
    <s v="000"/>
    <n v="530304"/>
    <x v="0"/>
    <n v="54000"/>
    <n v="4500"/>
    <n v="4500"/>
    <n v="4500"/>
    <n v="4500"/>
    <n v="4500"/>
    <n v="4500"/>
    <n v="4500"/>
    <n v="4500"/>
    <n v="4500"/>
    <n v="4500"/>
    <n v="4500"/>
    <n v="450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7-01T00:00:00"/>
    <d v="2026-12-31T00:00:00"/>
    <m/>
    <m/>
    <m/>
    <m/>
    <m/>
    <m/>
    <m/>
    <m/>
    <m/>
    <m/>
    <m/>
    <m/>
    <s v="CONTRATACIÓN DEL SERVICIO DE ACTIVACIONES TURÍSTICAS PARA PROMOCIÓN DESTINO QUITO EN EL MERCADO LOCAL Y NACIONAL"/>
    <s v="02.01.001.046.730207.000.002"/>
    <s v="000"/>
    <n v="730207"/>
    <x v="2"/>
    <n v="70000"/>
    <n v="0"/>
    <n v="0"/>
    <n v="0"/>
    <n v="0"/>
    <n v="0"/>
    <n v="35000"/>
    <n v="0"/>
    <n v="0"/>
    <n v="0"/>
    <n v="0"/>
    <n v="0"/>
    <n v="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s v="02.01.001.043.730249.001.002"/>
    <s v="001"/>
    <n v="730249"/>
    <x v="2"/>
    <n v="310000"/>
    <n v="0"/>
    <n v="0"/>
    <n v="0"/>
    <n v="65000"/>
    <n v="0"/>
    <n v="0"/>
    <n v="0"/>
    <n v="0"/>
    <n v="0"/>
    <n v="0"/>
    <n v="20000"/>
    <n v="22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4-01T00:00:00"/>
    <d v="2026-04-30T00:00:00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s v="02.01.001.049.730207.000.002"/>
    <s v="000"/>
    <s v="730207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9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s v="02.01.001.043.730249.000.002"/>
    <s v="000"/>
    <n v="730249"/>
    <x v="2"/>
    <n v="340000"/>
    <n v="0"/>
    <n v="0"/>
    <n v="50000"/>
    <n v="0"/>
    <n v="0"/>
    <n v="0"/>
    <n v="0"/>
    <n v="0"/>
    <n v="230000"/>
    <n v="0"/>
    <n v="0"/>
    <n v="6000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10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s v="02.01.001.043.730249.002.002"/>
    <s v="002"/>
    <n v="730249"/>
    <x v="2"/>
    <n v="35000"/>
    <n v="0"/>
    <n v="0"/>
    <n v="0"/>
    <n v="0"/>
    <n v="0"/>
    <n v="15000"/>
    <n v="0"/>
    <n v="10000"/>
    <n v="0"/>
    <n v="1000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8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s v="02.01.001.043.730249.003.002"/>
    <s v="003"/>
    <s v="730249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1"/>
    <s v="Plurianual"/>
    <s v="NO"/>
    <s v="NO"/>
    <d v="2026-01-01T00:00:00"/>
    <d v="2026-12-31T00:00:00"/>
    <m/>
    <m/>
    <m/>
    <x v="10"/>
    <d v="2026-04-01T00:00:00"/>
    <d v="2026-04-30T00:00:00"/>
    <m/>
    <m/>
    <m/>
    <m/>
    <m/>
    <m/>
    <m/>
    <m/>
    <m/>
    <m/>
    <m/>
    <m/>
    <s v="Estudios para el desarrollo de una Arena de Eventos en el DMQ"/>
    <s v="02.01.001.035.730605.000.002"/>
    <s v="000"/>
    <n v="730605"/>
    <x v="2"/>
    <n v="200000"/>
    <n v="0"/>
    <n v="0"/>
    <n v="20000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Aporte Patronal)"/>
    <s v="02.01.001.008.710601.000.002"/>
    <s v="000"/>
    <n v="710601"/>
    <x v="2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2.01.001.009.710707.000.002"/>
    <s v="000"/>
    <n v="710707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Décimo Cuarto Sueldo)"/>
    <s v="02.01.001.010.710204.000.002"/>
    <s v="000"/>
    <n v="710204"/>
    <x v="2"/>
    <n v="5280"/>
    <n v="440"/>
    <n v="440"/>
    <n v="440"/>
    <n v="440"/>
    <n v="440"/>
    <n v="440"/>
    <n v="440"/>
    <n v="440"/>
    <n v="440"/>
    <n v="440"/>
    <n v="440"/>
    <n v="44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Décimo Tercer Sueldo)"/>
    <s v="02.01.001.011.710203.000.002"/>
    <s v="000"/>
    <n v="710203"/>
    <x v="2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Fondos de Reserva)"/>
    <s v="02.01.001.012.710602.000.002"/>
    <s v="000"/>
    <n v="710602"/>
    <x v="2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Horas Extraordinarias y Suplementarias)"/>
    <s v="02.01.001.024.710509.000.002"/>
    <s v="000"/>
    <n v="710509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Servicios Personales por Contrato)"/>
    <s v="02.01.001.013.710510.000.002"/>
    <s v="000"/>
    <n v="710510"/>
    <x v="2"/>
    <n v="114600"/>
    <n v="9550"/>
    <n v="9550"/>
    <n v="9550"/>
    <n v="9550"/>
    <n v="9550"/>
    <n v="9550"/>
    <n v="9550"/>
    <n v="9550"/>
    <n v="9550"/>
    <n v="9550"/>
    <n v="9550"/>
    <n v="955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1"/>
    <s v="Plurianual"/>
    <s v="NO"/>
    <s v="NO"/>
    <d v="2026-01-01T00:00:00"/>
    <d v="2026-12-31T00:00:00"/>
    <m/>
    <m/>
    <m/>
    <x v="12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s v="02.01.001.034.730207.000.002"/>
    <s v="000"/>
    <n v="730207"/>
    <x v="2"/>
    <n v="302000"/>
    <n v="0"/>
    <n v="0"/>
    <n v="0"/>
    <n v="0"/>
    <n v="0"/>
    <n v="0"/>
    <n v="151000"/>
    <n v="0"/>
    <n v="0"/>
    <n v="0"/>
    <n v="0"/>
    <n v="15100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s v="02.01.001.047.730249.000.002"/>
    <s v="000"/>
    <n v="730249"/>
    <x v="2"/>
    <n v="40000"/>
    <n v="0"/>
    <n v="0"/>
    <n v="0"/>
    <n v="0"/>
    <n v="0"/>
    <n v="4000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2"/>
    <s v="Nuevo"/>
    <s v="NO"/>
    <s v="NO"/>
    <d v="2026-06-01T00:00:00"/>
    <d v="2026-10-31T00:00:00"/>
    <m/>
    <m/>
    <m/>
    <x v="13"/>
    <e v="#NUM!"/>
    <e v="#NUM!"/>
    <m/>
    <m/>
    <m/>
    <m/>
    <m/>
    <m/>
    <m/>
    <m/>
    <m/>
    <m/>
    <m/>
    <m/>
    <s v="Readecuaciones, mobiliario y equipamiento del predio 203140 correspondiente al Mirador de Guápulo"/>
    <s v="02.01.001.044.730601.000.002"/>
    <s v="000"/>
    <n v="730601"/>
    <x v="2"/>
    <n v="120000"/>
    <n v="0"/>
    <n v="0"/>
    <n v="0"/>
    <n v="0"/>
    <n v="0"/>
    <n v="0"/>
    <n v="0"/>
    <n v="0"/>
    <n v="0"/>
    <n v="0"/>
    <n v="120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1"/>
    <s v="Plurianual"/>
    <s v="NO"/>
    <s v="NO"/>
    <d v="2026-01-01T00:00:00"/>
    <d v="2026-12-31T00:00:00"/>
    <m/>
    <m/>
    <m/>
    <x v="12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16.730207.000.002"/>
    <s v="000"/>
    <n v="730207"/>
    <x v="2"/>
    <n v="188000"/>
    <n v="0"/>
    <n v="19000"/>
    <n v="19000"/>
    <n v="19655"/>
    <n v="19655"/>
    <n v="19655"/>
    <n v="19655"/>
    <n v="19655"/>
    <n v="19655"/>
    <n v="19655"/>
    <n v="12415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1"/>
    <s v="Plurianual"/>
    <s v="NO"/>
    <s v="NO"/>
    <d v="2026-01-01T00:00:00"/>
    <d v="2026-12-31T00:00:00"/>
    <m/>
    <m/>
    <m/>
    <x v="12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23.730207.000.002"/>
    <s v="000"/>
    <n v="730207"/>
    <x v="2"/>
    <n v="18000"/>
    <n v="0"/>
    <n v="0"/>
    <n v="2000"/>
    <n v="2000"/>
    <n v="2000"/>
    <n v="2000"/>
    <n v="2000"/>
    <n v="2000"/>
    <n v="2000"/>
    <n v="2000"/>
    <n v="200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4"/>
    <d v="2026-02-01T00:00:00"/>
    <d v="2026-12-31T00:00:00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s v="02.01.001.050.730606.000.002"/>
    <s v="000"/>
    <s v="730606"/>
    <x v="2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s v="02.01.001.051.730207.000.002"/>
    <s v="000"/>
    <s v="730207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4"/>
    <e v="#NUM!"/>
    <e v="#NUM!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0.002"/>
    <s v="000"/>
    <n v="730207"/>
    <x v="2"/>
    <n v="100000"/>
    <n v="0"/>
    <n v="0"/>
    <n v="0"/>
    <n v="0"/>
    <n v="0"/>
    <n v="0"/>
    <n v="12500"/>
    <n v="17500"/>
    <n v="17500"/>
    <n v="17500"/>
    <n v="17500"/>
    <n v="175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4"/>
    <e v="#NUM!"/>
    <e v="#NUM!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1.002"/>
    <s v="001"/>
    <n v="730207"/>
    <x v="2"/>
    <n v="50000"/>
    <n v="0"/>
    <n v="0"/>
    <n v="0"/>
    <n v="0"/>
    <n v="0"/>
    <n v="0"/>
    <n v="0"/>
    <n v="0"/>
    <n v="0"/>
    <n v="0"/>
    <n v="0"/>
    <n v="5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2"/>
    <s v="Nuevo"/>
    <s v="NO"/>
    <s v="NO"/>
    <d v="2026-06-01T00:00:00"/>
    <d v="2026-10-31T00:00:00"/>
    <m/>
    <m/>
    <m/>
    <x v="13"/>
    <d v="2026-05-01T00:00:00"/>
    <d v="2026-09-30T00:00:00"/>
    <m/>
    <m/>
    <m/>
    <m/>
    <m/>
    <m/>
    <m/>
    <m/>
    <m/>
    <m/>
    <m/>
    <m/>
    <s v="Servicio de implementación de facilidades turísticas en el DMQ"/>
    <s v="02.01.001.017.730425.000.002"/>
    <s v="000"/>
    <n v="730425"/>
    <x v="2"/>
    <n v="140000"/>
    <n v="0"/>
    <n v="0"/>
    <n v="0"/>
    <n v="0"/>
    <n v="0"/>
    <n v="0"/>
    <n v="0"/>
    <n v="50000"/>
    <n v="50000"/>
    <n v="4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2"/>
    <s v="Nuevo"/>
    <s v="NO"/>
    <s v="NO"/>
    <d v="2026-06-01T00:00:00"/>
    <d v="2026-10-31T00:00:00"/>
    <m/>
    <m/>
    <m/>
    <x v="13"/>
    <e v="#NUM!"/>
    <e v="#NUM!"/>
    <m/>
    <m/>
    <m/>
    <m/>
    <m/>
    <m/>
    <m/>
    <m/>
    <m/>
    <m/>
    <m/>
    <m/>
    <s v="Servicio de Mantenimiento de facilidades turísticas en el DMQ"/>
    <s v="02.01.001.015.730425.000.002"/>
    <s v="000"/>
    <n v="730425"/>
    <x v="2"/>
    <n v="75000"/>
    <n v="0"/>
    <n v="0"/>
    <n v="0"/>
    <n v="0"/>
    <n v="0"/>
    <n v="30000"/>
    <n v="30000"/>
    <n v="1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Servicio de Organización y producción de 1 evento internacional captado para 2026 PCMA"/>
    <s v="02.01.001.048.730249.000.002"/>
    <s v="000"/>
    <n v="730249"/>
    <x v="2"/>
    <n v="150000"/>
    <n v="0"/>
    <n v="0"/>
    <n v="0"/>
    <n v="0"/>
    <n v="0"/>
    <n v="15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4"/>
    <d v="2026-06-01T00:00:00"/>
    <d v="2026-12-31T00:00:00"/>
    <m/>
    <m/>
    <m/>
    <m/>
    <m/>
    <m/>
    <m/>
    <m/>
    <m/>
    <m/>
    <m/>
    <m/>
    <s v="SERVICIO DE PAUTA DE CAMPAÑA PROMOCIONAL DEL DESTINO QUITO"/>
    <s v="02.01.001.021.730207.000.002"/>
    <s v="000"/>
    <n v="730207"/>
    <x v="2"/>
    <n v="380000"/>
    <n v="0"/>
    <n v="0"/>
    <n v="0"/>
    <n v="0"/>
    <n v="0"/>
    <n v="0"/>
    <n v="125000"/>
    <n v="125000"/>
    <n v="30000"/>
    <n v="20000"/>
    <n v="40000"/>
    <n v="4000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propuestas técnicas elaboradas para la gestión del destino turístico"/>
    <x v="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21"/>
    <n v="0.21"/>
    <n v="0.21"/>
    <n v="0.46"/>
    <n v="0.46"/>
    <n v="0.46"/>
    <n v="0.71"/>
    <n v="0.71"/>
    <n v="0.71"/>
    <n v="0.85"/>
    <x v="13"/>
    <s v="Nuevo"/>
    <s v="NO"/>
    <s v="NO"/>
    <d v="2026-10-01T00:00:00"/>
    <d v="2026-11-30T00:00:00"/>
    <m/>
    <m/>
    <m/>
    <x v="15"/>
    <d v="2026-10-01T00:00:00"/>
    <d v="2026-10-31T00:00:00"/>
    <m/>
    <m/>
    <m/>
    <m/>
    <m/>
    <m/>
    <m/>
    <m/>
    <m/>
    <m/>
    <m/>
    <m/>
    <s v="Suscripción al servicio de provisión de datos en línea para la gestión de servicios de inteligencia turística"/>
    <s v="02.01.001.031.730702.000.002"/>
    <s v="000"/>
    <n v="730702"/>
    <x v="2"/>
    <n v="148771"/>
    <n v="0"/>
    <n v="0"/>
    <n v="0"/>
    <n v="0"/>
    <n v="0"/>
    <n v="0"/>
    <n v="0"/>
    <n v="0"/>
    <n v="0"/>
    <n v="148771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01.01.001.002.530702.000.009"/>
    <s v="000"/>
    <n v="530702"/>
    <s v="Fondos Propios"/>
    <n v="300"/>
    <n v="0"/>
    <n v="0"/>
    <n v="0"/>
    <n v="0"/>
    <n v="300"/>
    <n v="0"/>
    <n v="0"/>
    <n v="0"/>
    <n v="0"/>
    <n v="0"/>
    <n v="0"/>
    <n v="0"/>
    <m/>
    <n v="300"/>
    <n v="0"/>
    <n v="0"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01.01.001.166.840107.000.009"/>
    <s v="000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Adquisición de central telefónica para Oficina Matriz Quito Turismo"/>
    <s v="01.01.001.178.840107.000.009"/>
    <s v="000"/>
    <n v="840107"/>
    <s v="Fondos Propios"/>
    <n v="0"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01.01.001.175.840107.000.009"/>
    <s v="000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01.01.001.008.530243.000.009"/>
    <s v="000"/>
    <n v="530243"/>
    <s v="Fondos Propios"/>
    <n v="3500"/>
    <n v="0"/>
    <n v="0"/>
    <n v="0"/>
    <n v="0"/>
    <n v="3500"/>
    <n v="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01.01.001.008.530704.000.009"/>
    <s v="000"/>
    <n v="530704"/>
    <s v="Fondos Propios"/>
    <n v="1000"/>
    <n v="0"/>
    <n v="0"/>
    <n v="0"/>
    <n v="0"/>
    <n v="0"/>
    <n v="1000"/>
    <n v="0"/>
    <n v="0"/>
    <n v="0"/>
    <n v="0"/>
    <n v="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243.000.009"/>
    <s v="000"/>
    <n v="530243"/>
    <s v="Fondos Propios"/>
    <n v="3500"/>
    <n v="0"/>
    <n v="0"/>
    <n v="0"/>
    <n v="0"/>
    <n v="0"/>
    <n v="350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404.000.009"/>
    <s v="000"/>
    <n v="530404"/>
    <s v="Fondos Propios"/>
    <n v="1500"/>
    <n v="0"/>
    <n v="0"/>
    <n v="0"/>
    <n v="0"/>
    <n v="0"/>
    <n v="1500"/>
    <n v="0"/>
    <n v="0"/>
    <n v="0"/>
    <n v="0"/>
    <n v="0"/>
    <n v="0"/>
    <n v="-1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01.01.001.004.531406.000.009"/>
    <s v="000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01.01.001.004.531407.000.009"/>
    <s v="000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840107.000.009"/>
    <s v="000"/>
    <n v="840107"/>
    <s v="Fondos Propios"/>
    <n v="0"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702.000.009"/>
    <s v="000"/>
    <n v="530702"/>
    <s v="Fondos Propios"/>
    <n v="0"/>
    <m/>
    <m/>
    <m/>
    <m/>
    <m/>
    <m/>
    <m/>
    <m/>
    <m/>
    <m/>
    <m/>
    <m/>
    <n v="34000"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402.000.009"/>
    <s v="000"/>
    <n v="530402"/>
    <s v="Fondos Propios"/>
    <n v="0"/>
    <m/>
    <m/>
    <m/>
    <m/>
    <m/>
    <m/>
    <m/>
    <m/>
    <m/>
    <m/>
    <m/>
    <m/>
    <n v="8000"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09-30T00:00:00"/>
    <m/>
    <m/>
    <m/>
    <m/>
    <m/>
    <m/>
    <m/>
    <m/>
    <m/>
    <m/>
    <m/>
    <m/>
    <s v="Adquisición de Material POP"/>
    <s v="01.01.002.053.530207.000.009"/>
    <s v="000"/>
    <n v="530207"/>
    <s v="Fondos Propios"/>
    <n v="27795"/>
    <m/>
    <m/>
    <m/>
    <m/>
    <m/>
    <m/>
    <m/>
    <m/>
    <n v="27795"/>
    <m/>
    <m/>
    <m/>
    <m/>
    <n v="27795"/>
    <m/>
    <m/>
    <m/>
    <m/>
    <m/>
    <m/>
    <m/>
    <m/>
    <n v="27795"/>
    <m/>
    <m/>
    <m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01.01.001.162.840107.000.009"/>
    <s v="000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01.01.001.122.530813.000.009"/>
    <s v="000"/>
    <n v="530813"/>
    <s v="Fondos Propios"/>
    <n v="5000"/>
    <n v="0"/>
    <n v="0"/>
    <n v="0"/>
    <n v="0"/>
    <n v="0"/>
    <n v="0"/>
    <n v="0"/>
    <n v="5000"/>
    <n v="0"/>
    <n v="0"/>
    <n v="0"/>
    <n v="0"/>
    <n v="-5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01.01.001.122.530813.001.009"/>
    <s v="001"/>
    <n v="530813"/>
    <s v="Fondos Propios"/>
    <n v="5000"/>
    <n v="0"/>
    <n v="0"/>
    <n v="0"/>
    <n v="0"/>
    <n v="0"/>
    <n v="0"/>
    <n v="0"/>
    <n v="5000"/>
    <n v="0"/>
    <n v="0"/>
    <n v="0"/>
    <n v="0"/>
    <n v="-2260"/>
    <n v="2740"/>
    <n v="0"/>
    <n v="0"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01.01.001.179.530813.000.009"/>
    <s v="000"/>
    <n v="530813"/>
    <s v="Fondos Propios"/>
    <n v="0"/>
    <m/>
    <m/>
    <m/>
    <m/>
    <m/>
    <m/>
    <m/>
    <m/>
    <m/>
    <m/>
    <m/>
    <m/>
    <n v="7060"/>
    <n v="7060"/>
    <m/>
    <m/>
    <n v="7060"/>
    <m/>
    <m/>
    <m/>
    <m/>
    <m/>
    <m/>
    <m/>
    <m/>
    <m/>
    <m/>
    <n v="0"/>
    <n v="0"/>
    <n v="0"/>
    <n v="0"/>
    <n v="0"/>
    <n v="0"/>
    <n v="7060"/>
    <n v="0"/>
    <n v="0"/>
    <n v="70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01.01.001.180.530704.000.009"/>
    <s v="000"/>
    <n v="530704"/>
    <s v="Fondos Propios"/>
    <n v="0"/>
    <m/>
    <m/>
    <m/>
    <m/>
    <m/>
    <m/>
    <m/>
    <m/>
    <m/>
    <m/>
    <m/>
    <m/>
    <n v="200"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01.01.001.163.840107.000.009"/>
    <s v="000"/>
    <n v="840107"/>
    <s v="Fondos Propios"/>
    <n v="3000"/>
    <n v="0"/>
    <n v="0"/>
    <n v="0"/>
    <n v="3000"/>
    <n v="0"/>
    <n v="0"/>
    <n v="0"/>
    <n v="0"/>
    <n v="0"/>
    <n v="0"/>
    <n v="0"/>
    <n v="0"/>
    <n v="-3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s v="01.01.001.013.530813.000.009"/>
    <s v="000"/>
    <n v="530813"/>
    <s v="Fondos Propios"/>
    <n v="500"/>
    <n v="0"/>
    <n v="0"/>
    <n v="0"/>
    <n v="0"/>
    <n v="0"/>
    <n v="0"/>
    <n v="0"/>
    <n v="0"/>
    <n v="0"/>
    <n v="500"/>
    <n v="0"/>
    <n v="0"/>
    <n v="-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s v="01.01.001.014.530802.000.009"/>
    <s v="000"/>
    <n v="530802"/>
    <s v="Fondos Propios"/>
    <n v="676"/>
    <n v="0"/>
    <n v="0"/>
    <n v="0"/>
    <n v="0"/>
    <n v="0"/>
    <n v="0"/>
    <n v="0"/>
    <n v="0"/>
    <n v="0"/>
    <n v="676"/>
    <n v="0"/>
    <n v="0"/>
    <m/>
    <n v="676"/>
    <n v="0"/>
    <n v="0"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s v="01.01.001.016.530807.000.009"/>
    <s v="000"/>
    <n v="530807"/>
    <s v="Fondos Propios"/>
    <n v="20000"/>
    <n v="0"/>
    <n v="0"/>
    <n v="0"/>
    <n v="0"/>
    <n v="0"/>
    <n v="0"/>
    <n v="0"/>
    <n v="20000"/>
    <n v="0"/>
    <n v="0"/>
    <n v="0"/>
    <n v="0"/>
    <n v="-1188"/>
    <n v="18812"/>
    <n v="0"/>
    <n v="0"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s v="01.01.001.188.530807.000.009"/>
    <s v="000"/>
    <n v="530807"/>
    <s v="Fondos Propios"/>
    <n v="0"/>
    <m/>
    <m/>
    <m/>
    <m/>
    <m/>
    <m/>
    <m/>
    <m/>
    <m/>
    <m/>
    <m/>
    <m/>
    <n v="1188"/>
    <n v="1188"/>
    <m/>
    <m/>
    <n v="1188"/>
    <m/>
    <m/>
    <m/>
    <m/>
    <m/>
    <m/>
    <m/>
    <m/>
    <m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530701.000.009"/>
    <s v="000"/>
    <n v="530701"/>
    <s v="Fondos Propios"/>
    <n v="7000"/>
    <n v="0"/>
    <n v="0"/>
    <n v="7000"/>
    <n v="0"/>
    <n v="0"/>
    <n v="0"/>
    <n v="0"/>
    <n v="0"/>
    <n v="0"/>
    <n v="0"/>
    <n v="0"/>
    <n v="0"/>
    <n v="-7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530702.000.009"/>
    <s v="000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840107.000.009"/>
    <s v="000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01.01.001.164.530702.000.009"/>
    <s v="000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01.01.001.164.840107.000.009"/>
    <s v="000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Adquisición de UPS "/>
    <s v="01.01.001.165.840107.000.009"/>
    <s v="000"/>
    <n v="840107"/>
    <s v="Fondos Propios"/>
    <n v="17000"/>
    <n v="0"/>
    <n v="0"/>
    <n v="0"/>
    <n v="0"/>
    <n v="0"/>
    <n v="0"/>
    <n v="17000"/>
    <n v="0"/>
    <n v="0"/>
    <n v="0"/>
    <n v="0"/>
    <n v="0"/>
    <m/>
    <n v="17000"/>
    <n v="0"/>
    <n v="0"/>
    <n v="0"/>
    <n v="0"/>
    <n v="0"/>
    <n v="0"/>
    <n v="17000"/>
    <n v="0"/>
    <n v="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suministros de oficina para la EPMGDT"/>
    <s v="01.01.001.021.530807.000.009"/>
    <s v="000"/>
    <n v="530804"/>
    <s v="Fondos Propios"/>
    <n v="10000"/>
    <n v="0"/>
    <n v="0"/>
    <n v="0"/>
    <n v="0"/>
    <n v="0"/>
    <n v="0"/>
    <n v="0"/>
    <n v="0"/>
    <n v="0"/>
    <n v="10000"/>
    <n v="0"/>
    <n v="0"/>
    <m/>
    <n v="10000"/>
    <n v="0"/>
    <n v="0"/>
    <n v="0"/>
    <n v="0"/>
    <n v="0"/>
    <n v="0"/>
    <n v="0"/>
    <n v="0"/>
    <n v="0"/>
    <n v="10000"/>
    <n v="0"/>
    <n v="0"/>
    <m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s v="01.01.001.126.530210.000.009"/>
    <s v="000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n v="7800"/>
    <n v="650"/>
    <n v="650"/>
    <n v="650"/>
    <n v="650"/>
    <n v="650"/>
    <n v="650"/>
    <n v="650"/>
    <n v="650"/>
    <n v="650"/>
    <n v="650"/>
    <n v="650"/>
    <n v="650"/>
    <m/>
    <n v="0"/>
    <n v="431.16"/>
    <n v="7368.84"/>
    <n v="431.16"/>
    <n v="431.16"/>
    <n v="7368.84"/>
    <n v="431.16"/>
    <n v="862.32"/>
    <n v="14737.68"/>
    <n v="862.3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106.000.009"/>
    <s v="000"/>
    <n v="530106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n v="0"/>
    <n v="500"/>
    <n v="0"/>
    <n v="0"/>
    <n v="5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204.000.009"/>
    <s v="000"/>
    <n v="530204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1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502.000.009"/>
    <s v="000"/>
    <n v="530502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n v="0"/>
    <n v="500"/>
    <n v="0"/>
    <n v="0"/>
    <n v="5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1.000.009"/>
    <s v="000"/>
    <n v="530801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1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4.000.009"/>
    <s v="000"/>
    <n v="530804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1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5.000.009"/>
    <s v="000"/>
    <n v="530805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1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22.000.009"/>
    <s v="000"/>
    <n v="530822"/>
    <s v="Fondos Propios"/>
    <n v="514.77"/>
    <n v="0"/>
    <n v="0"/>
    <n v="0"/>
    <n v="0"/>
    <n v="0"/>
    <n v="0"/>
    <n v="0"/>
    <n v="0"/>
    <n v="0"/>
    <n v="0"/>
    <n v="0"/>
    <n v="514.77"/>
    <m/>
    <n v="514.77"/>
    <n v="0"/>
    <n v="0"/>
    <n v="0"/>
    <n v="0"/>
    <n v="0"/>
    <n v="0"/>
    <n v="0"/>
    <n v="0"/>
    <n v="0"/>
    <n v="0"/>
    <n v="0"/>
    <n v="514.77"/>
    <m/>
    <n v="0"/>
    <n v="0"/>
    <n v="0"/>
    <n v="0"/>
    <n v="0"/>
    <n v="514.77"/>
    <n v="0"/>
    <n v="0"/>
    <n v="514.77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1601.000.009"/>
    <s v="000"/>
    <n v="531601"/>
    <s v="Fondos Propios"/>
    <n v="0"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n v="0"/>
    <n v="0"/>
    <n v="0"/>
    <n v="500"/>
    <n v="0"/>
    <n v="0"/>
    <n v="5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204.000.009"/>
    <s v="000"/>
    <n v="530204"/>
    <s v="Fondos Propios"/>
    <n v="300"/>
    <n v="0"/>
    <n v="0"/>
    <n v="0"/>
    <n v="0"/>
    <n v="0"/>
    <n v="0"/>
    <n v="0"/>
    <n v="0"/>
    <n v="0"/>
    <n v="0"/>
    <n v="0"/>
    <n v="300"/>
    <m/>
    <n v="300"/>
    <n v="0"/>
    <n v="0"/>
    <n v="0"/>
    <n v="0"/>
    <n v="0"/>
    <n v="0"/>
    <n v="0"/>
    <n v="0"/>
    <n v="0"/>
    <n v="0"/>
    <n v="0"/>
    <n v="300"/>
    <m/>
    <n v="0"/>
    <n v="0"/>
    <n v="0"/>
    <n v="0"/>
    <n v="0"/>
    <n v="300"/>
    <n v="0"/>
    <n v="0"/>
    <n v="3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405.000.009"/>
    <s v="000"/>
    <n v="530405"/>
    <s v="Fondos Propios"/>
    <n v="100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  <n v="0"/>
    <n v="0"/>
    <n v="0"/>
    <n v="0"/>
    <n v="100"/>
    <n v="0"/>
    <n v="0"/>
    <n v="1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04.000.009"/>
    <s v="000"/>
    <n v="530804"/>
    <s v="Fondos Propios"/>
    <n v="50"/>
    <n v="0"/>
    <n v="0"/>
    <n v="0"/>
    <n v="0"/>
    <n v="0"/>
    <n v="0"/>
    <n v="0"/>
    <n v="0"/>
    <n v="0"/>
    <n v="0"/>
    <n v="0"/>
    <n v="50"/>
    <m/>
    <n v="50"/>
    <n v="0"/>
    <n v="0"/>
    <n v="0"/>
    <n v="0"/>
    <n v="0"/>
    <n v="0"/>
    <n v="0"/>
    <n v="0"/>
    <n v="0"/>
    <n v="0"/>
    <n v="0"/>
    <n v="50"/>
    <m/>
    <n v="0"/>
    <n v="0"/>
    <n v="0"/>
    <n v="0"/>
    <n v="0"/>
    <n v="50"/>
    <n v="0"/>
    <n v="0"/>
    <n v="5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05.000.009"/>
    <s v="000"/>
    <n v="530805"/>
    <s v="Fondos Propios"/>
    <n v="200"/>
    <n v="0"/>
    <n v="0"/>
    <n v="0"/>
    <n v="0"/>
    <n v="0"/>
    <n v="0"/>
    <n v="0"/>
    <n v="0"/>
    <n v="0"/>
    <n v="0"/>
    <n v="200"/>
    <n v="0"/>
    <m/>
    <n v="200"/>
    <n v="0"/>
    <n v="0"/>
    <n v="0"/>
    <n v="0"/>
    <n v="0"/>
    <n v="0"/>
    <n v="0"/>
    <n v="0"/>
    <n v="0"/>
    <n v="0"/>
    <n v="0"/>
    <n v="200"/>
    <m/>
    <n v="0"/>
    <n v="0"/>
    <n v="0"/>
    <n v="0"/>
    <n v="0"/>
    <n v="200"/>
    <n v="0"/>
    <n v="0"/>
    <n v="2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11.000.009"/>
    <s v="000"/>
    <n v="530811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n v="0"/>
    <n v="500"/>
    <n v="0"/>
    <n v="0"/>
    <n v="5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13.000.009"/>
    <s v="000"/>
    <n v="530813"/>
    <s v="Fondos Propios"/>
    <n v="800"/>
    <n v="0"/>
    <n v="0"/>
    <n v="0"/>
    <n v="0"/>
    <n v="0"/>
    <n v="0"/>
    <n v="0"/>
    <n v="0"/>
    <n v="0"/>
    <n v="800"/>
    <n v="0"/>
    <n v="0"/>
    <m/>
    <n v="800"/>
    <n v="0"/>
    <n v="0"/>
    <n v="0"/>
    <n v="0"/>
    <n v="0"/>
    <n v="0"/>
    <n v="0"/>
    <n v="0"/>
    <n v="0"/>
    <n v="0"/>
    <n v="0"/>
    <n v="800"/>
    <m/>
    <n v="0"/>
    <n v="0"/>
    <n v="0"/>
    <n v="0"/>
    <n v="0"/>
    <n v="800"/>
    <n v="0"/>
    <n v="0"/>
    <n v="8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1601.000.009"/>
    <s v="000"/>
    <n v="531601"/>
    <s v="Fondos Propios"/>
    <n v="0"/>
    <m/>
    <m/>
    <m/>
    <m/>
    <m/>
    <m/>
    <m/>
    <m/>
    <m/>
    <m/>
    <m/>
    <m/>
    <n v="400"/>
    <n v="400"/>
    <m/>
    <m/>
    <m/>
    <m/>
    <m/>
    <m/>
    <m/>
    <m/>
    <m/>
    <m/>
    <m/>
    <n v="400"/>
    <m/>
    <n v="0"/>
    <n v="0"/>
    <n v="0"/>
    <n v="0"/>
    <n v="0"/>
    <n v="400"/>
    <n v="0"/>
    <n v="0"/>
    <n v="40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contratación directa servicio de auditoría externa para los estados financieros del periodo cerrado al 31 de diciembre de 2025"/>
    <s v="01.01.001.080.530602.000.009"/>
    <s v="000"/>
    <n v="530602"/>
    <s v="Fondos Propios"/>
    <n v="6600"/>
    <n v="0"/>
    <n v="0"/>
    <n v="0"/>
    <n v="0"/>
    <n v="6600"/>
    <n v="0"/>
    <n v="0"/>
    <n v="0"/>
    <n v="0"/>
    <n v="0"/>
    <n v="0"/>
    <n v="0"/>
    <m/>
    <n v="6600"/>
    <n v="0"/>
    <n v="0"/>
    <n v="0"/>
    <n v="0"/>
    <n v="660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sultoría para la verificación de recaudación de Tasa de Facilidades y Servicios Turísticos 2025."/>
    <s v="01.01.001.156.530601.000.009"/>
    <s v="000"/>
    <n v="530601"/>
    <s v="Fondos Propios"/>
    <n v="14400"/>
    <m/>
    <m/>
    <m/>
    <m/>
    <m/>
    <m/>
    <n v="14400"/>
    <m/>
    <m/>
    <m/>
    <m/>
    <m/>
    <m/>
    <n v="14400"/>
    <m/>
    <m/>
    <m/>
    <m/>
    <m/>
    <m/>
    <n v="14400"/>
    <m/>
    <m/>
    <m/>
    <m/>
    <m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s v="01.01.002.051.630601.000.009"/>
    <s v="000"/>
    <n v="630601"/>
    <s v="Fondos Propios"/>
    <n v="117500"/>
    <m/>
    <m/>
    <m/>
    <m/>
    <m/>
    <m/>
    <n v="117500"/>
    <m/>
    <m/>
    <m/>
    <m/>
    <m/>
    <n v="-1175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 los servicios profesionales de un ingeniero civil"/>
    <s v="01.01.001.135.530606.000.009"/>
    <s v="000"/>
    <n v="530606"/>
    <s v="Fondos Propios"/>
    <n v="14400"/>
    <n v="1800"/>
    <n v="1800"/>
    <n v="1800"/>
    <n v="1800"/>
    <n v="1800"/>
    <n v="1800"/>
    <n v="1800"/>
    <n v="1800"/>
    <m/>
    <m/>
    <m/>
    <m/>
    <n v="1600"/>
    <n v="16000"/>
    <m/>
    <m/>
    <m/>
    <m/>
    <m/>
    <m/>
    <m/>
    <m/>
    <n v="16000"/>
    <m/>
    <m/>
    <m/>
    <m/>
    <n v="0"/>
    <n v="0"/>
    <n v="14400"/>
    <n v="0"/>
    <n v="0"/>
    <n v="14400"/>
    <n v="0"/>
    <n v="0"/>
    <n v="288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s v="01.01.001.026.570201.000.009"/>
    <s v="000"/>
    <n v="570201"/>
    <s v="Fondos Propios"/>
    <n v="40000"/>
    <n v="0"/>
    <n v="0"/>
    <n v="0"/>
    <n v="40000"/>
    <n v="0"/>
    <n v="0"/>
    <n v="0"/>
    <n v="0"/>
    <n v="0"/>
    <n v="0"/>
    <n v="0"/>
    <n v="0"/>
    <n v="-150"/>
    <n v="39850"/>
    <n v="0"/>
    <n v="0"/>
    <n v="0"/>
    <n v="3985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m/>
    <m/>
    <m/>
    <n v="2500"/>
    <n v="2500"/>
    <n v="2500"/>
    <n v="2500"/>
    <n v="2500"/>
    <m/>
    <m/>
    <m/>
    <m/>
    <m/>
    <n v="0"/>
    <n v="0"/>
    <n v="12500"/>
    <n v="0"/>
    <n v="0"/>
    <n v="12500"/>
    <n v="0"/>
    <n v="0"/>
    <n v="25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4-30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801.000.009"/>
    <s v="000"/>
    <n v="530801"/>
    <s v="Fondos Propios"/>
    <n v="0"/>
    <m/>
    <m/>
    <m/>
    <m/>
    <m/>
    <m/>
    <m/>
    <m/>
    <m/>
    <m/>
    <m/>
    <m/>
    <n v="14500"/>
    <n v="14500"/>
    <m/>
    <m/>
    <m/>
    <n v="14500"/>
    <m/>
    <m/>
    <m/>
    <m/>
    <m/>
    <m/>
    <m/>
    <m/>
    <m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s v="01.01.001.027.530606.000.009"/>
    <s v="000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n v="13350"/>
    <m/>
    <n v="1150"/>
    <n v="1150"/>
    <n v="1150"/>
    <n v="1150"/>
    <n v="1150"/>
    <n v="1150"/>
    <n v="1150"/>
    <n v="1150"/>
    <n v="1150"/>
    <n v="1150"/>
    <n v="185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 Servicios Profesionales, Desarrollador de software"/>
    <s v="01.01.001.124.530606.000.009"/>
    <s v="000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n v="24000"/>
    <n v="2000"/>
    <n v="2000"/>
    <n v="2000"/>
    <n v="2000"/>
    <n v="2000"/>
    <n v="2000"/>
    <n v="2000"/>
    <n v="2000"/>
    <n v="2000"/>
    <n v="2000"/>
    <n v="2000"/>
    <n v="2000"/>
    <m/>
    <n v="0"/>
    <n v="0"/>
    <n v="5000"/>
    <n v="0"/>
    <n v="0"/>
    <n v="1000"/>
    <n v="4000"/>
    <n v="0"/>
    <n v="6000"/>
    <n v="40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s v="01.01.001.028.530606.000.009"/>
    <s v="000"/>
    <n v="530606"/>
    <s v="Fondos Propios"/>
    <n v="450"/>
    <n v="0"/>
    <n v="0"/>
    <n v="0"/>
    <n v="0"/>
    <n v="0"/>
    <n v="0"/>
    <n v="0"/>
    <n v="0"/>
    <n v="0"/>
    <n v="0"/>
    <n v="0"/>
    <n v="450"/>
    <m/>
    <n v="450"/>
    <n v="0"/>
    <n v="0"/>
    <n v="0"/>
    <n v="0"/>
    <n v="0"/>
    <n v="0"/>
    <n v="0"/>
    <n v="0"/>
    <n v="0"/>
    <n v="0"/>
    <n v="0"/>
    <n v="450"/>
    <m/>
    <n v="0"/>
    <n v="0"/>
    <n v="0"/>
    <n v="397.5"/>
    <n v="0"/>
    <n v="0"/>
    <n v="397.5"/>
    <n v="0"/>
    <n v="0"/>
    <n v="79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s v="01.01.001.186.530606.000.009"/>
    <s v="000"/>
    <n v="530606"/>
    <s v="Fondos Propios"/>
    <n v="0"/>
    <m/>
    <m/>
    <m/>
    <m/>
    <m/>
    <m/>
    <m/>
    <m/>
    <m/>
    <m/>
    <m/>
    <m/>
    <n v="450"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1.000.009"/>
    <s v="000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n v="1500"/>
    <n v="0"/>
    <n v="0"/>
    <n v="0"/>
    <n v="0"/>
    <n v="0"/>
    <n v="0"/>
    <n v="0"/>
    <n v="0"/>
    <n v="0"/>
    <n v="0"/>
    <n v="0"/>
    <n v="150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2.000.009"/>
    <s v="000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69293.27"/>
    <n v="0"/>
    <n v="0"/>
    <n v="0"/>
    <n v="0"/>
    <n v="0"/>
    <n v="0"/>
    <n v="0"/>
    <n v="0"/>
    <n v="0"/>
    <n v="0"/>
    <n v="0"/>
    <n v="69293.27"/>
    <m/>
    <n v="0"/>
    <n v="0"/>
    <n v="6200"/>
    <n v="0"/>
    <n v="4863.95"/>
    <n v="2912"/>
    <n v="11063.95"/>
    <n v="4863.95"/>
    <n v="9112"/>
    <n v="11063.9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s v="01.01.001.024.530502.000.009"/>
    <s v="000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0"/>
    <n v="18000"/>
    <n v="0"/>
    <n v="0"/>
    <n v="0"/>
    <n v="18000"/>
    <n v="0"/>
    <n v="180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s v="01.01.001.031.530209.000.009"/>
    <s v="000"/>
    <n v="530209"/>
    <s v="Fondos Propios"/>
    <n v="6600"/>
    <n v="0"/>
    <n v="0"/>
    <n v="0"/>
    <n v="0"/>
    <n v="0"/>
    <n v="0"/>
    <n v="0"/>
    <n v="0"/>
    <n v="0"/>
    <n v="6600"/>
    <n v="0"/>
    <n v="0"/>
    <n v="-5000"/>
    <n v="1600"/>
    <n v="0"/>
    <n v="0"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tratación del servicio de inspección, identificación y funcionamiento de los circuitos de los tableros eléctricos de la EPMGDT"/>
    <s v="01.01.001.033.530811.000.009"/>
    <s v="000"/>
    <n v="530811"/>
    <s v="Fondos Propios"/>
    <n v="15000"/>
    <n v="0"/>
    <n v="0"/>
    <n v="0"/>
    <n v="0"/>
    <n v="0"/>
    <n v="0"/>
    <n v="15000"/>
    <n v="0"/>
    <n v="0"/>
    <n v="0"/>
    <n v="0"/>
    <n v="0"/>
    <m/>
    <n v="15000"/>
    <n v="0"/>
    <n v="0"/>
    <n v="0"/>
    <n v="0"/>
    <n v="0"/>
    <n v="0"/>
    <n v="15000"/>
    <n v="0"/>
    <n v="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s v="01.01.001.035.530403.000.009"/>
    <s v="000"/>
    <n v="530403"/>
    <s v="Fondos Propios"/>
    <n v="6600"/>
    <n v="0"/>
    <n v="0"/>
    <n v="0"/>
    <n v="0"/>
    <n v="0"/>
    <n v="0"/>
    <n v="0"/>
    <n v="0"/>
    <n v="0"/>
    <n v="0"/>
    <n v="6600"/>
    <n v="0"/>
    <n v="-66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Contratación del servicio de mantenimiento del sistema contraincendios de las instalaciones de la EPMGDT"/>
    <s v="01.01.001.036.530404.000.009"/>
    <s v="000"/>
    <n v="530404"/>
    <s v="Fondos Propios"/>
    <n v="6600"/>
    <n v="0"/>
    <n v="0"/>
    <n v="0"/>
    <n v="0"/>
    <n v="0"/>
    <n v="0"/>
    <n v="0"/>
    <n v="0"/>
    <n v="0"/>
    <n v="0"/>
    <n v="6600"/>
    <n v="0"/>
    <m/>
    <n v="6600"/>
    <n v="0"/>
    <n v="0"/>
    <n v="0"/>
    <n v="0"/>
    <n v="0"/>
    <n v="0"/>
    <n v="0"/>
    <n v="0"/>
    <n v="0"/>
    <n v="0"/>
    <n v="660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de cisterna y bombas de agua de las instalaciones de la EPMGDT"/>
    <s v="01.01.001.037.530404.000.009"/>
    <s v="000"/>
    <n v="5304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s v="01.01.001.150.530404.000.009"/>
    <s v="000"/>
    <n v="530404"/>
    <s v="Fondos Propios"/>
    <n v="180"/>
    <n v="0"/>
    <n v="0"/>
    <n v="90"/>
    <n v="0"/>
    <n v="0"/>
    <n v="0"/>
    <n v="0"/>
    <n v="0"/>
    <n v="90"/>
    <n v="0"/>
    <n v="0"/>
    <n v="0"/>
    <n v="405.85"/>
    <n v="585.85"/>
    <n v="0"/>
    <n v="0"/>
    <n v="495.85"/>
    <n v="0"/>
    <n v="0"/>
    <n v="0"/>
    <n v="0"/>
    <n v="0"/>
    <n v="9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840104.000.009"/>
    <s v="000"/>
    <n v="840104"/>
    <s v="Fondos Propios"/>
    <n v="0"/>
    <m/>
    <m/>
    <m/>
    <m/>
    <m/>
    <m/>
    <m/>
    <m/>
    <m/>
    <m/>
    <m/>
    <m/>
    <n v="230.84"/>
    <n v="230.84"/>
    <m/>
    <m/>
    <n v="230.84"/>
    <m/>
    <m/>
    <m/>
    <m/>
    <m/>
    <m/>
    <m/>
    <m/>
    <m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531407.000.009"/>
    <s v="000"/>
    <n v="531407"/>
    <s v="Fondos Propios"/>
    <n v="0"/>
    <m/>
    <m/>
    <m/>
    <m/>
    <m/>
    <m/>
    <m/>
    <m/>
    <m/>
    <m/>
    <m/>
    <m/>
    <n v="270.04000000000002"/>
    <n v="270.04000000000002"/>
    <m/>
    <m/>
    <n v="270.04000000000002"/>
    <m/>
    <m/>
    <m/>
    <m/>
    <m/>
    <m/>
    <m/>
    <m/>
    <m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s v="01.01.001.039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s v="01.01.001.040.530203.000.009"/>
    <s v="000"/>
    <n v="530203"/>
    <s v="Fondos Propios"/>
    <n v="500"/>
    <n v="0"/>
    <n v="0"/>
    <n v="0"/>
    <n v="0"/>
    <n v="0"/>
    <n v="0"/>
    <n v="0"/>
    <n v="0"/>
    <n v="500"/>
    <n v="0"/>
    <n v="0"/>
    <n v="0"/>
    <m/>
    <n v="500"/>
    <n v="0"/>
    <n v="0"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y correctivo del ascensor de las instalaciones de la EPMGDT"/>
    <s v="01.01.001.041.530404.000.009"/>
    <s v="000"/>
    <n v="530404"/>
    <s v="Fondos Propios"/>
    <n v="6000"/>
    <n v="0"/>
    <n v="0"/>
    <n v="0"/>
    <n v="0"/>
    <n v="0"/>
    <n v="0"/>
    <n v="0"/>
    <n v="0"/>
    <n v="0"/>
    <n v="6000"/>
    <n v="0"/>
    <n v="0"/>
    <m/>
    <n v="6000"/>
    <n v="0"/>
    <n v="0"/>
    <n v="0"/>
    <n v="0"/>
    <n v="0"/>
    <n v="0"/>
    <n v="0"/>
    <n v="0"/>
    <n v="0"/>
    <n v="600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y correctivo del sistema de aire acondicionado para las instalaciones de la EPMGDT"/>
    <s v="01.01.001.043.530404.000.009"/>
    <s v="000"/>
    <n v="530404"/>
    <s v="Fondos Propios"/>
    <n v="6600"/>
    <n v="0"/>
    <n v="0"/>
    <n v="0"/>
    <n v="0"/>
    <n v="0"/>
    <n v="0"/>
    <n v="0"/>
    <n v="0"/>
    <n v="0"/>
    <n v="6600"/>
    <n v="0"/>
    <n v="0"/>
    <m/>
    <n v="6600"/>
    <n v="0"/>
    <n v="0"/>
    <n v="0"/>
    <n v="0"/>
    <n v="0"/>
    <n v="0"/>
    <n v="0"/>
    <n v="0"/>
    <n v="0"/>
    <n v="660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tratación del servicio de mantenimiento preventivo y correctivo del transformador de las instalaciones de la EPMGDT"/>
    <s v="01.01.001.044.530404.000.009"/>
    <s v="000"/>
    <n v="530404"/>
    <s v="Fondos Propios"/>
    <n v="1000"/>
    <n v="0"/>
    <n v="0"/>
    <n v="0"/>
    <n v="0"/>
    <n v="0"/>
    <n v="0"/>
    <n v="1000"/>
    <n v="0"/>
    <n v="0"/>
    <n v="0"/>
    <n v="0"/>
    <n v="0"/>
    <m/>
    <n v="1000"/>
    <n v="0"/>
    <n v="0"/>
    <n v="0"/>
    <n v="0"/>
    <n v="0"/>
    <n v="0"/>
    <n v="1000"/>
    <n v="0"/>
    <n v="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s v="01.01.001.045.530405.000.009"/>
    <s v="000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n v="10000"/>
    <n v="0"/>
    <n v="0"/>
    <n v="1000"/>
    <n v="1000"/>
    <n v="1000"/>
    <n v="1000"/>
    <n v="1000"/>
    <n v="1000"/>
    <n v="1000"/>
    <n v="1000"/>
    <n v="1000"/>
    <n v="100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s v="01.01.001.046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s v="01.01.001.047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5.630207.000.009"/>
    <s v="000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84951.1"/>
    <m/>
    <n v="4000"/>
    <n v="4000"/>
    <n v="4000"/>
    <n v="4000"/>
    <n v="12000"/>
    <n v="12000"/>
    <n v="12000"/>
    <n v="6000"/>
    <n v="6000"/>
    <n v="10475.549999999999"/>
    <n v="5790.73"/>
    <n v="4684.82"/>
    <n v="0"/>
    <n v="0"/>
    <n v="0"/>
    <n v="80266.28"/>
    <n v="0"/>
    <n v="0"/>
    <n v="80266.28"/>
    <n v="0"/>
    <n v="0"/>
    <n v="160532.56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09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20.630207.000.009"/>
    <s v="000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84951.1"/>
    <n v="0"/>
    <n v="10000"/>
    <n v="10000"/>
    <n v="10000"/>
    <n v="10000"/>
    <n v="15000"/>
    <n v="15000"/>
    <n v="10000"/>
    <n v="266.27999999999997"/>
    <n v="0"/>
    <n v="0"/>
    <n v="0"/>
    <n v="4684.82"/>
    <n v="0"/>
    <n v="0"/>
    <n v="0"/>
    <n v="80266.28"/>
    <n v="0"/>
    <n v="0"/>
    <n v="80266.28"/>
    <n v="0"/>
    <n v="0"/>
    <n v="160532.56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0.009"/>
    <s v="000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4.630207.000.009"/>
    <s v="000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25485.23"/>
    <n v="0"/>
    <n v="0"/>
    <n v="0"/>
    <n v="0"/>
    <n v="0"/>
    <n v="24079.9"/>
    <n v="0"/>
    <n v="0"/>
    <n v="0"/>
    <n v="0"/>
    <n v="0"/>
    <n v="0"/>
    <n v="1405.33"/>
    <n v="0"/>
    <n v="0"/>
    <n v="0"/>
    <n v="24079.9"/>
    <n v="0"/>
    <n v="0"/>
    <n v="24079.9"/>
    <n v="0"/>
    <n v="0"/>
    <n v="48159.8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1.009"/>
    <s v="001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n v="0"/>
    <n v="0"/>
    <n v="0"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s v="01.01.001.049.580101.000.009"/>
    <s v="000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0"/>
    <n v="0"/>
    <n v="20361"/>
    <n v="1696.81"/>
    <n v="0"/>
    <n v="20361"/>
    <n v="1696.81"/>
    <n v="0"/>
    <n v="4072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s v="01.01.001.191.530606.000.009"/>
    <s v="000"/>
    <n v="530606"/>
    <s v="Fondos Propios"/>
    <n v="0"/>
    <m/>
    <m/>
    <m/>
    <m/>
    <m/>
    <m/>
    <m/>
    <m/>
    <m/>
    <m/>
    <m/>
    <m/>
    <n v="1100"/>
    <n v="1100"/>
    <m/>
    <n v="1100"/>
    <m/>
    <m/>
    <m/>
    <m/>
    <m/>
    <m/>
    <m/>
    <m/>
    <m/>
    <m/>
    <m/>
    <n v="0"/>
    <n v="1100"/>
    <n v="0"/>
    <n v="1100"/>
    <n v="1100"/>
    <n v="0"/>
    <n v="1100"/>
    <n v="2200"/>
    <n v="0"/>
    <n v="22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s v="01.01.001.190.530605.000.009"/>
    <s v="000"/>
    <n v="530605"/>
    <s v="Fondos Propios"/>
    <n v="0"/>
    <m/>
    <m/>
    <m/>
    <m/>
    <m/>
    <m/>
    <m/>
    <m/>
    <m/>
    <m/>
    <m/>
    <m/>
    <n v="2800"/>
    <n v="2800"/>
    <m/>
    <m/>
    <n v="2800"/>
    <m/>
    <m/>
    <m/>
    <m/>
    <m/>
    <m/>
    <m/>
    <m/>
    <m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01.01.001.167.530601.000.009"/>
    <s v="000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s v="01.01.002.003.670204.000.009"/>
    <s v="000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0"/>
    <n v="0"/>
    <n v="3000"/>
    <n v="366.06"/>
    <n v="0"/>
    <n v="3000"/>
    <n v="366.06"/>
    <n v="0"/>
    <n v="60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s v="01.01.003.001.510306.000.009"/>
    <s v="000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280.8"/>
    <n v="0"/>
    <n v="280.8"/>
    <n v="280.8"/>
    <n v="0"/>
    <n v="280.8"/>
    <n v="561.6"/>
    <n v="0"/>
    <n v="561.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s v="01.01.003.002.510601.000.009"/>
    <s v="000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0"/>
    <n v="16359.85"/>
    <n v="5811.77"/>
    <n v="16359.85"/>
    <n v="16359.85"/>
    <n v="20056.18"/>
    <n v="16359.85"/>
    <n v="32719.7"/>
    <n v="25867.95"/>
    <n v="32719.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s v="01.01.003.015.510704.000.009"/>
    <s v="000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s v="01.01.003.003.510304.000.009"/>
    <s v="000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n v="522"/>
    <n v="43.5"/>
    <n v="43.5"/>
    <n v="43.5"/>
    <n v="43.5"/>
    <n v="43.5"/>
    <n v="43.5"/>
    <n v="43.5"/>
    <n v="43.5"/>
    <n v="43.5"/>
    <n v="43.5"/>
    <n v="43.5"/>
    <n v="43.5"/>
    <m/>
    <n v="0"/>
    <n v="39"/>
    <n v="0"/>
    <n v="39"/>
    <n v="39"/>
    <n v="0"/>
    <n v="39"/>
    <n v="78"/>
    <n v="0"/>
    <n v="7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1.01.003.004.510707.000.009"/>
    <s v="000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19105.119999999988"/>
    <n v="1592.09"/>
    <n v="1592.09"/>
    <n v="1592.09"/>
    <n v="1592.09"/>
    <n v="1592.09"/>
    <n v="1592.09"/>
    <n v="1592.09"/>
    <n v="1592.09"/>
    <n v="1592.09"/>
    <n v="1592.09"/>
    <n v="1592.09"/>
    <n v="1592.13"/>
    <m/>
    <n v="0"/>
    <n v="2166.06"/>
    <n v="0"/>
    <n v="2166.06"/>
    <n v="2166.06"/>
    <n v="0"/>
    <n v="2166.06"/>
    <n v="4332.12"/>
    <n v="0"/>
    <n v="4332.1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s v="01.01.003.005.510204.000.009"/>
    <s v="000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44160"/>
    <n v="3680"/>
    <n v="3680"/>
    <n v="3680"/>
    <n v="3680"/>
    <n v="3680"/>
    <n v="3680"/>
    <n v="3680"/>
    <n v="3680"/>
    <n v="3680"/>
    <n v="3680"/>
    <n v="3680"/>
    <n v="3680"/>
    <m/>
    <n v="0"/>
    <n v="870.69"/>
    <n v="1792.76"/>
    <n v="870.69"/>
    <n v="870.69"/>
    <n v="4809.2700000000004"/>
    <n v="870.69"/>
    <n v="1741.38"/>
    <n v="6602.0300000000007"/>
    <n v="1741.3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s v="01.01.003.006.510203.000.009"/>
    <s v="000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0"/>
    <n v="3362.72"/>
    <n v="4157.21"/>
    <n v="3362.72"/>
    <n v="3362.72"/>
    <n v="14346.33"/>
    <n v="3362.72"/>
    <n v="6725.44"/>
    <n v="18503.54"/>
    <n v="6725.44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s v="01.01.003.007.510513.000.009"/>
    <s v="000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870.5"/>
    <n v="8896.1299999999992"/>
    <n v="1870.5"/>
    <n v="1870.5"/>
    <n v="8896.1299999999992"/>
    <n v="1870.5"/>
    <n v="3741"/>
    <n v="17792.259999999998"/>
    <n v="374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s v="01.01.003.008.510602.000.009"/>
    <s v="000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104374.34999999999"/>
    <n v="8697.86"/>
    <n v="8697.86"/>
    <n v="8697.86"/>
    <n v="8697.86"/>
    <n v="8697.86"/>
    <n v="8697.86"/>
    <n v="8697.86"/>
    <n v="8697.86"/>
    <n v="8697.86"/>
    <n v="8697.86"/>
    <n v="8697.86"/>
    <n v="8697.89"/>
    <m/>
    <n v="0"/>
    <n v="8564.68"/>
    <n v="865.71"/>
    <n v="8564.68"/>
    <n v="8564.68"/>
    <n v="5061.1499999999996"/>
    <n v="8564.68"/>
    <n v="17129.36"/>
    <n v="5926.86"/>
    <n v="17129.3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s v="01.01.003.009.510509.000.009"/>
    <s v="000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0"/>
    <n v="13115.94"/>
    <n v="35580.730000000003"/>
    <n v="13115.94"/>
    <n v="13115.94"/>
    <n v="35580.730000000003"/>
    <n v="13115.94"/>
    <n v="26231.88"/>
    <n v="71161.460000000006"/>
    <n v="26231.8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s v="01.01.003.010.510105.000.009"/>
    <s v="000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809880"/>
    <n v="67490"/>
    <n v="67490"/>
    <n v="67490"/>
    <n v="67490"/>
    <n v="67490"/>
    <n v="67490"/>
    <n v="67490"/>
    <n v="67490"/>
    <n v="67490"/>
    <n v="67490"/>
    <n v="67490"/>
    <n v="67490"/>
    <m/>
    <n v="0"/>
    <n v="57356.66"/>
    <n v="45600"/>
    <n v="57356.66"/>
    <n v="57356.66"/>
    <n v="72850"/>
    <n v="57356.66"/>
    <n v="114713.32"/>
    <n v="118450"/>
    <n v="114713.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s v="01.01.003.011.510106.000.009"/>
    <s v="000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2888"/>
    <n v="0"/>
    <n v="2888"/>
    <n v="2888"/>
    <n v="0"/>
    <n v="2888"/>
    <n v="5776"/>
    <n v="0"/>
    <n v="577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s v="01.01.003.012.510510.000.009"/>
    <s v="000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02420.54"/>
    <n v="66868.38"/>
    <n v="66868.38"/>
    <n v="66868.38"/>
    <n v="66868.38"/>
    <n v="66868.38"/>
    <n v="66868.38"/>
    <n v="66868.38"/>
    <n v="66868.38"/>
    <n v="66868.38"/>
    <n v="66868.38"/>
    <n v="66868.38"/>
    <n v="66868.36"/>
    <m/>
    <n v="0"/>
    <n v="64055.03"/>
    <n v="61464.71"/>
    <n v="64055.03"/>
    <n v="64055.03"/>
    <n v="156484.31"/>
    <n v="64055.03"/>
    <n v="128110.06"/>
    <n v="217949.02"/>
    <n v="128110.0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s v="01.01.003.013.510512.000.009"/>
    <s v="000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186.6600000000001"/>
    <n v="9579.9699999999993"/>
    <n v="1186.6600000000001"/>
    <n v="1186.6600000000001"/>
    <n v="9579.9699999999993"/>
    <n v="1186.6600000000001"/>
    <n v="2373.3200000000002"/>
    <n v="19159.939999999999"/>
    <n v="2373.3200000000002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s v="01.01.001.052.530404.000.009"/>
    <s v="000"/>
    <n v="530404"/>
    <s v="Fondos Propios"/>
    <n v="3000"/>
    <n v="0"/>
    <n v="0"/>
    <n v="0"/>
    <n v="0"/>
    <n v="0"/>
    <n v="0"/>
    <n v="1500"/>
    <n v="0"/>
    <n v="0"/>
    <n v="0"/>
    <n v="0"/>
    <n v="1500"/>
    <m/>
    <n v="3000"/>
    <n v="0"/>
    <n v="0"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s v="01.01.002.057.530207.000.009"/>
    <s v="000"/>
    <n v="530207"/>
    <s v="Fondos Propios"/>
    <n v="0"/>
    <m/>
    <m/>
    <m/>
    <m/>
    <m/>
    <m/>
    <m/>
    <m/>
    <m/>
    <m/>
    <m/>
    <m/>
    <n v="50000"/>
    <n v="50000"/>
    <m/>
    <m/>
    <m/>
    <m/>
    <m/>
    <n v="50000"/>
    <m/>
    <m/>
    <m/>
    <m/>
    <m/>
    <m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s v="01.01.001.187.570201.000.009"/>
    <s v="000"/>
    <n v="570201"/>
    <s v="Fondos Propios"/>
    <n v="0"/>
    <m/>
    <m/>
    <m/>
    <m/>
    <m/>
    <m/>
    <m/>
    <m/>
    <m/>
    <m/>
    <m/>
    <m/>
    <n v="150"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Mantenimiento de edificios de la EPMGDT (fase 2)"/>
    <s v="01.01.001.057.530402.000.009"/>
    <s v="000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102695.5"/>
    <n v="0"/>
    <n v="0"/>
    <n v="0"/>
    <n v="0"/>
    <n v="0"/>
    <n v="0"/>
    <n v="102695.5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01.01.001.168.530404.000.009"/>
    <s v="000"/>
    <n v="530404"/>
    <s v="Fondos Propios"/>
    <n v="2000"/>
    <n v="0"/>
    <n v="0"/>
    <n v="0"/>
    <n v="0"/>
    <n v="0"/>
    <n v="0"/>
    <n v="0"/>
    <n v="0"/>
    <n v="2000"/>
    <n v="0"/>
    <n v="0"/>
    <n v="0"/>
    <m/>
    <n v="2000"/>
    <n v="0"/>
    <n v="0"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de sistema contra incendios de la EPMDGT"/>
    <s v="01.01.001.151.530404.000.009"/>
    <s v="000"/>
    <n v="530404"/>
    <s v="Fondos Propios"/>
    <n v="40000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01.01.001.061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01.01.001.177.530701.000.009"/>
    <s v="000"/>
    <n v="530701"/>
    <s v="Fondos Propios"/>
    <n v="0"/>
    <m/>
    <m/>
    <m/>
    <m/>
    <m/>
    <m/>
    <m/>
    <m/>
    <m/>
    <m/>
    <m/>
    <m/>
    <n v="60000"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del sistema hidrosanitario (fase 1)"/>
    <s v="01.01.001.152.530404.000.009"/>
    <s v="000"/>
    <n v="530404"/>
    <s v="Fondos Propios"/>
    <n v="74600"/>
    <n v="0"/>
    <n v="0"/>
    <n v="0"/>
    <n v="0"/>
    <n v="0"/>
    <n v="74600"/>
    <n v="0"/>
    <n v="0"/>
    <n v="0"/>
    <n v="0"/>
    <n v="0"/>
    <n v="0"/>
    <m/>
    <n v="74600"/>
    <n v="0"/>
    <n v="0"/>
    <n v="0"/>
    <n v="0"/>
    <n v="0"/>
    <n v="7460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01.01.001.058.530404.000.009"/>
    <s v="000"/>
    <n v="530404"/>
    <s v="Fondos Propios"/>
    <n v="3500"/>
    <n v="0"/>
    <n v="0"/>
    <n v="0"/>
    <n v="0"/>
    <n v="0"/>
    <n v="0"/>
    <n v="0"/>
    <n v="0"/>
    <n v="0"/>
    <n v="3500"/>
    <n v="0"/>
    <n v="0"/>
    <m/>
    <n v="3500"/>
    <n v="0"/>
    <n v="0"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01.01.001.059.530404.000.009"/>
    <s v="000"/>
    <n v="530404"/>
    <s v="Fondos Propios"/>
    <n v="3000"/>
    <n v="0"/>
    <n v="0"/>
    <n v="0"/>
    <n v="0"/>
    <n v="0"/>
    <n v="0"/>
    <n v="0"/>
    <n v="0"/>
    <n v="0"/>
    <n v="3000"/>
    <n v="0"/>
    <n v="0"/>
    <n v="-3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01.01.001.169.530404.000.009"/>
    <s v="000"/>
    <n v="530404"/>
    <s v="Fondos Propios"/>
    <n v="2000"/>
    <n v="0"/>
    <n v="0"/>
    <n v="0"/>
    <n v="2000"/>
    <n v="0"/>
    <n v="0"/>
    <n v="0"/>
    <n v="0"/>
    <n v="0"/>
    <n v="0"/>
    <n v="0"/>
    <n v="0"/>
    <m/>
    <n v="2000"/>
    <n v="0"/>
    <n v="0"/>
    <n v="0"/>
    <n v="200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01.01.001.184.530704.000.009"/>
    <s v="000"/>
    <n v="530704"/>
    <s v="Fondos Propios"/>
    <n v="0"/>
    <m/>
    <m/>
    <m/>
    <m/>
    <m/>
    <m/>
    <m/>
    <m/>
    <m/>
    <m/>
    <m/>
    <m/>
    <n v="3000"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terial de construcción"/>
    <s v="01.01.001.064.530811.000.009"/>
    <s v="000"/>
    <n v="530811"/>
    <s v="Fondos Propios"/>
    <n v="1000"/>
    <n v="0"/>
    <n v="0"/>
    <n v="0"/>
    <n v="0"/>
    <n v="0"/>
    <n v="0"/>
    <n v="0"/>
    <n v="0"/>
    <n v="0"/>
    <n v="0"/>
    <n v="1000"/>
    <n v="0"/>
    <m/>
    <n v="1000"/>
    <n v="0"/>
    <n v="0"/>
    <n v="0"/>
    <n v="0"/>
    <n v="0"/>
    <n v="0"/>
    <n v="0"/>
    <n v="0"/>
    <n v="0"/>
    <n v="0"/>
    <n v="1000"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x v="0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x v="0"/>
    <s v="NO"/>
    <s v="NO"/>
    <d v="2026-01-01T00:00:00"/>
    <d v="2026-12-31T00:00:00"/>
    <m/>
    <m/>
    <m/>
    <s v="Desarrollo y mejoramiento de productos turísticos para la oferta y bienestar turístico del destino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x v="0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x v="0"/>
    <s v="NO"/>
    <s v="NO"/>
    <d v="2026-12-01T00:00:00"/>
    <d v="2026-12-31T00:00:00"/>
    <m/>
    <m/>
    <m/>
    <s v="Acciones para  implementación del programa de calidad Turística a establecimiento turisticos adaptados a DTI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x v="0"/>
    <s v="NO"/>
    <s v="NO"/>
    <d v="2026-01-01T00:00:00"/>
    <d v="2026-12-31T00:00:00"/>
    <m/>
    <m/>
    <m/>
    <s v="Coordinación y promoción  de acciones para la captación de grandes eventos nacionales e internacionales para el DMQ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s v="01.01.001.157.570203.000.009"/>
    <s v="000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0"/>
    <n v="0"/>
    <n v="5401.56"/>
    <n v="0"/>
    <n v="0"/>
    <n v="5401.56"/>
    <n v="0"/>
    <n v="0"/>
    <n v="10803.12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s v="01.01.001.158.570203.000.009"/>
    <s v="000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n v="3000"/>
    <n v="250"/>
    <n v="250"/>
    <n v="250"/>
    <n v="250"/>
    <n v="250"/>
    <n v="250"/>
    <n v="250"/>
    <n v="250"/>
    <n v="250"/>
    <n v="250"/>
    <n v="250"/>
    <n v="250"/>
    <m/>
    <n v="0"/>
    <n v="237.42"/>
    <n v="0"/>
    <n v="2060"/>
    <n v="237.42"/>
    <n v="0"/>
    <n v="2060"/>
    <n v="474.84"/>
    <n v="0"/>
    <n v="412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s v="01.01.001.112.570102.000.009"/>
    <s v="000"/>
    <n v="570102"/>
    <s v="Fondos Propios"/>
    <n v="29311"/>
    <n v="0"/>
    <n v="0"/>
    <n v="0"/>
    <n v="0"/>
    <n v="29311"/>
    <n v="0"/>
    <n v="0"/>
    <n v="0"/>
    <n v="0"/>
    <n v="0"/>
    <n v="0"/>
    <n v="0"/>
    <m/>
    <n v="29311"/>
    <n v="0"/>
    <n v="0"/>
    <n v="0"/>
    <n v="0"/>
    <n v="29311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agua potable)"/>
    <s v="01.01.001.068.530101.000.009"/>
    <s v="000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2.1"/>
    <n v="0"/>
    <n v="6000"/>
    <n v="512.08000000000004"/>
    <n v="0"/>
    <n v="6000"/>
    <n v="514.18000000000006"/>
    <n v="0"/>
    <n v="1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s v="01.01.001.069.530104.000.009"/>
    <s v="000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2501.17"/>
    <n v="0"/>
    <n v="28000"/>
    <n v="5494.4"/>
    <n v="0"/>
    <n v="28000"/>
    <n v="7995.57"/>
    <n v="0"/>
    <n v="5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s v="01.01.001.070.530105.000.009"/>
    <s v="000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315.24"/>
    <n v="0"/>
    <n v="6000"/>
    <n v="315.24"/>
    <n v="0"/>
    <n v="6000"/>
    <n v="630.48"/>
    <n v="0"/>
    <n v="1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Pago de tasa de limpieza EMASEO"/>
    <s v="01.01.001.153.570102.000.009"/>
    <s v="000"/>
    <n v="570102"/>
    <s v="Fondos Propios"/>
    <n v="49020"/>
    <n v="0"/>
    <n v="0"/>
    <n v="0"/>
    <n v="0"/>
    <n v="0"/>
    <n v="0"/>
    <n v="0"/>
    <n v="0"/>
    <n v="0"/>
    <n v="49020"/>
    <n v="0"/>
    <n v="0"/>
    <m/>
    <n v="49020"/>
    <n v="0"/>
    <n v="0"/>
    <n v="0"/>
    <n v="0"/>
    <n v="0"/>
    <n v="0"/>
    <n v="0"/>
    <n v="0"/>
    <n v="0"/>
    <n v="49020"/>
    <n v="0"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s v="01.01.002.054.630207.000.009"/>
    <s v="000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s v="01.01.002.005.631203.000.009"/>
    <s v="000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0"/>
    <n v="0"/>
    <n v="50000"/>
    <n v="0"/>
    <n v="0"/>
    <n v="50000"/>
    <n v="0"/>
    <n v="0"/>
    <n v="10000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s v="01.01.002.006.630204.000.009"/>
    <s v="000"/>
    <n v="630204"/>
    <s v="Fondos Propios"/>
    <n v="100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2-01T00:00:00"/>
    <d v="2026-12-31T00:00:00"/>
    <m/>
    <m/>
    <m/>
    <m/>
    <m/>
    <m/>
    <m/>
    <m/>
    <m/>
    <m/>
    <m/>
    <m/>
    <s v="Realizar el proceso administrativo para la implementación y gestión de los puntos de Distribución de Contenidos en el DMQ."/>
    <s v="01.01.002.023.630502.000.009"/>
    <s v="000"/>
    <n v="630502"/>
    <s v="Fondos Propios"/>
    <n v="60000"/>
    <n v="0"/>
    <n v="0"/>
    <n v="0"/>
    <n v="0"/>
    <n v="0"/>
    <n v="0"/>
    <n v="0"/>
    <n v="0"/>
    <n v="0"/>
    <n v="0"/>
    <n v="0"/>
    <n v="60000"/>
    <m/>
    <n v="60000"/>
    <n v="0"/>
    <n v="0"/>
    <n v="0"/>
    <n v="0"/>
    <n v="0"/>
    <n v="0"/>
    <n v="0"/>
    <n v="0"/>
    <n v="0"/>
    <n v="0"/>
    <n v="0"/>
    <n v="6000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01.01.001.072.530702.000.009"/>
    <s v="000"/>
    <n v="530702"/>
    <s v="Fondos Propios"/>
    <n v="6600"/>
    <n v="0"/>
    <n v="0"/>
    <n v="0"/>
    <n v="3000"/>
    <n v="0"/>
    <n v="0"/>
    <n v="0"/>
    <n v="3600"/>
    <n v="0"/>
    <n v="0"/>
    <n v="0"/>
    <n v="0"/>
    <m/>
    <n v="6600"/>
    <n v="0"/>
    <n v="0"/>
    <n v="0"/>
    <n v="3000"/>
    <n v="0"/>
    <n v="0"/>
    <n v="0"/>
    <n v="360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01.01.001.123.530702.000.009"/>
    <s v="000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01.01.001.017.530702.000.009"/>
    <s v="000"/>
    <n v="530702"/>
    <s v="Fondos Propios"/>
    <n v="2000"/>
    <n v="0"/>
    <n v="0"/>
    <n v="0"/>
    <n v="0"/>
    <n v="2000"/>
    <n v="0"/>
    <n v="0"/>
    <n v="0"/>
    <n v="0"/>
    <n v="0"/>
    <n v="0"/>
    <n v="0"/>
    <n v="-2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01.01.001.055.530702.000.009"/>
    <s v="000"/>
    <n v="530702"/>
    <s v="Fondos Propios"/>
    <n v="7000"/>
    <n v="0"/>
    <n v="0"/>
    <n v="0"/>
    <n v="0"/>
    <n v="0"/>
    <n v="0"/>
    <n v="0"/>
    <n v="7000"/>
    <n v="0"/>
    <n v="0"/>
    <n v="0"/>
    <n v="0"/>
    <m/>
    <n v="7000"/>
    <n v="0"/>
    <n v="0"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01.01.001.075.530702.000.009"/>
    <s v="000"/>
    <n v="530702"/>
    <s v="Fondos Propios"/>
    <n v="7200"/>
    <n v="0"/>
    <n v="0"/>
    <n v="0"/>
    <n v="0"/>
    <n v="0"/>
    <n v="0"/>
    <n v="0"/>
    <n v="0"/>
    <n v="0"/>
    <n v="0"/>
    <n v="0"/>
    <n v="7200"/>
    <m/>
    <n v="7200"/>
    <n v="0"/>
    <n v="0"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01.01.001.096.530702.000.009"/>
    <s v="000"/>
    <n v="530702"/>
    <s v="Fondos Propios"/>
    <n v="8000"/>
    <n v="0"/>
    <n v="0"/>
    <n v="0"/>
    <n v="0"/>
    <n v="0"/>
    <n v="8000"/>
    <n v="0"/>
    <n v="0"/>
    <n v="0"/>
    <n v="0"/>
    <n v="0"/>
    <n v="0"/>
    <m/>
    <n v="8000"/>
    <n v="0"/>
    <n v="0"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01.01.001.074.530702.000.009"/>
    <s v="000"/>
    <n v="530702"/>
    <s v="Fondos Propios"/>
    <n v="7000"/>
    <n v="0"/>
    <n v="0"/>
    <n v="0"/>
    <n v="0"/>
    <n v="0"/>
    <n v="0"/>
    <n v="0"/>
    <n v="0"/>
    <n v="7000"/>
    <n v="0"/>
    <n v="0"/>
    <n v="0"/>
    <m/>
    <n v="7000"/>
    <n v="0"/>
    <n v="0"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01.01.001.076.530702.000.009"/>
    <s v="000"/>
    <n v="530702"/>
    <s v="Fondos Propios"/>
    <n v="7000"/>
    <n v="0"/>
    <n v="0"/>
    <n v="0"/>
    <n v="0"/>
    <n v="0"/>
    <n v="0"/>
    <n v="0"/>
    <n v="0"/>
    <n v="0"/>
    <n v="0"/>
    <n v="7000"/>
    <n v="0"/>
    <m/>
    <n v="7000"/>
    <n v="0"/>
    <n v="0"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s v="01.01.001.077.570102.000.009"/>
    <s v="000"/>
    <n v="570102"/>
    <s v="Fondos Propios"/>
    <n v="2000"/>
    <n v="0"/>
    <n v="0"/>
    <n v="0"/>
    <n v="0"/>
    <n v="0"/>
    <n v="0"/>
    <n v="0"/>
    <n v="0"/>
    <n v="0"/>
    <n v="0"/>
    <n v="0"/>
    <n v="2000"/>
    <m/>
    <n v="2000"/>
    <n v="0"/>
    <n v="0"/>
    <n v="0"/>
    <n v="0"/>
    <n v="0"/>
    <n v="0"/>
    <n v="0"/>
    <n v="0"/>
    <n v="0"/>
    <n v="0"/>
    <n v="0"/>
    <n v="2000"/>
    <m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s v="01.01.002.008.530207.000.009"/>
    <s v="000"/>
    <n v="530207"/>
    <s v="Fondos Propios"/>
    <n v="100000"/>
    <n v="0"/>
    <n v="0"/>
    <n v="20000"/>
    <n v="0"/>
    <n v="50000"/>
    <n v="30000"/>
    <n v="0"/>
    <n v="0"/>
    <n v="0"/>
    <n v="0"/>
    <n v="0"/>
    <n v="0"/>
    <m/>
    <n v="100000"/>
    <n v="0"/>
    <n v="0"/>
    <n v="20000"/>
    <n v="0"/>
    <n v="50000"/>
    <n v="30000"/>
    <n v="0"/>
    <n v="0"/>
    <n v="0"/>
    <n v="0"/>
    <n v="0"/>
    <n v="0"/>
    <m/>
    <n v="0"/>
    <n v="0"/>
    <n v="100000"/>
    <n v="0"/>
    <n v="0"/>
    <n v="100000"/>
    <n v="0"/>
    <n v="0"/>
    <n v="20000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s v="01.01.002.019.530207.000.009"/>
    <s v="000"/>
    <n v="530207"/>
    <s v="Fondos Propios"/>
    <n v="10000"/>
    <n v="0"/>
    <n v="0"/>
    <n v="5000"/>
    <n v="5000"/>
    <n v="0"/>
    <n v="0"/>
    <n v="0"/>
    <n v="0"/>
    <n v="0"/>
    <n v="0"/>
    <n v="0"/>
    <n v="0"/>
    <m/>
    <n v="10000"/>
    <n v="0"/>
    <n v="0"/>
    <n v="5000"/>
    <n v="5000"/>
    <n v="0"/>
    <n v="0"/>
    <n v="0"/>
    <n v="0"/>
    <n v="0"/>
    <n v="0"/>
    <n v="0"/>
    <n v="0"/>
    <m/>
    <n v="0"/>
    <n v="0"/>
    <n v="10000"/>
    <n v="0"/>
    <n v="0"/>
    <n v="10000"/>
    <n v="0"/>
    <n v="0"/>
    <n v="2000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2.009"/>
    <s v="002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1.009"/>
    <s v="001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n v="0"/>
    <n v="0"/>
    <n v="0"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0.009"/>
    <s v="000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n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s v="01.01.001.079.530207.000.009"/>
    <s v="000"/>
    <n v="530207"/>
    <s v="Fondos Propios"/>
    <n v="47050"/>
    <n v="15000"/>
    <n v="15000"/>
    <n v="17050"/>
    <n v="0"/>
    <n v="0"/>
    <n v="0"/>
    <n v="0"/>
    <n v="0"/>
    <n v="0"/>
    <n v="0"/>
    <n v="0"/>
    <n v="0"/>
    <m/>
    <n v="47050"/>
    <n v="15000"/>
    <n v="15000"/>
    <n v="17050"/>
    <n v="0"/>
    <n v="0"/>
    <n v="0"/>
    <n v="0"/>
    <n v="0"/>
    <n v="0"/>
    <n v="0"/>
    <n v="0"/>
    <n v="0"/>
    <m/>
    <n v="0"/>
    <n v="0"/>
    <n v="0"/>
    <n v="47050"/>
    <n v="0"/>
    <n v="0"/>
    <n v="47050"/>
    <n v="0"/>
    <n v="0"/>
    <n v="941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s v="01.01.001.159.530207.000.009"/>
    <s v="000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n v="195000"/>
    <n v="0"/>
    <n v="0"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s v="01.01.001.145.530209.000.009"/>
    <s v="000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0"/>
    <n v="0"/>
    <n v="63855"/>
    <n v="0"/>
    <n v="0"/>
    <n v="63855"/>
    <n v="0"/>
    <n v="0"/>
    <n v="12771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s v="01.01.002.009.630601.000.009"/>
    <s v="000"/>
    <n v="630601"/>
    <s v="Fondos Propios"/>
    <n v="85000"/>
    <m/>
    <m/>
    <m/>
    <m/>
    <m/>
    <m/>
    <m/>
    <m/>
    <m/>
    <m/>
    <m/>
    <n v="85000"/>
    <m/>
    <n v="85000"/>
    <m/>
    <m/>
    <m/>
    <m/>
    <m/>
    <m/>
    <m/>
    <m/>
    <m/>
    <m/>
    <m/>
    <n v="8500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1-01T00:00:00"/>
    <d v="2026-12-31T00:00:00"/>
    <m/>
    <m/>
    <m/>
    <m/>
    <m/>
    <m/>
    <m/>
    <m/>
    <m/>
    <m/>
    <m/>
    <m/>
    <s v="Servicio de Auditoría CCMQ"/>
    <s v="01.01.002.002.630602.000.009"/>
    <s v="000"/>
    <n v="630602"/>
    <s v="Fondos Propios"/>
    <n v="6600"/>
    <s v="-"/>
    <s v="-"/>
    <s v="-"/>
    <s v="-"/>
    <n v="6600"/>
    <s v="-"/>
    <s v="-"/>
    <s v="-"/>
    <s v="-"/>
    <s v="-"/>
    <s v="-"/>
    <s v="-"/>
    <m/>
    <n v="6600"/>
    <s v="-"/>
    <s v="-"/>
    <s v="-"/>
    <s v="-"/>
    <n v="6600"/>
    <s v="-"/>
    <s v="-"/>
    <s v="-"/>
    <s v="-"/>
    <s v="-"/>
    <s v="-"/>
    <s v="-"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"/>
    <s v="01.01.002.010.530613.000.009"/>
    <s v="000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n v="40648.5"/>
    <n v="0"/>
    <n v="0"/>
    <n v="0"/>
    <n v="40648.5"/>
    <n v="0"/>
    <n v="0"/>
    <n v="0"/>
    <n v="0"/>
    <n v="0"/>
    <n v="0"/>
    <n v="0"/>
    <n v="0"/>
    <m/>
    <n v="0"/>
    <n v="0"/>
    <n v="40648.5"/>
    <n v="0"/>
    <n v="0"/>
    <n v="40648.5"/>
    <n v="0"/>
    <n v="0"/>
    <n v="81297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 2025 – 2026 (arrastre)"/>
    <s v="01.01.002.056.530613.000.009"/>
    <s v="000"/>
    <n v="530613"/>
    <s v="Fondos Propios"/>
    <n v="0"/>
    <m/>
    <m/>
    <m/>
    <m/>
    <m/>
    <m/>
    <m/>
    <m/>
    <m/>
    <m/>
    <m/>
    <m/>
    <n v="1492.25"/>
    <n v="1492.25"/>
    <m/>
    <m/>
    <m/>
    <n v="1492.25"/>
    <m/>
    <m/>
    <m/>
    <m/>
    <m/>
    <m/>
    <m/>
    <m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8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s v="01.01.002.049.530613.000.009"/>
    <s v="000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n v="87195.75"/>
    <n v="0"/>
    <n v="0"/>
    <n v="0"/>
    <n v="0"/>
    <n v="0"/>
    <n v="0"/>
    <n v="0"/>
    <n v="44000"/>
    <n v="0"/>
    <n v="0"/>
    <n v="0"/>
    <n v="43195.75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1-01T00:00:00"/>
    <d v="2026-12-31T00:00:00"/>
    <m/>
    <m/>
    <m/>
    <m/>
    <m/>
    <m/>
    <m/>
    <m/>
    <m/>
    <m/>
    <m/>
    <m/>
    <s v="Servicio de conexión de datos Datalink."/>
    <s v="01.01.002.011.630105.000.009"/>
    <s v="000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1000"/>
    <s v="-"/>
    <n v="90.91"/>
    <n v="90.91"/>
    <n v="90.91"/>
    <n v="90.91"/>
    <n v="90.91"/>
    <n v="90.91"/>
    <n v="90.91"/>
    <n v="90.91"/>
    <n v="90.91"/>
    <n v="90.91"/>
    <n v="90.9"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s v="01.01.002.048.630207.000.009"/>
    <s v="000"/>
    <n v="630207"/>
    <s v="Fondos Propios"/>
    <n v="9000"/>
    <m/>
    <m/>
    <m/>
    <m/>
    <m/>
    <m/>
    <n v="9000"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01.01.001.084.530105.000.009"/>
    <s v="000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n v="1710"/>
    <n v="227.7"/>
    <n v="227.7"/>
    <n v="227.7"/>
    <n v="227.7"/>
    <n v="227.7"/>
    <n v="227.7"/>
    <n v="343.8"/>
    <n v="0"/>
    <n v="0"/>
    <n v="0"/>
    <n v="0"/>
    <n v="0"/>
    <m/>
    <n v="0"/>
    <n v="227.7"/>
    <n v="49.99"/>
    <n v="1660.01"/>
    <n v="227.7"/>
    <n v="49.99"/>
    <n v="1660.01"/>
    <n v="455.4"/>
    <n v="99.98"/>
    <n v="3320.02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01.01.001.170.530105.000.009"/>
    <s v="000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n v="1400"/>
    <n v="0"/>
    <n v="0"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s v="01.01.001.114.530202.000.009"/>
    <s v="000"/>
    <n v="530202"/>
    <s v="Fondos Propios"/>
    <n v="2000"/>
    <n v="0"/>
    <n v="0"/>
    <n v="0"/>
    <n v="0"/>
    <n v="0"/>
    <n v="0"/>
    <n v="0"/>
    <n v="0"/>
    <n v="0"/>
    <n v="0"/>
    <n v="0"/>
    <n v="2000"/>
    <n v="-2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s v="01.01.002.012.630204.000.009"/>
    <s v="000"/>
    <n v="630204"/>
    <s v="Fondos Propios"/>
    <n v="4000"/>
    <n v="0"/>
    <n v="0"/>
    <n v="0"/>
    <n v="0"/>
    <n v="0"/>
    <n v="0"/>
    <n v="0"/>
    <n v="0"/>
    <n v="4000"/>
    <n v="0"/>
    <n v="0"/>
    <n v="0"/>
    <m/>
    <n v="4000"/>
    <n v="0"/>
    <n v="0"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s v="01.01.001.160.530404.000.009"/>
    <s v="000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01.01.001.086.530105.000.009"/>
    <s v="000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2026.66"/>
    <n v="306.08"/>
    <n v="18693.919999999998"/>
    <n v="2026.66"/>
    <n v="306.08"/>
    <n v="18693.919999999998"/>
    <n v="4053.32"/>
    <n v="612.16"/>
    <n v="37387.839999999997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01.01.001.171.530105.000.009"/>
    <s v="000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n v="12500"/>
    <n v="0"/>
    <n v="0"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s v="01.01.001.103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01.01.001.105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01.01.001.140.530704.000.009"/>
    <s v="000"/>
    <n v="530704"/>
    <s v="Fondos Propios"/>
    <n v="2000"/>
    <n v="0"/>
    <n v="0"/>
    <n v="0"/>
    <n v="0"/>
    <n v="0"/>
    <n v="0"/>
    <n v="0"/>
    <n v="0"/>
    <n v="0"/>
    <n v="2000"/>
    <n v="0"/>
    <n v="0"/>
    <m/>
    <n v="2000"/>
    <n v="0"/>
    <n v="0"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01.01.001.172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01.01.001.173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01.01.001.106.530704.000.009"/>
    <s v="000"/>
    <n v="530704"/>
    <s v="Fondos Propios"/>
    <n v="1100"/>
    <n v="0"/>
    <n v="0"/>
    <n v="0"/>
    <n v="0"/>
    <n v="0"/>
    <n v="0"/>
    <n v="0"/>
    <n v="0"/>
    <n v="0"/>
    <n v="0"/>
    <n v="1100"/>
    <n v="0"/>
    <m/>
    <n v="1100"/>
    <n v="0"/>
    <n v="0"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01.01.001.088.530704.000.009"/>
    <s v="000"/>
    <n v="530704"/>
    <s v="Fondos Propios"/>
    <n v="1000"/>
    <n v="0"/>
    <n v="0"/>
    <n v="0"/>
    <n v="0"/>
    <n v="0"/>
    <n v="0"/>
    <n v="0"/>
    <n v="0"/>
    <n v="0"/>
    <n v="0"/>
    <n v="100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01.01.001.089.530704.000.009"/>
    <s v="000"/>
    <n v="530704"/>
    <s v="Fondos Propios"/>
    <n v="10000"/>
    <n v="0"/>
    <n v="0"/>
    <n v="0"/>
    <n v="0"/>
    <n v="0"/>
    <n v="0"/>
    <n v="0"/>
    <n v="0"/>
    <n v="0"/>
    <n v="0"/>
    <n v="10000"/>
    <n v="0"/>
    <m/>
    <n v="10000"/>
    <n v="0"/>
    <n v="0"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Servicio de mantenimiento preventivo y correctivo del sistema eléctrico del generador"/>
    <s v="01.01.001.042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s v="01.01.002.044.530201.000.009"/>
    <s v="000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2500"/>
    <n v="0"/>
    <n v="0"/>
    <n v="0"/>
    <n v="0"/>
    <n v="0"/>
    <n v="0"/>
    <n v="0"/>
    <n v="0"/>
    <n v="0"/>
    <n v="0"/>
    <n v="0"/>
    <n v="0"/>
    <n v="250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s v="01.01.001.111.530255.000.009"/>
    <s v="000"/>
    <n v="530255"/>
    <s v="Fondos Propios"/>
    <n v="6000"/>
    <n v="0"/>
    <n v="0"/>
    <n v="0"/>
    <n v="0"/>
    <n v="0"/>
    <n v="0"/>
    <n v="6000"/>
    <n v="0"/>
    <n v="0"/>
    <n v="0"/>
    <n v="0"/>
    <n v="0"/>
    <n v="-1000"/>
    <n v="5000"/>
    <n v="0"/>
    <n v="0"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s v="01.01.001.111.570199.000.009"/>
    <s v="000"/>
    <n v="570199"/>
    <s v="Fondos Propios"/>
    <n v="900"/>
    <n v="0"/>
    <n v="0"/>
    <n v="0"/>
    <n v="0"/>
    <n v="0"/>
    <n v="0"/>
    <n v="900"/>
    <n v="0"/>
    <n v="0"/>
    <n v="0"/>
    <n v="0"/>
    <n v="0"/>
    <m/>
    <n v="900"/>
    <n v="0"/>
    <n v="0"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s v="01.01.001.006.530255.000.009"/>
    <s v="000"/>
    <n v="530255"/>
    <s v="Fondos Propios"/>
    <n v="6600"/>
    <n v="0"/>
    <n v="0"/>
    <n v="0"/>
    <n v="0"/>
    <n v="0"/>
    <n v="0"/>
    <n v="6600"/>
    <n v="0"/>
    <n v="0"/>
    <n v="0"/>
    <n v="0"/>
    <n v="0"/>
    <m/>
    <n v="6600"/>
    <n v="0"/>
    <n v="0"/>
    <n v="0"/>
    <n v="0"/>
    <n v="0"/>
    <n v="0"/>
    <n v="6600"/>
    <n v="0"/>
    <n v="0"/>
    <n v="0"/>
    <n v="0"/>
    <n v="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s v="01.01.001.048.530105.000.009"/>
    <s v="000"/>
    <n v="530105"/>
    <s v="Fondos Propios"/>
    <n v="283"/>
    <n v="0"/>
    <n v="0"/>
    <n v="0"/>
    <n v="0"/>
    <n v="0"/>
    <n v="0"/>
    <n v="0"/>
    <n v="283"/>
    <n v="0"/>
    <n v="0"/>
    <n v="0"/>
    <n v="0"/>
    <m/>
    <n v="283"/>
    <n v="0"/>
    <n v="0"/>
    <n v="0"/>
    <n v="0"/>
    <n v="0"/>
    <n v="0"/>
    <n v="0"/>
    <n v="283"/>
    <n v="0"/>
    <n v="0"/>
    <n v="0"/>
    <n v="0"/>
    <m/>
    <n v="0"/>
    <n v="0"/>
    <n v="283"/>
    <n v="0"/>
    <n v="0"/>
    <n v="0"/>
    <n v="283"/>
    <n v="0"/>
    <n v="283"/>
    <n v="283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1.009"/>
    <s v="001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n v="438975"/>
    <n v="0"/>
    <n v="0"/>
    <n v="0"/>
    <m/>
    <m/>
    <m/>
    <n v="10000"/>
    <n v="20000"/>
    <n v="30000"/>
    <n v="40000"/>
    <n v="100000"/>
    <n v="238975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0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0.009"/>
    <s v="000"/>
    <n v="630207"/>
    <s v="Fondos Propios"/>
    <n v="125000"/>
    <n v="0"/>
    <m/>
    <m/>
    <m/>
    <n v="20025"/>
    <n v="20025"/>
    <n v="22025"/>
    <n v="28025"/>
    <n v="14875"/>
    <n v="20025"/>
    <m/>
    <m/>
    <m/>
    <n v="125000"/>
    <n v="0"/>
    <m/>
    <m/>
    <m/>
    <n v="20025"/>
    <n v="20025"/>
    <n v="22025"/>
    <n v="28025"/>
    <n v="14875"/>
    <n v="20025"/>
    <m/>
    <m/>
    <m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0.009"/>
    <s v="000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n v="495000"/>
    <n v="0"/>
    <m/>
    <m/>
    <m/>
    <m/>
    <m/>
    <n v="10000"/>
    <n v="20000"/>
    <n v="30000"/>
    <n v="40000"/>
    <n v="100000"/>
    <n v="29500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1.009"/>
    <s v="001"/>
    <n v="630207"/>
    <s v="Fondos Propios"/>
    <n v="33500"/>
    <n v="0"/>
    <n v="0"/>
    <n v="0"/>
    <n v="0"/>
    <n v="7500"/>
    <n v="0"/>
    <n v="0"/>
    <n v="7500"/>
    <n v="0"/>
    <n v="0"/>
    <n v="0"/>
    <n v="18500"/>
    <m/>
    <n v="33500"/>
    <n v="0"/>
    <n v="0"/>
    <n v="0"/>
    <n v="0"/>
    <n v="7500"/>
    <n v="0"/>
    <n v="0"/>
    <n v="7500"/>
    <n v="0"/>
    <n v="0"/>
    <n v="0"/>
    <n v="1850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s v="01.01.001.115.530208.000.009"/>
    <s v="000"/>
    <n v="530208"/>
    <s v="Fondos Propios"/>
    <n v="96030"/>
    <n v="16005"/>
    <n v="16005"/>
    <n v="16005"/>
    <n v="16005"/>
    <n v="16005"/>
    <n v="16005"/>
    <m/>
    <m/>
    <m/>
    <m/>
    <m/>
    <m/>
    <m/>
    <n v="96030"/>
    <n v="12830"/>
    <n v="12830"/>
    <n v="12830"/>
    <n v="12830"/>
    <n v="12830"/>
    <n v="12830"/>
    <m/>
    <m/>
    <m/>
    <m/>
    <m/>
    <m/>
    <n v="19050"/>
    <n v="0"/>
    <n v="0"/>
    <n v="0"/>
    <n v="76980"/>
    <n v="0"/>
    <n v="0"/>
    <n v="76980"/>
    <n v="0"/>
    <n v="0"/>
    <n v="15396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s v="01.01.001.154.530208.000.009"/>
    <s v="000"/>
    <n v="530208"/>
    <s v="Fondos Propios"/>
    <n v="76980"/>
    <m/>
    <m/>
    <m/>
    <m/>
    <m/>
    <m/>
    <n v="12830"/>
    <n v="12830"/>
    <n v="12830"/>
    <n v="12830"/>
    <n v="12830"/>
    <n v="12830"/>
    <m/>
    <n v="76980"/>
    <m/>
    <m/>
    <m/>
    <m/>
    <m/>
    <m/>
    <n v="12830"/>
    <n v="12830"/>
    <n v="12830"/>
    <n v="12830"/>
    <n v="12830"/>
    <n v="1283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01.01.001.185.530704.000.009"/>
    <s v="000"/>
    <n v="530704"/>
    <s v="Fondos Propios"/>
    <n v="0"/>
    <m/>
    <m/>
    <m/>
    <m/>
    <m/>
    <m/>
    <m/>
    <m/>
    <m/>
    <m/>
    <m/>
    <m/>
    <n v="3500"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Servicio de transporte para verificadores"/>
    <s v="01.01.002.052.630201.000.009"/>
    <s v="000"/>
    <n v="630201"/>
    <s v="Fondos Propios"/>
    <n v="70000"/>
    <m/>
    <m/>
    <m/>
    <m/>
    <m/>
    <m/>
    <n v="70000"/>
    <m/>
    <m/>
    <m/>
    <m/>
    <m/>
    <n v="-9500"/>
    <n v="60500"/>
    <m/>
    <m/>
    <m/>
    <m/>
    <m/>
    <m/>
    <m/>
    <m/>
    <m/>
    <m/>
    <m/>
    <n v="60500"/>
    <m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s v="01.01.001.051.530241.000.009"/>
    <s v="000"/>
    <n v="530241"/>
    <s v="Fondos Propios"/>
    <n v="1026"/>
    <n v="270"/>
    <n v="270"/>
    <n v="270"/>
    <n v="216"/>
    <n v="0"/>
    <n v="0"/>
    <n v="0"/>
    <n v="0"/>
    <n v="0"/>
    <n v="0"/>
    <n v="0"/>
    <n v="0"/>
    <m/>
    <n v="1026"/>
    <n v="270"/>
    <n v="270"/>
    <n v="270"/>
    <n v="216"/>
    <n v="0"/>
    <n v="0"/>
    <n v="0"/>
    <n v="0"/>
    <n v="0"/>
    <n v="0"/>
    <n v="0"/>
    <n v="0"/>
    <m/>
    <n v="0"/>
    <n v="0"/>
    <n v="0"/>
    <n v="1026"/>
    <n v="0"/>
    <n v="0"/>
    <n v="1026"/>
    <n v="0"/>
    <n v="0"/>
    <n v="2052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s v="01.01.001.161.530241.000.009"/>
    <s v="000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n v="3500"/>
    <n v="0"/>
    <n v="0"/>
    <n v="0"/>
    <n v="0"/>
    <n v="400"/>
    <n v="400"/>
    <n v="400"/>
    <n v="400"/>
    <n v="400"/>
    <n v="400"/>
    <n v="400"/>
    <n v="700"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1-01T00:00:00"/>
    <d v="2026-11-30T00:00:00"/>
    <m/>
    <m/>
    <m/>
    <m/>
    <m/>
    <m/>
    <m/>
    <m/>
    <m/>
    <m/>
    <m/>
    <m/>
    <s v="SERVICIOS DE CONSULTORÍA PARA IMPLEMENTACIÓN DE LA NORMA ISO 37001:2016 SISTEMAS DE GESTIÓN ANTISOBORNO"/>
    <s v="01.01.002.050.630601.000.009"/>
    <s v="000"/>
    <n v="630601"/>
    <s v="Fondos Propios"/>
    <n v="25000"/>
    <n v="0"/>
    <n v="0"/>
    <n v="0"/>
    <n v="0"/>
    <n v="0"/>
    <n v="0"/>
    <n v="0"/>
    <n v="0"/>
    <n v="0"/>
    <n v="0"/>
    <n v="25000"/>
    <n v="0"/>
    <m/>
    <n v="25000"/>
    <n v="0"/>
    <n v="0"/>
    <n v="0"/>
    <n v="0"/>
    <n v="0"/>
    <n v="0"/>
    <n v="0"/>
    <n v="0"/>
    <n v="0"/>
    <n v="0"/>
    <n v="25000"/>
    <n v="0"/>
    <m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s v="01.01.002.043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0"/>
    <n v="12500"/>
    <n v="0"/>
    <n v="2500"/>
    <n v="0"/>
    <n v="12500"/>
    <n v="2500"/>
    <n v="12500"/>
    <n v="125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01.01.001.174.530701.000.009"/>
    <s v="000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01.01.001.176.530702.000.009"/>
    <s v="000"/>
    <n v="530702"/>
    <s v="Fondos Propios"/>
    <n v="0"/>
    <m/>
    <m/>
    <m/>
    <m/>
    <m/>
    <m/>
    <m/>
    <m/>
    <m/>
    <m/>
    <m/>
    <m/>
    <n v="9259.93"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01.01.001.182.530702.000.009"/>
    <s v="000"/>
    <n v="530702"/>
    <s v="Fondos Propios"/>
    <n v="0"/>
    <m/>
    <m/>
    <m/>
    <m/>
    <m/>
    <m/>
    <m/>
    <m/>
    <m/>
    <m/>
    <m/>
    <m/>
    <n v="65000"/>
    <n v="65000"/>
    <m/>
    <m/>
    <m/>
    <m/>
    <n v="1000"/>
    <m/>
    <m/>
    <m/>
    <m/>
    <m/>
    <n v="64000"/>
    <m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0.009"/>
    <s v="000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1.009"/>
    <s v="001"/>
    <n v="530702"/>
    <s v="Fondos Propios"/>
    <n v="8000"/>
    <n v="0"/>
    <n v="0"/>
    <n v="0"/>
    <n v="0"/>
    <n v="0"/>
    <n v="0"/>
    <n v="0"/>
    <n v="0"/>
    <n v="0"/>
    <n v="0"/>
    <n v="8000"/>
    <n v="0"/>
    <n v="-8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seguridad informática para el aseguramiento de los activos_x000a_de información"/>
    <s v="01.01.001.181.530702.000.009"/>
    <s v="000"/>
    <n v="530702"/>
    <s v="Fondos Propios"/>
    <n v="0"/>
    <m/>
    <m/>
    <m/>
    <m/>
    <m/>
    <m/>
    <m/>
    <m/>
    <m/>
    <m/>
    <m/>
    <m/>
    <n v="26000"/>
    <n v="26000"/>
    <m/>
    <m/>
    <m/>
    <m/>
    <m/>
    <m/>
    <m/>
    <m/>
    <m/>
    <m/>
    <n v="26000"/>
    <m/>
    <m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s v="01.01.001.155.530303.000.009"/>
    <s v="000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s v="01.01.001.155.530304.000.009"/>
    <s v="000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0"/>
    <n v="19523.599999999999"/>
    <n v="0"/>
    <n v="0"/>
    <n v="23131.11"/>
    <n v="0"/>
    <n v="0"/>
    <n v="42654.71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7-01T00:00:00"/>
    <d v="2026-12-31T00:00:00"/>
    <m/>
    <m/>
    <m/>
    <m/>
    <m/>
    <m/>
    <m/>
    <m/>
    <m/>
    <m/>
    <m/>
    <m/>
    <s v="CONTRATACIÓN DEL SERVICIO DE ACTIVACIONES TURÍSTICAS PARA PROMOCIÓN DESTINO QUITO EN EL MERCADO LOCAL Y NACIONAL"/>
    <s v="02.01.001.046.730207.000.002"/>
    <s v="000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n v="100000"/>
    <n v="0"/>
    <n v="0"/>
    <n v="0"/>
    <n v="0"/>
    <n v="0"/>
    <n v="0"/>
    <n v="50000"/>
    <n v="0"/>
    <n v="0"/>
    <n v="0"/>
    <n v="0"/>
    <n v="50000"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s v="02.01.001.043.730249.001.002"/>
    <s v="001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n v="537792"/>
    <n v="0"/>
    <n v="0"/>
    <m/>
    <m/>
    <m/>
    <n v="60016"/>
    <n v="85256"/>
    <n v="74016"/>
    <n v="85256"/>
    <m/>
    <n v="33248"/>
    <n v="200000"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4-01T00:00:00"/>
    <d v="2026-04-30T00:00:00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s v="02.01.001.049.730207.000.002"/>
    <s v="000"/>
    <n v="730207"/>
    <s v="Asignación Municipal"/>
    <n v="0"/>
    <m/>
    <m/>
    <m/>
    <m/>
    <m/>
    <m/>
    <m/>
    <m/>
    <m/>
    <m/>
    <m/>
    <m/>
    <n v="120000"/>
    <n v="120000"/>
    <m/>
    <m/>
    <m/>
    <n v="120000"/>
    <m/>
    <m/>
    <m/>
    <m/>
    <m/>
    <m/>
    <m/>
    <m/>
    <m/>
    <n v="0"/>
    <n v="0"/>
    <n v="0"/>
    <n v="0"/>
    <n v="0"/>
    <n v="120000"/>
    <n v="0"/>
    <n v="0"/>
    <n v="120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9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s v="02.01.001.043.730249.000.002"/>
    <s v="000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n v="700000"/>
    <n v="0"/>
    <n v="0"/>
    <m/>
    <m/>
    <m/>
    <m/>
    <m/>
    <m/>
    <n v="600000"/>
    <m/>
    <m/>
    <n v="10000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10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s v="02.01.001.043.730249.002.002"/>
    <s v="002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n v="49999.99"/>
    <n v="0"/>
    <n v="0"/>
    <m/>
    <m/>
    <m/>
    <n v="19999.990000000002"/>
    <m/>
    <n v="15000"/>
    <m/>
    <n v="15000"/>
    <m/>
    <m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8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s v="02.01.001.043.730249.003.002"/>
    <s v="003"/>
    <n v="730249"/>
    <s v="Asignación Municipal"/>
    <n v="0"/>
    <m/>
    <m/>
    <m/>
    <m/>
    <m/>
    <m/>
    <m/>
    <m/>
    <m/>
    <m/>
    <m/>
    <m/>
    <n v="70000"/>
    <n v="70000"/>
    <m/>
    <m/>
    <m/>
    <m/>
    <m/>
    <m/>
    <m/>
    <n v="15000"/>
    <m/>
    <n v="12500"/>
    <m/>
    <n v="42500"/>
    <m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s v="02.01.001.035.730605.000.002"/>
    <s v="000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n v="242000"/>
    <n v="0"/>
    <n v="0"/>
    <m/>
    <n v="242000"/>
    <n v="0"/>
    <n v="0"/>
    <n v="0"/>
    <n v="0"/>
    <n v="0"/>
    <n v="0"/>
    <n v="0"/>
    <n v="0"/>
    <m/>
    <n v="0"/>
    <n v="0"/>
    <n v="169400"/>
    <n v="0"/>
    <n v="0"/>
    <n v="242000"/>
    <n v="0"/>
    <n v="0"/>
    <n v="41140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s v="02.01.001.008.710601.000.002"/>
    <s v="000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1047.9100000000001"/>
    <n v="1321.65"/>
    <n v="1047.9100000000001"/>
    <n v="1047.9100000000001"/>
    <n v="1321.65"/>
    <n v="1047.9100000000001"/>
    <n v="2095.8200000000002"/>
    <n v="2643.3"/>
    <n v="2095.8200000000002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2.01.001.009.710707.000.002"/>
    <s v="000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s v="02.01.001.010.710204.000.002"/>
    <s v="000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n v="5280"/>
    <n v="440"/>
    <n v="440"/>
    <n v="440"/>
    <n v="440"/>
    <n v="440"/>
    <n v="440"/>
    <n v="440"/>
    <n v="440"/>
    <n v="440"/>
    <n v="440"/>
    <n v="440"/>
    <n v="440"/>
    <m/>
    <n v="0"/>
    <n v="40.17"/>
    <n v="455.22"/>
    <n v="40.17"/>
    <n v="40.17"/>
    <n v="455.22"/>
    <n v="40.17"/>
    <n v="80.34"/>
    <n v="910.44"/>
    <n v="80.34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s v="02.01.001.011.710203.000.002"/>
    <s v="000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75.34"/>
    <n v="945.39"/>
    <n v="75.34"/>
    <n v="75.34"/>
    <n v="945.39"/>
    <n v="75.34"/>
    <n v="150.68"/>
    <n v="1890.78"/>
    <n v="150.6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s v="02.01.001.012.710602.000.002"/>
    <s v="000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577.05999999999995"/>
    <n v="945.01"/>
    <n v="577.05999999999995"/>
    <n v="577.05999999999995"/>
    <n v="945.01"/>
    <n v="577.05999999999995"/>
    <n v="1154.1199999999999"/>
    <n v="1890.02"/>
    <n v="1154.119999999999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Horas Extraordinarias y Suplementarias)"/>
    <s v="02.01.001.024.710509.000.002"/>
    <s v="000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0"/>
    <n v="3797.02"/>
    <n v="0"/>
    <n v="0"/>
    <n v="3797.02"/>
    <n v="0"/>
    <n v="0"/>
    <n v="7594.04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Servicios Personales por Contrato)"/>
    <s v="02.01.001.013.710510.000.002"/>
    <s v="000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114600"/>
    <n v="9550"/>
    <n v="9550"/>
    <n v="9550"/>
    <n v="9550"/>
    <n v="9550"/>
    <n v="9550"/>
    <n v="9550"/>
    <n v="9550"/>
    <n v="9550"/>
    <n v="9550"/>
    <n v="9550"/>
    <n v="9550"/>
    <m/>
    <n v="0"/>
    <n v="8994.91"/>
    <n v="11344.67"/>
    <n v="8994.91"/>
    <n v="8994.91"/>
    <n v="11344.67"/>
    <n v="8994.91"/>
    <n v="17989.82"/>
    <n v="22689.34"/>
    <n v="17989.82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s v="02.01.001.034.730207.000.002"/>
    <s v="000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n v="234800"/>
    <n v="0"/>
    <n v="0"/>
    <n v="0"/>
    <n v="0"/>
    <n v="0"/>
    <n v="0"/>
    <n v="117400"/>
    <n v="0"/>
    <n v="0"/>
    <n v="0"/>
    <n v="0"/>
    <n v="117400"/>
    <m/>
    <n v="0"/>
    <n v="0"/>
    <n v="234800"/>
    <n v="0"/>
    <n v="0"/>
    <n v="234800"/>
    <n v="0"/>
    <n v="0"/>
    <n v="46960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s v="02.01.001.047.730249.000.002"/>
    <s v="000"/>
    <n v="730249"/>
    <s v="Asignación Municipal"/>
    <n v="40000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s v="02.01.001.044.730601.000.002"/>
    <s v="000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16.730207.000.002"/>
    <s v="000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n v="57655"/>
    <n v="0"/>
    <n v="9609.16"/>
    <n v="9609.16"/>
    <n v="9609.17"/>
    <n v="9609.17"/>
    <n v="9609.17"/>
    <n v="9609.17"/>
    <m/>
    <m/>
    <m/>
    <m/>
    <m/>
    <m/>
    <n v="0"/>
    <n v="0"/>
    <n v="0"/>
    <n v="0"/>
    <n v="0"/>
    <n v="0"/>
    <n v="57655"/>
    <n v="0"/>
    <n v="0"/>
    <n v="57655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23.730207.000.002"/>
    <s v="000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n v="48977.5"/>
    <n v="0"/>
    <n v="8162.91"/>
    <n v="8162.91"/>
    <n v="8162.92"/>
    <n v="8162.92"/>
    <n v="8162.92"/>
    <n v="8162.92"/>
    <m/>
    <m/>
    <m/>
    <m/>
    <m/>
    <m/>
    <n v="0"/>
    <n v="0"/>
    <n v="0"/>
    <n v="0"/>
    <n v="0"/>
    <n v="0"/>
    <n v="48977.5"/>
    <n v="0"/>
    <n v="0"/>
    <n v="48977.5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d v="2026-02-01T00:00:00"/>
    <d v="2026-12-31T00:00:00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s v="02.01.001.050.730606.000.002"/>
    <s v="000"/>
    <n v="730606"/>
    <s v="Asignación Municipal"/>
    <n v="0"/>
    <m/>
    <m/>
    <m/>
    <m/>
    <m/>
    <m/>
    <m/>
    <m/>
    <m/>
    <m/>
    <m/>
    <m/>
    <n v="30800"/>
    <n v="30800"/>
    <m/>
    <n v="2800"/>
    <n v="2800"/>
    <n v="2800"/>
    <n v="2800"/>
    <n v="2800"/>
    <n v="2800"/>
    <n v="2800"/>
    <n v="2800"/>
    <n v="2800"/>
    <n v="2800"/>
    <n v="2800"/>
    <m/>
    <n v="0"/>
    <n v="0"/>
    <n v="0"/>
    <n v="0"/>
    <n v="0"/>
    <n v="28000"/>
    <n v="0"/>
    <n v="0"/>
    <n v="2800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s v="02.01.001.051.730207.000.002"/>
    <s v="000"/>
    <n v="730207"/>
    <s v="Asignación Municipal"/>
    <n v="0"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0.002"/>
    <s v="000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1.002"/>
    <s v="001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s v="02.01.001.017.730425.000.002"/>
    <s v="000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n v="147000"/>
    <n v="0"/>
    <n v="0"/>
    <n v="0"/>
    <n v="0"/>
    <n v="27000"/>
    <n v="30000"/>
    <n v="30000"/>
    <n v="30000"/>
    <n v="30000"/>
    <m/>
    <n v="0"/>
    <n v="0"/>
    <m/>
    <n v="0"/>
    <n v="0"/>
    <n v="146595"/>
    <n v="0"/>
    <n v="0"/>
    <n v="146595"/>
    <n v="0"/>
    <n v="0"/>
    <n v="29319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s v="02.01.001.015.730425.000.002"/>
    <s v="000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n v="0"/>
    <n v="0"/>
    <n v="0"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Servicio de Organización y producción de 1 evento internacional captado para 2026 PCMA"/>
    <s v="02.01.001.048.730249.000.002"/>
    <s v="000"/>
    <n v="730249"/>
    <s v="Asignación Municipal"/>
    <n v="150000"/>
    <n v="0"/>
    <n v="0"/>
    <n v="0"/>
    <n v="0"/>
    <n v="0"/>
    <n v="150000"/>
    <n v="0"/>
    <n v="0"/>
    <n v="0"/>
    <n v="0"/>
    <n v="0"/>
    <n v="0"/>
    <m/>
    <n v="150000"/>
    <n v="0"/>
    <n v="0"/>
    <n v="0"/>
    <n v="0"/>
    <n v="0"/>
    <n v="150000"/>
    <n v="0"/>
    <n v="0"/>
    <n v="0"/>
    <n v="0"/>
    <n v="0"/>
    <n v="0"/>
    <m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d v="2026-06-01T00:00:00"/>
    <d v="2026-12-31T00:00:00"/>
    <m/>
    <m/>
    <m/>
    <m/>
    <m/>
    <m/>
    <m/>
    <m/>
    <m/>
    <m/>
    <m/>
    <m/>
    <s v="SERVICIO DE PAUTA DE CAMPAÑA PROMOCIONAL DEL DESTINO QUITO"/>
    <s v="02.01.001.021.730207.000.002"/>
    <s v="000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n v="88500"/>
    <n v="0"/>
    <n v="0"/>
    <n v="0"/>
    <n v="0"/>
    <n v="0"/>
    <n v="8000"/>
    <n v="8000"/>
    <n v="8000"/>
    <n v="8000"/>
    <n v="8000"/>
    <n v="8000"/>
    <n v="40500"/>
    <m/>
    <n v="0"/>
    <n v="0"/>
    <n v="0"/>
    <n v="0"/>
    <n v="0"/>
    <n v="0"/>
    <n v="0"/>
    <n v="0"/>
    <n v="0"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21"/>
    <n v="0.21"/>
    <n v="0.21"/>
    <n v="0.46"/>
    <n v="0.46"/>
    <n v="0.46"/>
    <n v="0.71"/>
    <n v="0.71"/>
    <n v="0.71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10-01T00:00:00"/>
    <d v="2026-10-31T00:00:00"/>
    <m/>
    <m/>
    <m/>
    <m/>
    <m/>
    <m/>
    <m/>
    <m/>
    <m/>
    <m/>
    <m/>
    <m/>
    <s v="Suscripción al servicio de provisión de datos en línea para la gestión de servicios de inteligencia turística"/>
    <s v="02.01.001.031.730702.000.002"/>
    <s v="000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n v="39246.509999999995"/>
    <n v="0"/>
    <n v="0"/>
    <n v="0"/>
    <n v="0"/>
    <n v="0"/>
    <n v="0"/>
    <n v="0"/>
    <n v="0"/>
    <n v="0"/>
    <n v="39246.51"/>
    <n v="0"/>
    <n v="0"/>
    <m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20" firstHeaderRow="1" firstDataRow="1" firstDataCol="5"/>
  <pivotFields count="75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5">
        <item x="0"/>
        <item x="1"/>
        <item x="2"/>
        <item x="3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">
        <item x="3"/>
        <item x="2"/>
        <item x="1"/>
        <item x="0"/>
      </items>
    </pivotField>
    <pivotField compact="0" outline="0" subtotalTop="0" showAll="0" defaultSubtotal="0"/>
    <pivotField axis="axisRow" compact="0" outline="0" subtotalTop="0" showAll="0" defaultSubtotal="0">
      <items count="10">
        <item x="0"/>
        <item x="1"/>
        <item m="1" x="9"/>
        <item m="1" x="8"/>
        <item x="3"/>
        <item m="1" x="7"/>
        <item x="2"/>
        <item x="4"/>
        <item x="5"/>
        <item x="6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14">
        <item x="5"/>
        <item x="4"/>
        <item x="6"/>
        <item x="1"/>
        <item x="9"/>
        <item x="8"/>
        <item x="10"/>
        <item x="13"/>
        <item x="12"/>
        <item x="7"/>
        <item x="0"/>
        <item x="2"/>
        <item x="3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">
        <item x="1"/>
        <item x="7"/>
        <item x="4"/>
        <item x="0"/>
        <item x="8"/>
        <item x="6"/>
        <item x="5"/>
        <item x="14"/>
        <item x="10"/>
        <item x="15"/>
        <item x="3"/>
        <item x="2"/>
        <item x="11"/>
        <item x="13"/>
        <item x="9"/>
        <item x="12"/>
      </items>
    </pivotField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3">
        <item h="1" x="1"/>
        <item x="2"/>
        <item x="0"/>
      </items>
    </pivotField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5">
    <field x="4"/>
    <field x="9"/>
    <field x="15"/>
    <field x="41"/>
    <field x="17"/>
  </rowFields>
  <rowItems count="17">
    <i>
      <x/>
      <x/>
      <x v="3"/>
      <x v="3"/>
      <x/>
    </i>
    <i r="1">
      <x v="1"/>
      <x v="3"/>
      <x/>
      <x v="1"/>
    </i>
    <i r="3">
      <x v="11"/>
      <x v="1"/>
    </i>
    <i r="1">
      <x v="2"/>
      <x v="3"/>
      <x v="10"/>
      <x v="6"/>
    </i>
    <i r="1">
      <x v="3"/>
      <x v="3"/>
      <x v="1"/>
      <x v="4"/>
    </i>
    <i r="3">
      <x v="2"/>
      <x v="4"/>
    </i>
    <i r="3">
      <x v="4"/>
      <x v="4"/>
    </i>
    <i r="3">
      <x v="5"/>
      <x v="4"/>
    </i>
    <i r="3">
      <x v="6"/>
      <x v="4"/>
    </i>
    <i>
      <x v="1"/>
      <x v="4"/>
      <x/>
      <x v="9"/>
      <x v="9"/>
    </i>
    <i r="2">
      <x v="1"/>
      <x v="13"/>
      <x v="8"/>
    </i>
    <i r="2">
      <x v="2"/>
      <x v="7"/>
      <x v="7"/>
    </i>
    <i r="3">
      <x v="8"/>
      <x v="7"/>
    </i>
    <i r="3">
      <x v="12"/>
      <x v="7"/>
    </i>
    <i r="3">
      <x v="14"/>
      <x v="7"/>
    </i>
    <i r="3">
      <x v="15"/>
      <x v="7"/>
    </i>
    <i t="grand">
      <x/>
    </i>
  </rowItems>
  <colItems count="1">
    <i/>
  </colItems>
  <dataFields count="1">
    <dataField name="Suma de Presupuesto 2026 Anual" fld="61" baseField="15" baseItem="0" numFmtId="43"/>
  </dataFields>
  <formats count="43">
    <format dxfId="43">
      <pivotArea outline="0" collapsedLevelsAreSubtotals="1" fieldPosition="0"/>
    </format>
    <format dxfId="42">
      <pivotArea dataOnly="0" labelOnly="1" outline="0" fieldPosition="0">
        <references count="1">
          <reference field="9" count="1">
            <x v="4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60" type="button" dataOnly="0" labelOnly="1" outline="0"/>
    </format>
    <format dxfId="37">
      <pivotArea type="topRight" dataOnly="0" labelOnly="1" outline="0" fieldPosition="0"/>
    </format>
    <format dxfId="36">
      <pivotArea field="9" type="button" dataOnly="0" labelOnly="1" outline="0" axis="axisRow" fieldPosition="1"/>
    </format>
    <format dxfId="35">
      <pivotArea field="32" type="button" dataOnly="0" labelOnly="1" outline="0"/>
    </format>
    <format dxfId="34">
      <pivotArea field="41" type="button" dataOnly="0" labelOnly="1" outline="0" axis="axisRow" fieldPosition="3"/>
    </format>
    <format dxfId="33">
      <pivotArea dataOnly="0" labelOnly="1" outline="0" fieldPosition="0">
        <references count="1">
          <reference field="9" count="4">
            <x v="0"/>
            <x v="1"/>
            <x v="2"/>
            <x v="4"/>
          </reference>
        </references>
      </pivotArea>
    </format>
    <format dxfId="32">
      <pivotArea dataOnly="0" labelOnly="1" grandRow="1" outline="0" fieldPosition="0"/>
    </format>
    <format dxfId="31">
      <pivotArea dataOnly="0" labelOnly="1" grandCol="1" outline="0" fieldPosition="0"/>
    </format>
    <format dxfId="30">
      <pivotArea field="32" type="button" dataOnly="0" labelOnly="1" outline="0"/>
    </format>
    <format dxfId="29">
      <pivotArea field="41" type="button" dataOnly="0" labelOnly="1" outline="0" axis="axisRow" fieldPosition="3"/>
    </format>
    <format dxfId="28">
      <pivotArea dataOnly="0" labelOnly="1" outline="0" fieldPosition="0">
        <references count="2">
          <reference field="9" count="1" selected="0">
            <x v="4"/>
          </reference>
          <reference field="15" count="2">
            <x v="0"/>
            <x v="1"/>
          </reference>
        </references>
      </pivotArea>
    </format>
    <format dxfId="27">
      <pivotArea dataOnly="0" labelOnly="1" outline="0" fieldPosition="0">
        <references count="2">
          <reference field="9" count="1" selected="0">
            <x v="4"/>
          </reference>
          <reference field="15" count="1">
            <x v="2"/>
          </reference>
        </references>
      </pivotArea>
    </format>
    <format dxfId="26">
      <pivotArea field="9" type="button" dataOnly="0" labelOnly="1" outline="0" axis="axisRow" fieldPosition="1"/>
    </format>
    <format dxfId="25">
      <pivotArea field="15" type="button" dataOnly="0" labelOnly="1" outline="0" axis="axisRow" fieldPosition="2"/>
    </format>
    <format dxfId="24">
      <pivotArea field="32" type="button" dataOnly="0" labelOnly="1" outline="0"/>
    </format>
    <format dxfId="23">
      <pivotArea field="41" type="button" dataOnly="0" labelOnly="1" outline="0" axis="axisRow" fieldPosition="3"/>
    </format>
    <format dxfId="22">
      <pivotArea field="17" type="button" dataOnly="0" labelOnly="1" outline="0" axis="axisRow" fieldPosition="4"/>
    </format>
    <format dxfId="21">
      <pivotArea dataOnly="0" labelOnly="1" outline="0" axis="axisValues" fieldPosition="0"/>
    </format>
    <format dxfId="20">
      <pivotArea dataOnly="0" labelOnly="1" outline="0" fieldPosition="0">
        <references count="1">
          <reference field="4" count="1">
            <x v="1"/>
          </reference>
        </references>
      </pivotArea>
    </format>
    <format dxfId="19">
      <pivotArea dataOnly="0" labelOnly="1" outline="0" fieldPosition="0">
        <references count="2">
          <reference field="4" count="1" selected="0">
            <x v="1"/>
          </reference>
          <reference field="9" count="1">
            <x v="4"/>
          </reference>
        </references>
      </pivotArea>
    </format>
    <format dxfId="18">
      <pivotArea dataOnly="0" labelOnly="1" outline="0" fieldPosition="0">
        <references count="3">
          <reference field="4" count="1" selected="0">
            <x v="1"/>
          </reference>
          <reference field="9" count="1" selected="0">
            <x v="4"/>
          </reference>
          <reference field="15" count="3">
            <x v="0"/>
            <x v="1"/>
            <x v="2"/>
          </reference>
        </references>
      </pivotArea>
    </format>
    <format dxfId="17">
      <pivotArea dataOnly="0" labelOnly="1" outline="0" fieldPosition="0">
        <references count="1">
          <reference field="4" count="1">
            <x v="0"/>
          </reference>
        </references>
      </pivotArea>
    </format>
    <format dxfId="16">
      <pivotArea dataOnly="0" labelOnly="1" outline="0" fieldPosition="0">
        <references count="2">
          <reference field="4" count="1" selected="0">
            <x v="0"/>
          </reference>
          <reference field="9" count="4">
            <x v="0"/>
            <x v="1"/>
            <x v="2"/>
            <x v="3"/>
          </reference>
        </references>
      </pivotArea>
    </format>
    <format dxfId="15">
      <pivotArea dataOnly="0" labelOnly="1" outline="0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14">
      <pivotArea field="4" type="button" dataOnly="0" labelOnly="1" outline="0" axis="axisRow" fieldPosition="0"/>
    </format>
    <format dxfId="13">
      <pivotArea field="9" type="button" dataOnly="0" labelOnly="1" outline="0" axis="axisRow" fieldPosition="1"/>
    </format>
    <format dxfId="12">
      <pivotArea field="15" type="button" dataOnly="0" labelOnly="1" outline="0" axis="axisRow" fieldPosition="2"/>
    </format>
    <format dxfId="11">
      <pivotArea dataOnly="0" labelOnly="1" outline="0" axis="axisValues" fieldPosition="0"/>
    </format>
    <format dxfId="10">
      <pivotArea dataOnly="0" labelOnly="1" outline="0" offset="IV2:IV256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9">
      <pivotArea field="17" type="button" dataOnly="0" labelOnly="1" outline="0" axis="axisRow" fieldPosition="4"/>
    </format>
    <format dxfId="8">
      <pivotArea dataOnly="0" labelOnly="1" grandRow="1" outline="0" fieldPosition="0"/>
    </format>
    <format dxfId="7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0"/>
          </reference>
          <reference field="15" count="1" selected="0">
            <x v="3"/>
          </reference>
          <reference field="17" count="1">
            <x v="0"/>
          </reference>
        </references>
      </pivotArea>
    </format>
    <format dxfId="6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1"/>
          </reference>
          <reference field="15" count="1" selected="0">
            <x v="3"/>
          </reference>
          <reference field="17" count="1">
            <x v="1"/>
          </reference>
        </references>
      </pivotArea>
    </format>
    <format dxfId="5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2"/>
          </reference>
          <reference field="15" count="1" selected="0">
            <x v="3"/>
          </reference>
          <reference field="17" count="1">
            <x v="6"/>
          </reference>
        </references>
      </pivotArea>
    </format>
    <format dxfId="4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3"/>
          </reference>
          <reference field="15" count="1" selected="0">
            <x v="3"/>
          </reference>
          <reference field="17" count="1">
            <x v="4"/>
          </reference>
        </references>
      </pivotArea>
    </format>
    <format dxfId="3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0"/>
          </reference>
          <reference field="17" count="1">
            <x v="9"/>
          </reference>
        </references>
      </pivotArea>
    </format>
    <format dxfId="2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1"/>
          </reference>
          <reference field="17" count="1">
            <x v="8"/>
          </reference>
        </references>
      </pivotArea>
    </format>
    <format dxfId="1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2"/>
          </reference>
          <reference field="17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BA613-0412-42BA-845F-1E7D3FD3CE2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7" firstHeaderRow="1" firstDataRow="2" firstDataCol="1"/>
  <pivotFields count="155">
    <pivotField axis="axisRow" showAll="0">
      <items count="13">
        <item x="3"/>
        <item x="4"/>
        <item x="5"/>
        <item x="0"/>
        <item x="9"/>
        <item x="10"/>
        <item x="7"/>
        <item x="8"/>
        <item x="6"/>
        <item x="2"/>
        <item x="11"/>
        <item x="1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dataField="1" numFmtId="43" showAll="0"/>
    <pivotField numFmtId="43" showAll="0"/>
    <pivotField numFmtId="43" showAll="0"/>
    <pivotField showAll="0"/>
    <pivotField showAll="0"/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Devengo Enero" fld="90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C060A-7ADD-40B9-975D-D2E72CA994C2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99"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3" showAll="0"/>
    <pivotField numFmtId="43" showAll="0"/>
    <pivotField numFmtId="43" showAll="0"/>
    <pivotField dataField="1" showAll="0"/>
    <pivotField dataField="1" showAll="0"/>
    <pivotField dataField="1" showAll="0"/>
    <pivotField numFmtId="43" showAll="0"/>
    <pivotField numFmtId="43" showAll="0"/>
    <pivotField numFmtId="43" showAll="0"/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Suma de Presupuesto con Reformas" fld="75" baseField="0" baseItem="0" numFmtId="43"/>
    <dataField name="Suma de Devengo 19 Febrero" fld="93" baseField="0" baseItem="0" numFmtId="4"/>
    <dataField name="Suma de Certificado 19 Febrero" fld="94" baseField="0" baseItem="0" numFmtId="4"/>
    <dataField name="Suma de Compromiso 19 Febrero" fld="95" baseField="0" baseItem="0" numFmtId="4"/>
  </dataFields>
  <formats count="1">
    <format dxfId="0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43"/>
  <sheetViews>
    <sheetView topLeftCell="A3" zoomScale="70" zoomScaleNormal="70" workbookViewId="0">
      <selection activeCell="A3" sqref="A3:F20"/>
    </sheetView>
  </sheetViews>
  <sheetFormatPr baseColWidth="10" defaultColWidth="26.42578125" defaultRowHeight="31.9" customHeight="1" x14ac:dyDescent="0.25"/>
  <cols>
    <col min="1" max="1" width="34.28515625" style="68" customWidth="1"/>
    <col min="2" max="2" width="39.5703125" style="3" customWidth="1"/>
    <col min="3" max="3" width="41.5703125" style="3" customWidth="1"/>
    <col min="4" max="4" width="71.5703125" style="3" customWidth="1"/>
    <col min="5" max="5" width="137.5703125" style="3" bestFit="1" customWidth="1"/>
    <col min="6" max="6" width="29.28515625" style="68" bestFit="1" customWidth="1"/>
    <col min="7" max="8" width="40.7109375" style="68" bestFit="1" customWidth="1"/>
    <col min="9" max="16384" width="26.42578125" style="68"/>
  </cols>
  <sheetData>
    <row r="3" spans="1:8" s="9" customFormat="1" ht="31.9" customHeight="1" x14ac:dyDescent="0.25">
      <c r="A3" s="168" t="s">
        <v>516</v>
      </c>
      <c r="B3" s="75" t="s">
        <v>527</v>
      </c>
      <c r="C3" s="75" t="s">
        <v>25</v>
      </c>
      <c r="D3" s="75" t="s">
        <v>521</v>
      </c>
      <c r="E3" s="75" t="s">
        <v>518</v>
      </c>
      <c r="F3" s="9" t="s">
        <v>720</v>
      </c>
      <c r="G3" s="1"/>
      <c r="H3" s="1"/>
    </row>
    <row r="4" spans="1:8" ht="31.9" customHeight="1" x14ac:dyDescent="0.25">
      <c r="A4" s="166" t="s">
        <v>309</v>
      </c>
      <c r="B4" s="166" t="s">
        <v>29</v>
      </c>
      <c r="C4" s="166" t="s">
        <v>137</v>
      </c>
      <c r="D4" s="68" t="s">
        <v>539</v>
      </c>
      <c r="E4" s="3" t="s">
        <v>714</v>
      </c>
      <c r="F4" s="167">
        <v>1646936.2</v>
      </c>
      <c r="G4"/>
      <c r="H4"/>
    </row>
    <row r="5" spans="1:8" ht="31.9" customHeight="1" x14ac:dyDescent="0.25">
      <c r="A5" s="166"/>
      <c r="B5" s="166" t="s">
        <v>531</v>
      </c>
      <c r="C5" s="68" t="s">
        <v>137</v>
      </c>
      <c r="D5" s="68" t="s">
        <v>542</v>
      </c>
      <c r="E5" s="3" t="s">
        <v>715</v>
      </c>
      <c r="F5" s="167">
        <v>1551157.43</v>
      </c>
      <c r="G5"/>
      <c r="H5"/>
    </row>
    <row r="6" spans="1:8" ht="31.9" customHeight="1" x14ac:dyDescent="0.25">
      <c r="A6" s="166"/>
      <c r="B6" s="166"/>
      <c r="C6" s="68"/>
      <c r="D6" s="68" t="s">
        <v>540</v>
      </c>
      <c r="E6" s="3" t="s">
        <v>715</v>
      </c>
      <c r="F6" s="167">
        <v>450036.5</v>
      </c>
      <c r="G6"/>
      <c r="H6"/>
    </row>
    <row r="7" spans="1:8" ht="31.9" customHeight="1" x14ac:dyDescent="0.25">
      <c r="A7" s="166"/>
      <c r="B7" s="166" t="s">
        <v>28</v>
      </c>
      <c r="C7" s="68" t="s">
        <v>137</v>
      </c>
      <c r="D7" s="68" t="s">
        <v>541</v>
      </c>
      <c r="E7" s="3" t="s">
        <v>716</v>
      </c>
      <c r="F7" s="167">
        <v>2223531.7599999998</v>
      </c>
      <c r="G7"/>
      <c r="H7"/>
    </row>
    <row r="8" spans="1:8" ht="82.15" customHeight="1" x14ac:dyDescent="0.25">
      <c r="A8" s="166"/>
      <c r="B8" s="166" t="s">
        <v>30</v>
      </c>
      <c r="C8" s="68" t="s">
        <v>137</v>
      </c>
      <c r="D8" s="68" t="s">
        <v>569</v>
      </c>
      <c r="E8" s="3" t="s">
        <v>553</v>
      </c>
      <c r="F8" s="167">
        <v>0</v>
      </c>
      <c r="G8"/>
      <c r="H8"/>
    </row>
    <row r="9" spans="1:8" ht="82.15" customHeight="1" x14ac:dyDescent="0.25">
      <c r="A9" s="166"/>
      <c r="B9" s="166"/>
      <c r="C9" s="68"/>
      <c r="D9" s="68" t="s">
        <v>571</v>
      </c>
      <c r="E9" s="3" t="s">
        <v>553</v>
      </c>
      <c r="F9" s="167">
        <v>0</v>
      </c>
      <c r="G9"/>
      <c r="H9"/>
    </row>
    <row r="10" spans="1:8" ht="82.15" customHeight="1" x14ac:dyDescent="0.25">
      <c r="A10" s="166"/>
      <c r="B10" s="166"/>
      <c r="C10" s="68"/>
      <c r="D10" s="68" t="s">
        <v>563</v>
      </c>
      <c r="E10" s="3" t="s">
        <v>553</v>
      </c>
      <c r="F10" s="167">
        <v>0</v>
      </c>
      <c r="G10"/>
      <c r="H10"/>
    </row>
    <row r="11" spans="1:8" ht="31.9" customHeight="1" x14ac:dyDescent="0.25">
      <c r="A11" s="166"/>
      <c r="B11" s="166"/>
      <c r="C11" s="68"/>
      <c r="D11" s="68" t="s">
        <v>566</v>
      </c>
      <c r="E11" s="3" t="s">
        <v>553</v>
      </c>
      <c r="F11" s="167">
        <v>0</v>
      </c>
      <c r="G11"/>
      <c r="H11"/>
    </row>
    <row r="12" spans="1:8" ht="31.9" customHeight="1" x14ac:dyDescent="0.25">
      <c r="A12" s="166"/>
      <c r="B12" s="166"/>
      <c r="C12" s="68"/>
      <c r="D12" s="68" t="s">
        <v>562</v>
      </c>
      <c r="E12" s="3" t="s">
        <v>553</v>
      </c>
      <c r="F12" s="167">
        <v>0</v>
      </c>
      <c r="G12"/>
      <c r="H12"/>
    </row>
    <row r="13" spans="1:8" ht="31.9" customHeight="1" x14ac:dyDescent="0.25">
      <c r="A13" s="155" t="s">
        <v>5</v>
      </c>
      <c r="B13" s="155" t="s">
        <v>528</v>
      </c>
      <c r="C13" s="165" t="s">
        <v>721</v>
      </c>
      <c r="D13" s="68" t="s">
        <v>546</v>
      </c>
      <c r="E13" s="3" t="s">
        <v>770</v>
      </c>
      <c r="F13" s="167">
        <v>148771</v>
      </c>
      <c r="G13"/>
      <c r="H13"/>
    </row>
    <row r="14" spans="1:8" ht="55.9" customHeight="1" x14ac:dyDescent="0.25">
      <c r="A14" s="155"/>
      <c r="B14" s="155"/>
      <c r="C14" s="165" t="s">
        <v>561</v>
      </c>
      <c r="D14" s="68" t="s">
        <v>547</v>
      </c>
      <c r="E14" s="3" t="s">
        <v>776</v>
      </c>
      <c r="F14" s="167">
        <v>335000</v>
      </c>
      <c r="G14"/>
      <c r="H14"/>
    </row>
    <row r="15" spans="1:8" ht="55.9" customHeight="1" x14ac:dyDescent="0.25">
      <c r="A15" s="155"/>
      <c r="B15" s="155"/>
      <c r="C15" s="165" t="s">
        <v>560</v>
      </c>
      <c r="D15" s="68" t="s">
        <v>544</v>
      </c>
      <c r="E15" s="3" t="s">
        <v>773</v>
      </c>
      <c r="F15" s="167">
        <v>530000</v>
      </c>
      <c r="G15"/>
      <c r="H15"/>
    </row>
    <row r="16" spans="1:8" ht="55.9" customHeight="1" x14ac:dyDescent="0.25">
      <c r="A16" s="155"/>
      <c r="B16" s="155"/>
      <c r="C16" s="165"/>
      <c r="D16" s="68" t="s">
        <v>719</v>
      </c>
      <c r="E16" s="3" t="s">
        <v>773</v>
      </c>
      <c r="F16" s="167">
        <v>200000</v>
      </c>
      <c r="G16"/>
      <c r="H16"/>
    </row>
    <row r="17" spans="1:8" ht="55.9" customHeight="1" x14ac:dyDescent="0.25">
      <c r="A17" s="155"/>
      <c r="B17" s="155"/>
      <c r="C17" s="165"/>
      <c r="D17" s="68" t="s">
        <v>543</v>
      </c>
      <c r="E17" s="3" t="s">
        <v>773</v>
      </c>
      <c r="F17" s="167">
        <v>163229</v>
      </c>
      <c r="G17"/>
      <c r="H17"/>
    </row>
    <row r="18" spans="1:8" ht="31.9" customHeight="1" x14ac:dyDescent="0.25">
      <c r="A18" s="155"/>
      <c r="B18" s="155"/>
      <c r="C18" s="165"/>
      <c r="D18" s="68" t="s">
        <v>545</v>
      </c>
      <c r="E18" s="3" t="s">
        <v>773</v>
      </c>
      <c r="F18" s="167">
        <v>945000</v>
      </c>
      <c r="G18"/>
      <c r="H18"/>
    </row>
    <row r="19" spans="1:8" ht="31.9" customHeight="1" x14ac:dyDescent="0.25">
      <c r="A19" s="155"/>
      <c r="B19" s="155"/>
      <c r="C19" s="165"/>
      <c r="D19" s="68" t="s">
        <v>781</v>
      </c>
      <c r="E19" s="3" t="s">
        <v>773</v>
      </c>
      <c r="F19" s="167">
        <v>508000</v>
      </c>
      <c r="G19"/>
      <c r="H19"/>
    </row>
    <row r="20" spans="1:8" ht="31.9" customHeight="1" x14ac:dyDescent="0.25">
      <c r="A20" s="3" t="s">
        <v>707</v>
      </c>
      <c r="F20" s="167">
        <v>8701661.8900000006</v>
      </c>
      <c r="G20"/>
      <c r="H20"/>
    </row>
    <row r="21" spans="1:8" ht="31.9" customHeight="1" x14ac:dyDescent="0.25">
      <c r="A21"/>
      <c r="B21"/>
      <c r="C21"/>
      <c r="D21" s="1"/>
      <c r="E21"/>
      <c r="F21"/>
      <c r="G21"/>
      <c r="H21"/>
    </row>
    <row r="22" spans="1:8" ht="31.9" customHeight="1" x14ac:dyDescent="0.25">
      <c r="A22"/>
      <c r="B22"/>
      <c r="C22"/>
      <c r="D22" s="1"/>
      <c r="E22"/>
      <c r="F22"/>
      <c r="G22"/>
      <c r="H22"/>
    </row>
    <row r="23" spans="1:8" ht="31.9" customHeight="1" x14ac:dyDescent="0.25">
      <c r="A23"/>
      <c r="B23"/>
      <c r="C23"/>
      <c r="D23" s="1"/>
      <c r="E23"/>
      <c r="F23"/>
      <c r="G23"/>
      <c r="H23"/>
    </row>
    <row r="24" spans="1:8" ht="31.9" customHeight="1" x14ac:dyDescent="0.25">
      <c r="A24"/>
      <c r="B24"/>
      <c r="C24"/>
      <c r="D24" s="1"/>
      <c r="E24"/>
      <c r="F24"/>
      <c r="G24"/>
      <c r="H24"/>
    </row>
    <row r="25" spans="1:8" ht="31.9" customHeight="1" x14ac:dyDescent="0.25">
      <c r="A25"/>
      <c r="B25"/>
      <c r="C25"/>
      <c r="D25" s="1"/>
      <c r="E25"/>
      <c r="F25"/>
      <c r="G25"/>
      <c r="H25"/>
    </row>
    <row r="26" spans="1:8" ht="31.9" customHeight="1" x14ac:dyDescent="0.25">
      <c r="A26"/>
      <c r="B26"/>
      <c r="C26"/>
      <c r="D26" s="1"/>
      <c r="E26"/>
      <c r="F26"/>
      <c r="G26"/>
      <c r="H26"/>
    </row>
    <row r="27" spans="1:8" ht="31.9" customHeight="1" x14ac:dyDescent="0.25">
      <c r="A27"/>
      <c r="B27"/>
      <c r="C27"/>
      <c r="D27" s="1"/>
      <c r="E27"/>
      <c r="F27"/>
      <c r="G27"/>
      <c r="H27"/>
    </row>
    <row r="28" spans="1:8" ht="31.9" customHeight="1" x14ac:dyDescent="0.25">
      <c r="A28"/>
      <c r="B28"/>
      <c r="C28"/>
      <c r="D28" s="1"/>
      <c r="E28"/>
      <c r="F28"/>
      <c r="G28"/>
      <c r="H28"/>
    </row>
    <row r="29" spans="1:8" ht="31.9" customHeight="1" x14ac:dyDescent="0.25">
      <c r="A29"/>
      <c r="B29"/>
      <c r="C29"/>
      <c r="D29" s="1"/>
      <c r="E29"/>
      <c r="F29"/>
      <c r="G29"/>
      <c r="H29"/>
    </row>
    <row r="30" spans="1:8" ht="31.9" customHeight="1" x14ac:dyDescent="0.25">
      <c r="A30"/>
      <c r="B30"/>
      <c r="C30"/>
      <c r="D30" s="1"/>
      <c r="E30"/>
      <c r="F30"/>
      <c r="G30"/>
      <c r="H30"/>
    </row>
    <row r="31" spans="1:8" ht="31.9" customHeight="1" x14ac:dyDescent="0.25">
      <c r="A31"/>
      <c r="B31"/>
      <c r="C31"/>
      <c r="D31" s="1"/>
      <c r="E31"/>
      <c r="F31"/>
      <c r="G31"/>
      <c r="H31"/>
    </row>
    <row r="32" spans="1:8" ht="31.9" customHeight="1" x14ac:dyDescent="0.25">
      <c r="A32"/>
      <c r="B32"/>
      <c r="C32"/>
      <c r="D32" s="1"/>
      <c r="E32"/>
      <c r="F32"/>
      <c r="G32"/>
      <c r="H32"/>
    </row>
    <row r="33" spans="1:8" ht="31.9" customHeight="1" x14ac:dyDescent="0.25">
      <c r="A33"/>
      <c r="B33"/>
      <c r="C33"/>
      <c r="D33" s="1"/>
      <c r="E33"/>
      <c r="F33"/>
      <c r="G33"/>
      <c r="H33"/>
    </row>
    <row r="34" spans="1:8" ht="31.9" customHeight="1" x14ac:dyDescent="0.25">
      <c r="A34"/>
      <c r="B34"/>
      <c r="C34"/>
      <c r="D34" s="1"/>
      <c r="E34"/>
      <c r="F34"/>
      <c r="G34"/>
      <c r="H34"/>
    </row>
    <row r="35" spans="1:8" ht="31.9" customHeight="1" x14ac:dyDescent="0.25">
      <c r="A35"/>
      <c r="B35"/>
      <c r="C35"/>
      <c r="D35" s="1"/>
      <c r="E35"/>
      <c r="F35"/>
      <c r="G35"/>
      <c r="H35"/>
    </row>
    <row r="36" spans="1:8" ht="31.9" customHeight="1" x14ac:dyDescent="0.25">
      <c r="A36"/>
      <c r="B36"/>
      <c r="C36"/>
      <c r="D36" s="1"/>
      <c r="E36"/>
      <c r="F36"/>
      <c r="G36"/>
      <c r="H36"/>
    </row>
    <row r="37" spans="1:8" ht="31.9" customHeight="1" x14ac:dyDescent="0.25">
      <c r="A37"/>
      <c r="B37"/>
      <c r="C37"/>
      <c r="D37" s="1"/>
      <c r="E37"/>
      <c r="F37"/>
      <c r="G37"/>
      <c r="H37"/>
    </row>
    <row r="38" spans="1:8" ht="31.9" customHeight="1" x14ac:dyDescent="0.25">
      <c r="A38"/>
      <c r="B38"/>
      <c r="C38"/>
      <c r="D38" s="1"/>
      <c r="E38"/>
      <c r="F38"/>
      <c r="G38"/>
      <c r="H38"/>
    </row>
    <row r="39" spans="1:8" ht="31.9" customHeight="1" x14ac:dyDescent="0.25">
      <c r="A39"/>
      <c r="B39"/>
      <c r="C39"/>
      <c r="D39" s="1"/>
      <c r="E39"/>
      <c r="F39"/>
      <c r="G39"/>
      <c r="H39"/>
    </row>
    <row r="40" spans="1:8" ht="31.9" customHeight="1" x14ac:dyDescent="0.25">
      <c r="A40"/>
      <c r="B40"/>
      <c r="C40"/>
      <c r="D40" s="1"/>
      <c r="E40"/>
      <c r="F40"/>
      <c r="G40"/>
      <c r="H40"/>
    </row>
    <row r="41" spans="1:8" ht="31.9" customHeight="1" x14ac:dyDescent="0.25">
      <c r="A41"/>
      <c r="B41"/>
      <c r="C41"/>
      <c r="D41" s="1"/>
      <c r="E41"/>
      <c r="F41"/>
      <c r="G41"/>
      <c r="H41"/>
    </row>
    <row r="42" spans="1:8" ht="31.9" customHeight="1" x14ac:dyDescent="0.25">
      <c r="A42"/>
      <c r="B42"/>
      <c r="C42"/>
      <c r="D42" s="1"/>
      <c r="E42"/>
      <c r="F42"/>
      <c r="G42"/>
      <c r="H42"/>
    </row>
    <row r="43" spans="1:8" ht="31.9" customHeight="1" x14ac:dyDescent="0.25">
      <c r="A43"/>
      <c r="B43"/>
      <c r="C43"/>
      <c r="D43" s="1"/>
      <c r="E43"/>
      <c r="F43"/>
      <c r="G43"/>
      <c r="H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8971-0902-47B6-B28E-499AE624A45B}">
  <dimension ref="A3:D17"/>
  <sheetViews>
    <sheetView workbookViewId="0"/>
  </sheetViews>
  <sheetFormatPr baseColWidth="10" defaultColWidth="11.42578125" defaultRowHeight="15" x14ac:dyDescent="0.25"/>
  <cols>
    <col min="1" max="1" width="48.28515625" bestFit="1" customWidth="1"/>
    <col min="2" max="2" width="28.85546875" bestFit="1" customWidth="1"/>
    <col min="3" max="3" width="20.85546875" bestFit="1" customWidth="1"/>
    <col min="4" max="4" width="11.85546875" bestFit="1" customWidth="1"/>
    <col min="5" max="5" width="13.7109375" bestFit="1" customWidth="1"/>
    <col min="6" max="6" width="14.7109375" bestFit="1" customWidth="1"/>
    <col min="7" max="7" width="14.28515625" bestFit="1" customWidth="1"/>
    <col min="8" max="8" width="13.5703125" bestFit="1" customWidth="1"/>
    <col min="9" max="9" width="15.7109375" bestFit="1" customWidth="1"/>
    <col min="10" max="10" width="19.5703125" bestFit="1" customWidth="1"/>
    <col min="11" max="11" width="16.7109375" bestFit="1" customWidth="1"/>
    <col min="12" max="12" width="19.28515625" bestFit="1" customWidth="1"/>
    <col min="13" max="13" width="18.28515625" bestFit="1" customWidth="1"/>
    <col min="14" max="14" width="22.85546875" bestFit="1" customWidth="1"/>
  </cols>
  <sheetData>
    <row r="3" spans="1:4" x14ac:dyDescent="0.25">
      <c r="A3" s="81" t="s">
        <v>1147</v>
      </c>
      <c r="B3" s="81" t="s">
        <v>1146</v>
      </c>
    </row>
    <row r="4" spans="1:4" x14ac:dyDescent="0.25">
      <c r="A4" s="81" t="s">
        <v>1145</v>
      </c>
      <c r="B4" t="s">
        <v>309</v>
      </c>
      <c r="C4" t="s">
        <v>5</v>
      </c>
      <c r="D4" t="s">
        <v>707</v>
      </c>
    </row>
    <row r="5" spans="1:4" x14ac:dyDescent="0.25">
      <c r="A5" s="69" t="s">
        <v>692</v>
      </c>
      <c r="B5" s="156">
        <v>3918.51</v>
      </c>
      <c r="C5" s="156">
        <v>0</v>
      </c>
      <c r="D5" s="156">
        <v>3918.51</v>
      </c>
    </row>
    <row r="6" spans="1:4" x14ac:dyDescent="0.25">
      <c r="A6" s="69" t="s">
        <v>691</v>
      </c>
      <c r="B6" s="156">
        <v>172547.75000000003</v>
      </c>
      <c r="C6" s="156">
        <v>10735.39</v>
      </c>
      <c r="D6" s="156">
        <v>183283.14</v>
      </c>
    </row>
    <row r="7" spans="1:4" x14ac:dyDescent="0.25">
      <c r="A7" s="69" t="s">
        <v>698</v>
      </c>
      <c r="B7" s="156">
        <v>237.42</v>
      </c>
      <c r="C7" s="156"/>
      <c r="D7" s="156">
        <v>237.42</v>
      </c>
    </row>
    <row r="8" spans="1:4" x14ac:dyDescent="0.25">
      <c r="A8" s="69" t="s">
        <v>700</v>
      </c>
      <c r="B8" s="156">
        <v>0</v>
      </c>
      <c r="C8" s="156"/>
      <c r="D8" s="156">
        <v>0</v>
      </c>
    </row>
    <row r="9" spans="1:4" x14ac:dyDescent="0.25">
      <c r="A9" s="69" t="s">
        <v>701</v>
      </c>
      <c r="B9" s="156">
        <v>0</v>
      </c>
      <c r="C9" s="156"/>
      <c r="D9" s="156">
        <v>0</v>
      </c>
    </row>
    <row r="10" spans="1:4" x14ac:dyDescent="0.25">
      <c r="A10" s="69" t="s">
        <v>696</v>
      </c>
      <c r="B10" s="156">
        <v>0</v>
      </c>
      <c r="C10" s="156"/>
      <c r="D10" s="156">
        <v>0</v>
      </c>
    </row>
    <row r="11" spans="1:4" x14ac:dyDescent="0.25">
      <c r="A11" s="69" t="s">
        <v>694</v>
      </c>
      <c r="B11" s="156">
        <v>0</v>
      </c>
      <c r="C11" s="156">
        <v>0</v>
      </c>
      <c r="D11" s="156">
        <v>0</v>
      </c>
    </row>
    <row r="12" spans="1:4" x14ac:dyDescent="0.25">
      <c r="A12" s="69" t="s">
        <v>697</v>
      </c>
      <c r="B12" s="156">
        <v>0</v>
      </c>
      <c r="C12" s="156">
        <v>0</v>
      </c>
      <c r="D12" s="156">
        <v>0</v>
      </c>
    </row>
    <row r="13" spans="1:4" x14ac:dyDescent="0.25">
      <c r="A13" s="69" t="s">
        <v>699</v>
      </c>
      <c r="B13" s="156">
        <v>0</v>
      </c>
      <c r="C13" s="156">
        <v>0</v>
      </c>
      <c r="D13" s="156">
        <v>0</v>
      </c>
    </row>
    <row r="14" spans="1:4" x14ac:dyDescent="0.25">
      <c r="A14" s="69" t="s">
        <v>695</v>
      </c>
      <c r="B14" s="156">
        <v>0</v>
      </c>
      <c r="C14" s="156">
        <v>0</v>
      </c>
      <c r="D14" s="156">
        <v>0</v>
      </c>
    </row>
    <row r="15" spans="1:4" x14ac:dyDescent="0.25">
      <c r="A15" s="69" t="s">
        <v>702</v>
      </c>
      <c r="B15" s="156"/>
      <c r="C15" s="156">
        <v>0</v>
      </c>
      <c r="D15" s="156">
        <v>0</v>
      </c>
    </row>
    <row r="16" spans="1:4" x14ac:dyDescent="0.25">
      <c r="A16" s="69" t="s">
        <v>693</v>
      </c>
      <c r="B16" s="156">
        <v>2254.36</v>
      </c>
      <c r="C16" s="156"/>
      <c r="D16" s="156">
        <v>2254.36</v>
      </c>
    </row>
    <row r="17" spans="1:4" x14ac:dyDescent="0.25">
      <c r="A17" s="69" t="s">
        <v>707</v>
      </c>
      <c r="B17" s="156">
        <v>178958.04000000004</v>
      </c>
      <c r="C17" s="156">
        <v>10735.39</v>
      </c>
      <c r="D17" s="156">
        <v>189693.43000000002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605D-E0B4-4EAD-8E9F-5BE2A9ED35FF}">
  <dimension ref="A1:E7"/>
  <sheetViews>
    <sheetView workbookViewId="0"/>
  </sheetViews>
  <sheetFormatPr baseColWidth="10" defaultColWidth="11.42578125" defaultRowHeight="15" x14ac:dyDescent="0.25"/>
  <cols>
    <col min="1" max="1" width="17.140625" bestFit="1" customWidth="1"/>
    <col min="2" max="2" width="32.28515625" bestFit="1" customWidth="1"/>
    <col min="3" max="3" width="26.28515625" bestFit="1" customWidth="1"/>
    <col min="4" max="4" width="28.28515625" bestFit="1" customWidth="1"/>
    <col min="5" max="5" width="29.7109375" bestFit="1" customWidth="1"/>
  </cols>
  <sheetData>
    <row r="1" spans="1:5" x14ac:dyDescent="0.25">
      <c r="A1" s="81" t="s">
        <v>516</v>
      </c>
      <c r="B1" t="s">
        <v>1183</v>
      </c>
    </row>
    <row r="3" spans="1:5" x14ac:dyDescent="0.25">
      <c r="A3" s="81" t="s">
        <v>1145</v>
      </c>
      <c r="B3" t="s">
        <v>1143</v>
      </c>
      <c r="C3" t="s">
        <v>1184</v>
      </c>
      <c r="D3" t="s">
        <v>1185</v>
      </c>
      <c r="E3" t="s">
        <v>1186</v>
      </c>
    </row>
    <row r="4" spans="1:5" x14ac:dyDescent="0.25">
      <c r="A4" s="69" t="s">
        <v>794</v>
      </c>
      <c r="B4" s="156">
        <v>14141.130000000001</v>
      </c>
      <c r="C4" s="206">
        <v>0</v>
      </c>
      <c r="D4" s="206">
        <v>0</v>
      </c>
      <c r="E4" s="206">
        <v>7457.5</v>
      </c>
    </row>
    <row r="5" spans="1:5" x14ac:dyDescent="0.25">
      <c r="A5" s="69" t="s">
        <v>529</v>
      </c>
      <c r="B5" s="156">
        <v>7532453.330000001</v>
      </c>
      <c r="C5" s="206">
        <v>200369.1</v>
      </c>
      <c r="D5" s="206">
        <v>745344.75</v>
      </c>
      <c r="E5" s="206">
        <v>342624.64999999997</v>
      </c>
    </row>
    <row r="6" spans="1:5" x14ac:dyDescent="0.25">
      <c r="A6" s="69" t="s">
        <v>530</v>
      </c>
      <c r="B6" s="156">
        <v>1155067.4300000002</v>
      </c>
      <c r="C6" s="206">
        <v>2254.36</v>
      </c>
      <c r="D6" s="206">
        <v>643204.56999999995</v>
      </c>
      <c r="E6" s="206">
        <v>458937.89</v>
      </c>
    </row>
    <row r="7" spans="1:5" x14ac:dyDescent="0.25">
      <c r="A7" s="69" t="s">
        <v>707</v>
      </c>
      <c r="B7" s="156">
        <v>8701661.8900000006</v>
      </c>
      <c r="C7" s="206">
        <v>202623.46</v>
      </c>
      <c r="D7" s="206">
        <v>1388549.3199999998</v>
      </c>
      <c r="E7" s="206">
        <v>809020.04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GV248"/>
  <sheetViews>
    <sheetView showGridLines="0" tabSelected="1" zoomScale="130" zoomScaleNormal="130" workbookViewId="0">
      <selection activeCell="C12" sqref="C12"/>
    </sheetView>
  </sheetViews>
  <sheetFormatPr baseColWidth="10" defaultColWidth="17" defaultRowHeight="15" customHeight="1" x14ac:dyDescent="0.25"/>
  <cols>
    <col min="1" max="1" width="32" customWidth="1"/>
    <col min="2" max="10" width="17" customWidth="1"/>
    <col min="11" max="11" width="17" style="69" customWidth="1"/>
    <col min="12" max="56" width="17" customWidth="1"/>
    <col min="57" max="57" width="51.28515625" customWidth="1"/>
    <col min="58" max="58" width="31" customWidth="1"/>
    <col min="59" max="59" width="20.140625" customWidth="1"/>
    <col min="60" max="108" width="17" customWidth="1"/>
    <col min="109" max="157" width="17" hidden="1" customWidth="1"/>
    <col min="158" max="176" width="18.42578125" bestFit="1" customWidth="1"/>
    <col min="177" max="178" width="17.140625" bestFit="1" customWidth="1"/>
    <col min="180" max="180" width="17.140625" bestFit="1" customWidth="1"/>
    <col min="181" max="183" width="18.42578125" bestFit="1" customWidth="1"/>
    <col min="184" max="186" width="17.140625" bestFit="1" customWidth="1"/>
    <col min="187" max="188" width="18.42578125" bestFit="1" customWidth="1"/>
    <col min="189" max="197" width="17.140625" bestFit="1" customWidth="1"/>
    <col min="198" max="199" width="18.42578125" bestFit="1" customWidth="1"/>
  </cols>
  <sheetData>
    <row r="1" spans="1:204" ht="15" customHeight="1" x14ac:dyDescent="0.25">
      <c r="B1" s="229" t="s">
        <v>524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</row>
    <row r="2" spans="1:204" ht="15" customHeight="1" x14ac:dyDescent="0.25">
      <c r="B2" s="70"/>
    </row>
    <row r="4" spans="1:204" ht="16.149999999999999" customHeight="1" x14ac:dyDescent="0.25">
      <c r="B4" s="230" t="s">
        <v>20</v>
      </c>
      <c r="C4" s="231"/>
      <c r="D4" s="232"/>
      <c r="F4" s="236" t="s">
        <v>91</v>
      </c>
      <c r="G4" s="237"/>
      <c r="H4" s="237"/>
      <c r="I4" s="238"/>
      <c r="K4" s="223" t="s">
        <v>499</v>
      </c>
      <c r="L4" s="224"/>
      <c r="M4" s="224"/>
      <c r="N4" s="224"/>
      <c r="O4" s="224"/>
      <c r="P4" s="225"/>
      <c r="Q4" s="226" t="s">
        <v>6</v>
      </c>
      <c r="R4" s="227"/>
      <c r="S4" s="227"/>
      <c r="T4" s="228"/>
      <c r="U4" s="233" t="s">
        <v>916</v>
      </c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5"/>
      <c r="AG4" s="242" t="s">
        <v>0</v>
      </c>
      <c r="AH4" s="243"/>
      <c r="AI4" s="243"/>
      <c r="AJ4" s="243"/>
      <c r="AK4" s="243"/>
      <c r="AL4" s="244"/>
      <c r="AM4" s="239" t="s">
        <v>80</v>
      </c>
      <c r="AN4" s="240"/>
      <c r="AO4" s="241"/>
      <c r="AP4" s="242" t="s">
        <v>522</v>
      </c>
      <c r="AQ4" s="243"/>
      <c r="AR4" s="244"/>
      <c r="AS4" s="245" t="s">
        <v>917</v>
      </c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7"/>
      <c r="BE4" s="101"/>
      <c r="BF4" s="101"/>
      <c r="BG4" s="101"/>
      <c r="BH4" s="248" t="s">
        <v>17</v>
      </c>
      <c r="BI4" s="249"/>
      <c r="BJ4" s="250"/>
      <c r="BK4" s="221" t="s">
        <v>53</v>
      </c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0" t="s">
        <v>1084</v>
      </c>
      <c r="BX4" s="220"/>
      <c r="BY4" s="220" t="s">
        <v>1085</v>
      </c>
      <c r="BZ4" s="220"/>
      <c r="CA4" s="220"/>
      <c r="CB4" s="220"/>
      <c r="CC4" s="220"/>
      <c r="CD4" s="220"/>
      <c r="CE4" s="220"/>
      <c r="CF4" s="220"/>
      <c r="CG4" s="220"/>
      <c r="CH4" s="220"/>
      <c r="CI4" s="220"/>
      <c r="CJ4" s="220"/>
      <c r="CK4" s="220"/>
      <c r="CL4" s="220"/>
      <c r="CV4" s="175"/>
      <c r="CW4" s="175"/>
      <c r="CX4" s="175"/>
      <c r="CY4" s="175"/>
      <c r="CZ4" s="174"/>
      <c r="DA4" s="174"/>
      <c r="DB4" s="174"/>
      <c r="DC4" s="174"/>
      <c r="DD4" s="174"/>
      <c r="DE4" s="219" t="s">
        <v>1151</v>
      </c>
      <c r="DF4" s="219"/>
      <c r="DG4" s="219"/>
      <c r="DH4" s="219"/>
      <c r="DI4" s="219"/>
      <c r="DJ4" s="219"/>
      <c r="DK4" s="219"/>
      <c r="DL4" s="219"/>
      <c r="DM4" s="219"/>
      <c r="DN4" s="219"/>
      <c r="DO4" s="219"/>
      <c r="DP4" s="219"/>
      <c r="DQ4" s="219"/>
      <c r="DR4" s="219"/>
      <c r="DS4" s="219"/>
      <c r="DT4" s="219"/>
      <c r="DU4" s="219"/>
      <c r="DV4" s="219"/>
      <c r="DW4" s="219"/>
      <c r="DX4" s="219"/>
      <c r="DY4" s="219"/>
      <c r="DZ4" s="219"/>
      <c r="EA4" s="219"/>
      <c r="EB4" s="219"/>
      <c r="EC4" s="219"/>
      <c r="ED4" s="219"/>
      <c r="EE4" s="219"/>
      <c r="EF4" s="219"/>
      <c r="EG4" s="219"/>
      <c r="EH4" s="219"/>
      <c r="EI4" s="219"/>
      <c r="EJ4" s="219"/>
      <c r="EK4" s="219"/>
      <c r="EL4" s="219"/>
      <c r="EM4" s="219"/>
      <c r="EN4" s="219"/>
      <c r="EO4" s="219"/>
      <c r="EP4" s="219"/>
      <c r="EQ4" s="219"/>
      <c r="ER4" s="219"/>
      <c r="ES4" s="219"/>
      <c r="ET4" s="219"/>
      <c r="EU4" s="219"/>
      <c r="EV4" s="219"/>
      <c r="EW4" s="219"/>
      <c r="EX4" s="219"/>
      <c r="EY4" s="219"/>
      <c r="EZ4" s="219"/>
      <c r="FA4" s="219"/>
      <c r="FB4" s="219" t="s">
        <v>1154</v>
      </c>
      <c r="FC4" s="219"/>
      <c r="FD4" s="219"/>
      <c r="FE4" s="219"/>
      <c r="FF4" s="219"/>
      <c r="FG4" s="219"/>
      <c r="FH4" s="219"/>
      <c r="FI4" s="219"/>
      <c r="FJ4" s="219"/>
      <c r="FK4" s="219"/>
      <c r="FL4" s="219"/>
      <c r="FM4" s="219"/>
      <c r="FN4" s="219"/>
      <c r="FO4" s="219"/>
      <c r="FP4" s="219"/>
      <c r="FQ4" s="219"/>
      <c r="FR4" s="219"/>
      <c r="FS4" s="219"/>
      <c r="FT4" s="219"/>
      <c r="FU4" s="219"/>
      <c r="FV4" s="219"/>
      <c r="FW4" s="219"/>
      <c r="FX4" s="219"/>
      <c r="FY4" s="219"/>
      <c r="FZ4" s="219"/>
      <c r="GA4" s="219"/>
      <c r="GB4" s="219"/>
      <c r="GC4" s="219"/>
      <c r="GD4" s="219"/>
      <c r="GE4" s="219"/>
      <c r="GF4" s="219"/>
      <c r="GG4" s="219"/>
      <c r="GH4" s="219"/>
      <c r="GI4" s="219"/>
      <c r="GJ4" s="219"/>
      <c r="GK4" s="219"/>
      <c r="GL4" s="219"/>
      <c r="GM4" s="219"/>
      <c r="GN4" s="219"/>
      <c r="GO4" s="219"/>
      <c r="GP4" s="219"/>
      <c r="GQ4" s="219"/>
      <c r="GR4" s="219"/>
      <c r="GS4" s="219"/>
      <c r="GT4" s="219"/>
      <c r="GU4" s="219"/>
      <c r="GV4" s="219"/>
    </row>
    <row r="5" spans="1:204" s="1" customFormat="1" ht="52.15" customHeight="1" x14ac:dyDescent="0.25">
      <c r="A5" s="213" t="s">
        <v>704</v>
      </c>
      <c r="B5" s="212" t="s">
        <v>10</v>
      </c>
      <c r="C5" s="212" t="s">
        <v>132</v>
      </c>
      <c r="D5" s="212" t="s">
        <v>133</v>
      </c>
      <c r="E5" s="214" t="s">
        <v>516</v>
      </c>
      <c r="F5" s="102" t="s">
        <v>526</v>
      </c>
      <c r="G5" s="102" t="s">
        <v>135</v>
      </c>
      <c r="H5" s="102" t="s">
        <v>136</v>
      </c>
      <c r="I5" s="102" t="s">
        <v>90</v>
      </c>
      <c r="J5" s="103" t="s">
        <v>527</v>
      </c>
      <c r="K5" s="104" t="s">
        <v>31</v>
      </c>
      <c r="L5" s="105" t="s">
        <v>23</v>
      </c>
      <c r="M5" s="105" t="s">
        <v>517</v>
      </c>
      <c r="N5" s="105" t="s">
        <v>22</v>
      </c>
      <c r="O5" s="105" t="s">
        <v>24</v>
      </c>
      <c r="P5" s="105" t="s">
        <v>25</v>
      </c>
      <c r="Q5" s="106" t="s">
        <v>105</v>
      </c>
      <c r="R5" s="106" t="s">
        <v>518</v>
      </c>
      <c r="S5" s="106" t="s">
        <v>57</v>
      </c>
      <c r="T5" s="106" t="s">
        <v>918</v>
      </c>
      <c r="U5" s="107" t="s">
        <v>138</v>
      </c>
      <c r="V5" s="100" t="s">
        <v>139</v>
      </c>
      <c r="W5" s="100" t="s">
        <v>140</v>
      </c>
      <c r="X5" s="100" t="s">
        <v>141</v>
      </c>
      <c r="Y5" s="100" t="s">
        <v>142</v>
      </c>
      <c r="Z5" s="100" t="s">
        <v>143</v>
      </c>
      <c r="AA5" s="100" t="s">
        <v>144</v>
      </c>
      <c r="AB5" s="100" t="s">
        <v>145</v>
      </c>
      <c r="AC5" s="100" t="s">
        <v>146</v>
      </c>
      <c r="AD5" s="100" t="s">
        <v>147</v>
      </c>
      <c r="AE5" s="100" t="s">
        <v>148</v>
      </c>
      <c r="AF5" s="100" t="s">
        <v>149</v>
      </c>
      <c r="AG5" s="108" t="s">
        <v>501</v>
      </c>
      <c r="AH5" s="109" t="s">
        <v>525</v>
      </c>
      <c r="AI5" s="110" t="s">
        <v>726</v>
      </c>
      <c r="AJ5" s="108" t="s">
        <v>500</v>
      </c>
      <c r="AK5" s="109" t="s">
        <v>919</v>
      </c>
      <c r="AL5" s="109" t="s">
        <v>920</v>
      </c>
      <c r="AM5" s="111" t="s">
        <v>921</v>
      </c>
      <c r="AN5" s="111" t="s">
        <v>519</v>
      </c>
      <c r="AO5" s="111" t="s">
        <v>520</v>
      </c>
      <c r="AP5" s="109" t="s">
        <v>521</v>
      </c>
      <c r="AQ5" s="109" t="s">
        <v>519</v>
      </c>
      <c r="AR5" s="109" t="s">
        <v>520</v>
      </c>
      <c r="AS5" s="112" t="s">
        <v>138</v>
      </c>
      <c r="AT5" s="112" t="s">
        <v>139</v>
      </c>
      <c r="AU5" s="112" t="s">
        <v>140</v>
      </c>
      <c r="AV5" s="112" t="s">
        <v>141</v>
      </c>
      <c r="AW5" s="112" t="s">
        <v>142</v>
      </c>
      <c r="AX5" s="112" t="s">
        <v>143</v>
      </c>
      <c r="AY5" s="112" t="s">
        <v>144</v>
      </c>
      <c r="AZ5" s="112" t="s">
        <v>145</v>
      </c>
      <c r="BA5" s="112" t="s">
        <v>146</v>
      </c>
      <c r="BB5" s="112" t="s">
        <v>147</v>
      </c>
      <c r="BC5" s="112" t="s">
        <v>148</v>
      </c>
      <c r="BD5" s="112" t="s">
        <v>149</v>
      </c>
      <c r="BE5" s="215" t="s">
        <v>703</v>
      </c>
      <c r="BF5" s="216" t="s">
        <v>732</v>
      </c>
      <c r="BG5" s="113" t="s">
        <v>1141</v>
      </c>
      <c r="BH5" s="217" t="s">
        <v>50</v>
      </c>
      <c r="BI5" s="114" t="s">
        <v>523</v>
      </c>
      <c r="BJ5" s="217" t="s">
        <v>1190</v>
      </c>
      <c r="BK5" s="115" t="s">
        <v>138</v>
      </c>
      <c r="BL5" s="115" t="s">
        <v>139</v>
      </c>
      <c r="BM5" s="115" t="s">
        <v>140</v>
      </c>
      <c r="BN5" s="115" t="s">
        <v>141</v>
      </c>
      <c r="BO5" s="115" t="s">
        <v>142</v>
      </c>
      <c r="BP5" s="115" t="s">
        <v>143</v>
      </c>
      <c r="BQ5" s="115" t="s">
        <v>144</v>
      </c>
      <c r="BR5" s="115" t="s">
        <v>145</v>
      </c>
      <c r="BS5" s="115" t="s">
        <v>146</v>
      </c>
      <c r="BT5" s="115" t="s">
        <v>147</v>
      </c>
      <c r="BU5" s="115" t="s">
        <v>148</v>
      </c>
      <c r="BV5" s="115" t="s">
        <v>149</v>
      </c>
      <c r="BW5" s="169" t="s">
        <v>1082</v>
      </c>
      <c r="BX5" s="218" t="s">
        <v>1083</v>
      </c>
      <c r="BY5" s="169" t="s">
        <v>138</v>
      </c>
      <c r="BZ5" s="169" t="s">
        <v>139</v>
      </c>
      <c r="CA5" s="169" t="s">
        <v>140</v>
      </c>
      <c r="CB5" s="169" t="s">
        <v>141</v>
      </c>
      <c r="CC5" s="169" t="s">
        <v>142</v>
      </c>
      <c r="CD5" s="169" t="s">
        <v>143</v>
      </c>
      <c r="CE5" s="169" t="s">
        <v>144</v>
      </c>
      <c r="CF5" s="169" t="s">
        <v>145</v>
      </c>
      <c r="CG5" s="169" t="s">
        <v>146</v>
      </c>
      <c r="CH5" s="169" t="s">
        <v>147</v>
      </c>
      <c r="CI5" s="169" t="s">
        <v>148</v>
      </c>
      <c r="CJ5" s="169" t="s">
        <v>149</v>
      </c>
      <c r="CK5" s="169" t="s">
        <v>1142</v>
      </c>
      <c r="CL5" s="169" t="s">
        <v>922</v>
      </c>
      <c r="CM5" s="145" t="s">
        <v>1135</v>
      </c>
      <c r="CN5" s="146" t="s">
        <v>1137</v>
      </c>
      <c r="CO5" s="146" t="s">
        <v>1138</v>
      </c>
      <c r="CP5" s="146" t="s">
        <v>1187</v>
      </c>
      <c r="CQ5" s="146" t="s">
        <v>1188</v>
      </c>
      <c r="CR5" s="146" t="s">
        <v>1189</v>
      </c>
      <c r="CS5" s="146" t="s">
        <v>1136</v>
      </c>
      <c r="CT5" s="146" t="s">
        <v>1139</v>
      </c>
      <c r="CU5" s="146" t="s">
        <v>1140</v>
      </c>
      <c r="CV5" s="85" t="s">
        <v>795</v>
      </c>
      <c r="CW5" s="85" t="s">
        <v>1149</v>
      </c>
      <c r="CX5" s="85" t="s">
        <v>796</v>
      </c>
      <c r="CY5" s="85" t="s">
        <v>1150</v>
      </c>
      <c r="CZ5" s="85" t="s">
        <v>797</v>
      </c>
      <c r="DA5" s="85" t="s">
        <v>798</v>
      </c>
      <c r="DB5" s="85" t="s">
        <v>799</v>
      </c>
      <c r="DC5" s="85" t="s">
        <v>800</v>
      </c>
      <c r="DD5" s="86" t="s">
        <v>801</v>
      </c>
      <c r="DE5" s="119" t="s">
        <v>802</v>
      </c>
      <c r="DF5" s="120" t="s">
        <v>803</v>
      </c>
      <c r="DG5" s="120" t="s">
        <v>796</v>
      </c>
      <c r="DH5" s="119" t="s">
        <v>804</v>
      </c>
      <c r="DI5" s="119" t="s">
        <v>805</v>
      </c>
      <c r="DJ5" s="119" t="s">
        <v>806</v>
      </c>
      <c r="DK5" s="119" t="s">
        <v>807</v>
      </c>
      <c r="DL5" s="119" t="s">
        <v>808</v>
      </c>
      <c r="DM5" s="119" t="s">
        <v>809</v>
      </c>
      <c r="DN5" s="119" t="s">
        <v>810</v>
      </c>
      <c r="DO5" s="119" t="s">
        <v>811</v>
      </c>
      <c r="DP5" s="119" t="s">
        <v>812</v>
      </c>
      <c r="DQ5" s="120" t="s">
        <v>813</v>
      </c>
      <c r="DR5" s="120" t="s">
        <v>796</v>
      </c>
      <c r="DS5" s="119" t="s">
        <v>814</v>
      </c>
      <c r="DT5" s="119" t="s">
        <v>815</v>
      </c>
      <c r="DU5" s="119" t="s">
        <v>816</v>
      </c>
      <c r="DV5" s="119" t="s">
        <v>817</v>
      </c>
      <c r="DW5" s="119" t="s">
        <v>818</v>
      </c>
      <c r="DX5" s="119" t="s">
        <v>819</v>
      </c>
      <c r="DY5" s="119" t="s">
        <v>820</v>
      </c>
      <c r="DZ5" s="121" t="s">
        <v>821</v>
      </c>
      <c r="EA5" s="122" t="s">
        <v>822</v>
      </c>
      <c r="EB5" s="122" t="s">
        <v>823</v>
      </c>
      <c r="EC5" s="122" t="s">
        <v>824</v>
      </c>
      <c r="ED5" s="123" t="s">
        <v>825</v>
      </c>
      <c r="EE5" s="123" t="s">
        <v>826</v>
      </c>
      <c r="EF5" s="123" t="s">
        <v>827</v>
      </c>
      <c r="EG5" s="123" t="s">
        <v>828</v>
      </c>
      <c r="EH5" s="123" t="s">
        <v>829</v>
      </c>
      <c r="EI5" s="123" t="s">
        <v>830</v>
      </c>
      <c r="EJ5" s="123" t="s">
        <v>831</v>
      </c>
      <c r="EK5" s="124" t="s">
        <v>832</v>
      </c>
      <c r="EL5" s="124" t="s">
        <v>833</v>
      </c>
      <c r="EM5" s="124" t="s">
        <v>834</v>
      </c>
      <c r="EN5" s="124" t="s">
        <v>835</v>
      </c>
      <c r="EO5" s="124" t="s">
        <v>836</v>
      </c>
      <c r="EP5" s="124" t="s">
        <v>837</v>
      </c>
      <c r="EQ5" s="124" t="s">
        <v>838</v>
      </c>
      <c r="ER5" s="124" t="s">
        <v>839</v>
      </c>
      <c r="ES5" s="124" t="s">
        <v>840</v>
      </c>
      <c r="ET5" s="124" t="s">
        <v>841</v>
      </c>
      <c r="EU5" s="125" t="s">
        <v>842</v>
      </c>
      <c r="EV5" s="125" t="s">
        <v>796</v>
      </c>
      <c r="EW5" s="126" t="s">
        <v>843</v>
      </c>
      <c r="EX5" s="127" t="s">
        <v>844</v>
      </c>
      <c r="EY5" s="128" t="s">
        <v>845</v>
      </c>
      <c r="EZ5" s="129" t="s">
        <v>846</v>
      </c>
      <c r="FA5" s="87" t="s">
        <v>847</v>
      </c>
      <c r="FB5" s="176" t="s">
        <v>802</v>
      </c>
      <c r="FC5" s="176" t="s">
        <v>1152</v>
      </c>
      <c r="FD5" s="176" t="s">
        <v>804</v>
      </c>
      <c r="FE5" s="176" t="s">
        <v>805</v>
      </c>
      <c r="FF5" s="176" t="s">
        <v>806</v>
      </c>
      <c r="FG5" s="176" t="s">
        <v>807</v>
      </c>
      <c r="FH5" s="176" t="s">
        <v>808</v>
      </c>
      <c r="FI5" s="176" t="s">
        <v>809</v>
      </c>
      <c r="FJ5" s="176" t="s">
        <v>810</v>
      </c>
      <c r="FK5" s="176" t="s">
        <v>811</v>
      </c>
      <c r="FL5" s="176" t="s">
        <v>812</v>
      </c>
      <c r="FM5" s="176" t="s">
        <v>813</v>
      </c>
      <c r="FN5" s="176" t="s">
        <v>814</v>
      </c>
      <c r="FO5" s="176" t="s">
        <v>815</v>
      </c>
      <c r="FP5" s="176" t="s">
        <v>816</v>
      </c>
      <c r="FQ5" s="176" t="s">
        <v>817</v>
      </c>
      <c r="FR5" s="176" t="s">
        <v>818</v>
      </c>
      <c r="FS5" s="176" t="s">
        <v>819</v>
      </c>
      <c r="FT5" s="176" t="s">
        <v>820</v>
      </c>
      <c r="FU5" s="177" t="s">
        <v>821</v>
      </c>
      <c r="FV5" s="177" t="s">
        <v>822</v>
      </c>
      <c r="FW5" s="177" t="s">
        <v>823</v>
      </c>
      <c r="FX5" s="177" t="s">
        <v>824</v>
      </c>
      <c r="FY5" s="176" t="s">
        <v>825</v>
      </c>
      <c r="FZ5" s="176" t="s">
        <v>826</v>
      </c>
      <c r="GA5" s="176" t="s">
        <v>827</v>
      </c>
      <c r="GB5" s="176" t="s">
        <v>828</v>
      </c>
      <c r="GC5" s="176" t="s">
        <v>829</v>
      </c>
      <c r="GD5" s="176" t="s">
        <v>830</v>
      </c>
      <c r="GE5" s="176" t="s">
        <v>831</v>
      </c>
      <c r="GF5" s="178" t="s">
        <v>832</v>
      </c>
      <c r="GG5" s="178" t="s">
        <v>833</v>
      </c>
      <c r="GH5" s="178" t="s">
        <v>834</v>
      </c>
      <c r="GI5" s="178" t="s">
        <v>835</v>
      </c>
      <c r="GJ5" s="178" t="s">
        <v>836</v>
      </c>
      <c r="GK5" s="178" t="s">
        <v>837</v>
      </c>
      <c r="GL5" s="178" t="s">
        <v>838</v>
      </c>
      <c r="GM5" s="178" t="s">
        <v>839</v>
      </c>
      <c r="GN5" s="178" t="s">
        <v>840</v>
      </c>
      <c r="GO5" s="178" t="s">
        <v>841</v>
      </c>
      <c r="GP5" s="178" t="s">
        <v>842</v>
      </c>
      <c r="GQ5" s="179" t="s">
        <v>843</v>
      </c>
      <c r="GR5" s="180" t="s">
        <v>844</v>
      </c>
      <c r="GS5" s="180" t="s">
        <v>1182</v>
      </c>
      <c r="GT5" s="181" t="s">
        <v>845</v>
      </c>
      <c r="GU5" s="182" t="s">
        <v>846</v>
      </c>
      <c r="GV5" s="183" t="s">
        <v>847</v>
      </c>
    </row>
    <row r="6" spans="1:204" s="68" customFormat="1" ht="14.45" customHeight="1" x14ac:dyDescent="0.25">
      <c r="A6" s="68" t="s">
        <v>700</v>
      </c>
      <c r="B6" s="82" t="s">
        <v>154</v>
      </c>
      <c r="C6" s="82" t="s">
        <v>172</v>
      </c>
      <c r="D6" s="82" t="s">
        <v>196</v>
      </c>
      <c r="E6" s="82" t="s">
        <v>309</v>
      </c>
      <c r="F6" s="82" t="s">
        <v>549</v>
      </c>
      <c r="G6" s="82" t="s">
        <v>137</v>
      </c>
      <c r="H6" s="82" t="s">
        <v>137</v>
      </c>
      <c r="I6" s="82" t="s">
        <v>66</v>
      </c>
      <c r="J6" s="82" t="s">
        <v>29</v>
      </c>
      <c r="K6" s="92" t="s">
        <v>137</v>
      </c>
      <c r="L6" s="92" t="s">
        <v>137</v>
      </c>
      <c r="M6" s="92" t="s">
        <v>137</v>
      </c>
      <c r="N6" s="92" t="s">
        <v>137</v>
      </c>
      <c r="O6" s="92" t="s">
        <v>137</v>
      </c>
      <c r="P6" s="92" t="s">
        <v>137</v>
      </c>
      <c r="Q6" s="82" t="s">
        <v>87</v>
      </c>
      <c r="R6" s="82" t="s">
        <v>714</v>
      </c>
      <c r="S6" s="82" t="s">
        <v>40</v>
      </c>
      <c r="T6" s="82" t="s">
        <v>2</v>
      </c>
      <c r="U6" s="83"/>
      <c r="V6" s="83">
        <v>0.05</v>
      </c>
      <c r="W6" s="83">
        <v>0.08</v>
      </c>
      <c r="X6" s="83">
        <v>0.15</v>
      </c>
      <c r="Y6" s="83">
        <v>0.2</v>
      </c>
      <c r="Z6" s="83">
        <v>0.25</v>
      </c>
      <c r="AA6" s="83">
        <v>0.37</v>
      </c>
      <c r="AB6" s="83">
        <v>0.42</v>
      </c>
      <c r="AC6" s="83">
        <v>0.57999999999999996</v>
      </c>
      <c r="AD6" s="83">
        <v>0.67</v>
      </c>
      <c r="AE6" s="83">
        <v>0.83</v>
      </c>
      <c r="AF6" s="83">
        <v>1</v>
      </c>
      <c r="AG6" s="82" t="s">
        <v>532</v>
      </c>
      <c r="AH6" s="82" t="s">
        <v>529</v>
      </c>
      <c r="AI6" s="88" t="s">
        <v>538</v>
      </c>
      <c r="AJ6" s="89" t="s">
        <v>538</v>
      </c>
      <c r="AK6" s="90">
        <v>46023</v>
      </c>
      <c r="AL6" s="90">
        <v>46387</v>
      </c>
      <c r="AM6" s="89"/>
      <c r="AN6" s="89"/>
      <c r="AO6" s="89"/>
      <c r="AP6" s="91" t="s">
        <v>539</v>
      </c>
      <c r="AQ6" s="90" cm="1">
        <f t="array" ref="AQ6">IFERROR(DATE(2026, _xlfn.AGGREGATE(15, 6, (COLUMN(BY6:CJ6)-COLUMN(BY6)+1)/(BY6:CJ6&lt;&gt;0), 1), 1),"N/A")</f>
        <v>46143</v>
      </c>
      <c r="AR6" s="90" cm="1">
        <f t="array" ref="AR6">IFERROR(EOMONTH(DATE(2026, _xlfn.AGGREGATE(14, 6, (COLUMN(BY6:CJ6)-COLUMN(BY6)+1)/(BY6:CJ6&lt;&gt;0), 1), 1), 0),"N/A")</f>
        <v>46173</v>
      </c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2" t="s">
        <v>575</v>
      </c>
      <c r="BF6" s="82" t="s">
        <v>923</v>
      </c>
      <c r="BG6" s="82" t="str">
        <f t="shared" ref="BG6:BG69" si="0">MID(BF6,22,3)</f>
        <v>000</v>
      </c>
      <c r="BH6" s="88">
        <v>530702</v>
      </c>
      <c r="BI6" s="92" t="s">
        <v>74</v>
      </c>
      <c r="BJ6" s="93">
        <v>300</v>
      </c>
      <c r="BK6" s="74">
        <v>0</v>
      </c>
      <c r="BL6" s="74">
        <v>0</v>
      </c>
      <c r="BM6" s="74">
        <v>0</v>
      </c>
      <c r="BN6" s="74">
        <v>0</v>
      </c>
      <c r="BO6" s="94">
        <v>300</v>
      </c>
      <c r="BP6" s="74">
        <v>0</v>
      </c>
      <c r="BQ6" s="74">
        <v>0</v>
      </c>
      <c r="BR6" s="74">
        <v>0</v>
      </c>
      <c r="BS6" s="74">
        <v>0</v>
      </c>
      <c r="BT6" s="74">
        <v>0</v>
      </c>
      <c r="BU6" s="74">
        <v>0</v>
      </c>
      <c r="BV6" s="143">
        <v>0</v>
      </c>
      <c r="BW6" s="143"/>
      <c r="BX6" s="143">
        <f>+BJ6+BW6</f>
        <v>300</v>
      </c>
      <c r="BY6" s="74">
        <v>0</v>
      </c>
      <c r="BZ6" s="74">
        <v>0</v>
      </c>
      <c r="CA6" s="74">
        <v>0</v>
      </c>
      <c r="CB6" s="74">
        <v>0</v>
      </c>
      <c r="CC6" s="94">
        <v>300</v>
      </c>
      <c r="CD6" s="74">
        <v>0</v>
      </c>
      <c r="CE6" s="74">
        <v>0</v>
      </c>
      <c r="CF6" s="74">
        <v>0</v>
      </c>
      <c r="CG6" s="74">
        <v>0</v>
      </c>
      <c r="CH6" s="74">
        <v>0</v>
      </c>
      <c r="CI6" s="74">
        <v>0</v>
      </c>
      <c r="CJ6" s="143">
        <v>0</v>
      </c>
      <c r="CK6" s="143"/>
      <c r="CL6" s="142">
        <f t="shared" ref="CL6:CL69" si="1">+BX6-SUM(BY6:CK6)</f>
        <v>0</v>
      </c>
      <c r="CM6" s="171">
        <v>0</v>
      </c>
      <c r="CN6" s="171">
        <v>0</v>
      </c>
      <c r="CO6" s="171">
        <v>0</v>
      </c>
      <c r="CP6" s="171">
        <v>0</v>
      </c>
      <c r="CQ6" s="171">
        <v>0</v>
      </c>
      <c r="CR6" s="171">
        <v>0</v>
      </c>
      <c r="CS6" s="171">
        <f t="shared" ref="CS6:CS69" si="2">+CP6+CM6</f>
        <v>0</v>
      </c>
      <c r="CT6" s="171">
        <f t="shared" ref="CT6:CT69" si="3">+CQ6+CN6</f>
        <v>0</v>
      </c>
      <c r="CU6" s="171">
        <f t="shared" ref="CU6:CU69" si="4">+CR6+CO6</f>
        <v>0</v>
      </c>
      <c r="CV6" s="149"/>
      <c r="CW6" s="149"/>
      <c r="CX6" s="130"/>
      <c r="CY6" s="130"/>
      <c r="CZ6" s="130"/>
      <c r="DA6" s="130"/>
      <c r="DB6" s="130"/>
      <c r="DC6" s="130"/>
      <c r="DD6" s="130"/>
      <c r="DE6" s="130"/>
      <c r="DF6" s="130"/>
      <c r="DG6" s="130"/>
      <c r="DH6" s="130"/>
      <c r="DI6" s="130"/>
      <c r="DJ6" s="130"/>
      <c r="DK6" s="130"/>
      <c r="DL6" s="130"/>
      <c r="DM6" s="130"/>
      <c r="DN6" s="130"/>
      <c r="DO6" s="130"/>
      <c r="DP6" s="130"/>
      <c r="DQ6" s="130"/>
      <c r="DR6" s="130"/>
      <c r="DS6" s="130"/>
      <c r="DT6" s="130"/>
      <c r="DU6" s="130"/>
      <c r="DV6" s="130"/>
      <c r="DW6" s="130"/>
      <c r="DX6" s="130"/>
      <c r="DY6" s="130"/>
      <c r="DZ6" s="130"/>
      <c r="EA6" s="130"/>
      <c r="EB6" s="130"/>
      <c r="EC6" s="130"/>
      <c r="ED6" s="130"/>
      <c r="EE6" s="130"/>
      <c r="EF6" s="130"/>
      <c r="EG6" s="130"/>
      <c r="EH6" s="130"/>
      <c r="EI6" s="130"/>
      <c r="EJ6" s="130"/>
      <c r="EK6" s="130"/>
      <c r="EL6" s="130"/>
      <c r="EM6" s="130"/>
      <c r="EN6" s="130"/>
      <c r="EO6" s="130"/>
      <c r="EP6" s="130"/>
      <c r="EQ6" s="130"/>
      <c r="ER6" s="130"/>
      <c r="ES6" s="130"/>
      <c r="ET6" s="130"/>
      <c r="EU6" s="130"/>
      <c r="EV6" s="130"/>
      <c r="EW6" s="130"/>
      <c r="EX6" s="130"/>
      <c r="EY6" s="130"/>
      <c r="EZ6" s="130"/>
      <c r="FA6" s="130"/>
      <c r="FB6" s="201"/>
      <c r="FC6" s="201"/>
      <c r="FD6" s="201"/>
      <c r="FE6" s="201"/>
      <c r="FF6" s="201"/>
      <c r="FG6" s="201"/>
      <c r="FH6" s="201"/>
      <c r="FI6" s="201"/>
      <c r="FJ6" s="201"/>
      <c r="FK6" s="201"/>
      <c r="FL6" s="201"/>
      <c r="FM6" s="201"/>
      <c r="FN6" s="201"/>
      <c r="FO6" s="201"/>
      <c r="FP6" s="201"/>
      <c r="FQ6" s="201"/>
      <c r="FR6" s="201"/>
      <c r="FS6" s="201"/>
      <c r="FT6" s="201"/>
      <c r="FU6" s="201"/>
      <c r="FV6" s="201"/>
      <c r="FW6" s="201"/>
      <c r="FX6" s="201"/>
      <c r="FY6" s="201"/>
      <c r="FZ6" s="201"/>
      <c r="GA6" s="201"/>
      <c r="GB6" s="201"/>
      <c r="GC6" s="201"/>
      <c r="GD6" s="201"/>
      <c r="GE6" s="201"/>
      <c r="GF6" s="201"/>
      <c r="GG6" s="201"/>
      <c r="GH6" s="201"/>
      <c r="GI6" s="201"/>
      <c r="GJ6" s="201"/>
      <c r="GK6" s="201"/>
      <c r="GL6" s="201"/>
      <c r="GM6" s="201"/>
      <c r="GN6" s="201"/>
      <c r="GO6" s="201"/>
      <c r="GP6" s="201"/>
      <c r="GQ6" s="201"/>
    </row>
    <row r="7" spans="1:204" s="68" customFormat="1" ht="14.45" customHeight="1" x14ac:dyDescent="0.25">
      <c r="A7" s="68" t="s">
        <v>693</v>
      </c>
      <c r="B7" s="82" t="s">
        <v>154</v>
      </c>
      <c r="C7" s="82" t="s">
        <v>172</v>
      </c>
      <c r="D7" s="82" t="s">
        <v>196</v>
      </c>
      <c r="E7" s="82" t="s">
        <v>309</v>
      </c>
      <c r="F7" s="82" t="s">
        <v>549</v>
      </c>
      <c r="G7" s="82" t="s">
        <v>137</v>
      </c>
      <c r="H7" s="82" t="s">
        <v>137</v>
      </c>
      <c r="I7" s="82" t="s">
        <v>66</v>
      </c>
      <c r="J7" s="82" t="s">
        <v>29</v>
      </c>
      <c r="K7" s="92" t="s">
        <v>137</v>
      </c>
      <c r="L7" s="92" t="s">
        <v>137</v>
      </c>
      <c r="M7" s="92" t="s">
        <v>137</v>
      </c>
      <c r="N7" s="92" t="s">
        <v>137</v>
      </c>
      <c r="O7" s="92" t="s">
        <v>137</v>
      </c>
      <c r="P7" s="92" t="s">
        <v>137</v>
      </c>
      <c r="Q7" s="82" t="s">
        <v>87</v>
      </c>
      <c r="R7" s="82" t="s">
        <v>714</v>
      </c>
      <c r="S7" s="82" t="s">
        <v>40</v>
      </c>
      <c r="T7" s="82" t="s">
        <v>2</v>
      </c>
      <c r="U7" s="83"/>
      <c r="V7" s="83">
        <v>0.05</v>
      </c>
      <c r="W7" s="83">
        <v>0.08</v>
      </c>
      <c r="X7" s="83">
        <v>0.15</v>
      </c>
      <c r="Y7" s="83">
        <v>0.2</v>
      </c>
      <c r="Z7" s="83">
        <v>0.25</v>
      </c>
      <c r="AA7" s="83">
        <v>0.37</v>
      </c>
      <c r="AB7" s="83">
        <v>0.42</v>
      </c>
      <c r="AC7" s="83">
        <v>0.57999999999999996</v>
      </c>
      <c r="AD7" s="83">
        <v>0.67</v>
      </c>
      <c r="AE7" s="83">
        <v>0.83</v>
      </c>
      <c r="AF7" s="83">
        <v>1</v>
      </c>
      <c r="AG7" s="82" t="s">
        <v>532</v>
      </c>
      <c r="AH7" s="82" t="s">
        <v>529</v>
      </c>
      <c r="AI7" s="88" t="s">
        <v>538</v>
      </c>
      <c r="AJ7" s="89" t="s">
        <v>538</v>
      </c>
      <c r="AK7" s="90">
        <v>46023</v>
      </c>
      <c r="AL7" s="90">
        <v>46387</v>
      </c>
      <c r="AM7" s="89"/>
      <c r="AN7" s="89"/>
      <c r="AO7" s="89"/>
      <c r="AP7" s="91" t="s">
        <v>539</v>
      </c>
      <c r="AQ7" s="90" t="str" cm="1">
        <f t="array" ref="AQ7">IFERROR(DATE(2026, _xlfn.AGGREGATE(15, 6, (COLUMN(BY7:CJ7)-COLUMN(BY7)+1)/(BY7:CJ7&lt;&gt;0), 1), 1),"N/A")</f>
        <v>N/A</v>
      </c>
      <c r="AR7" s="90" t="str" cm="1">
        <f t="array" ref="AR7">IFERROR(EOMONTH(DATE(2026, _xlfn.AGGREGATE(14, 6, (COLUMN(BY7:CJ7)-COLUMN(BY7)+1)/(BY7:CJ7&lt;&gt;0), 1), 1), 0),"N/A")</f>
        <v>N/A</v>
      </c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2" t="s">
        <v>791</v>
      </c>
      <c r="BF7" s="82" t="s">
        <v>1012</v>
      </c>
      <c r="BG7" s="82" t="str">
        <f t="shared" si="0"/>
        <v>000</v>
      </c>
      <c r="BH7" s="88">
        <v>840107</v>
      </c>
      <c r="BI7" s="92" t="s">
        <v>74</v>
      </c>
      <c r="BJ7" s="93">
        <v>10000</v>
      </c>
      <c r="BK7" s="74">
        <v>0</v>
      </c>
      <c r="BL7" s="74">
        <v>0</v>
      </c>
      <c r="BM7" s="74">
        <v>0</v>
      </c>
      <c r="BN7" s="74">
        <v>0</v>
      </c>
      <c r="BO7" s="74">
        <v>0</v>
      </c>
      <c r="BP7" s="74">
        <v>0</v>
      </c>
      <c r="BQ7" s="74">
        <v>0</v>
      </c>
      <c r="BR7" s="74">
        <v>0</v>
      </c>
      <c r="BS7" s="74">
        <v>0</v>
      </c>
      <c r="BT7" s="94">
        <v>10000</v>
      </c>
      <c r="BU7" s="74">
        <v>0</v>
      </c>
      <c r="BV7" s="143">
        <v>0</v>
      </c>
      <c r="BW7" s="143">
        <v>-10000</v>
      </c>
      <c r="BX7" s="143">
        <f t="shared" ref="BX7:BX70" si="5">+BJ7+BW7</f>
        <v>0</v>
      </c>
      <c r="BY7" s="74">
        <v>0</v>
      </c>
      <c r="BZ7" s="74">
        <v>0</v>
      </c>
      <c r="CA7" s="74">
        <v>0</v>
      </c>
      <c r="CB7" s="74">
        <v>0</v>
      </c>
      <c r="CC7" s="74">
        <v>0</v>
      </c>
      <c r="CD7" s="74">
        <v>0</v>
      </c>
      <c r="CE7" s="74">
        <v>0</v>
      </c>
      <c r="CF7" s="74">
        <v>0</v>
      </c>
      <c r="CG7" s="74">
        <v>0</v>
      </c>
      <c r="CH7" s="94">
        <v>0</v>
      </c>
      <c r="CI7" s="74">
        <v>0</v>
      </c>
      <c r="CJ7" s="143">
        <v>0</v>
      </c>
      <c r="CK7" s="143"/>
      <c r="CL7" s="142">
        <f t="shared" si="1"/>
        <v>0</v>
      </c>
      <c r="CM7" s="171">
        <v>0</v>
      </c>
      <c r="CN7" s="171">
        <v>0</v>
      </c>
      <c r="CO7" s="171">
        <v>0</v>
      </c>
      <c r="CP7" s="171">
        <v>0</v>
      </c>
      <c r="CQ7" s="171">
        <v>0</v>
      </c>
      <c r="CR7" s="171">
        <v>0</v>
      </c>
      <c r="CS7" s="171">
        <f t="shared" si="2"/>
        <v>0</v>
      </c>
      <c r="CT7" s="171">
        <f t="shared" si="3"/>
        <v>0</v>
      </c>
      <c r="CU7" s="171">
        <f t="shared" si="4"/>
        <v>0</v>
      </c>
      <c r="CV7" s="149">
        <v>10000</v>
      </c>
      <c r="CW7" s="149">
        <v>0</v>
      </c>
      <c r="CX7" s="130">
        <v>2</v>
      </c>
      <c r="CY7" s="130">
        <v>0</v>
      </c>
      <c r="CZ7" s="130"/>
      <c r="DA7" s="130"/>
      <c r="DB7" s="130"/>
      <c r="DC7" s="130"/>
      <c r="DD7" s="130"/>
      <c r="DE7" s="131">
        <v>46224</v>
      </c>
      <c r="DF7" s="131">
        <v>46224</v>
      </c>
      <c r="DG7" s="132">
        <v>2</v>
      </c>
      <c r="DH7" s="131">
        <v>46225</v>
      </c>
      <c r="DI7" s="131">
        <v>46225</v>
      </c>
      <c r="DJ7" s="131">
        <v>46225</v>
      </c>
      <c r="DK7" s="131">
        <v>46226</v>
      </c>
      <c r="DL7" s="131">
        <v>46227</v>
      </c>
      <c r="DM7" s="131">
        <v>46230</v>
      </c>
      <c r="DN7" s="131">
        <v>46231</v>
      </c>
      <c r="DO7" s="131">
        <v>46232</v>
      </c>
      <c r="DP7" s="131">
        <v>46233</v>
      </c>
      <c r="DQ7" s="131">
        <v>46233</v>
      </c>
      <c r="DR7" s="132">
        <v>2</v>
      </c>
      <c r="DS7" s="131">
        <v>46234</v>
      </c>
      <c r="DT7" s="131">
        <v>46237</v>
      </c>
      <c r="DU7" s="131">
        <v>46238</v>
      </c>
      <c r="DV7" s="131">
        <v>46239</v>
      </c>
      <c r="DW7" s="131">
        <v>46239</v>
      </c>
      <c r="DX7" s="131">
        <v>46240</v>
      </c>
      <c r="DY7" s="131">
        <v>46240</v>
      </c>
      <c r="DZ7" s="132"/>
      <c r="EA7" s="132"/>
      <c r="EB7" s="132"/>
      <c r="EC7" s="132"/>
      <c r="ED7" s="131">
        <v>46241</v>
      </c>
      <c r="EE7" s="131">
        <v>46244</v>
      </c>
      <c r="EF7" s="131">
        <v>46244</v>
      </c>
      <c r="EG7" s="131"/>
      <c r="EH7" s="131"/>
      <c r="EI7" s="131"/>
      <c r="EJ7" s="131">
        <v>46244</v>
      </c>
      <c r="EK7" s="131">
        <v>46248</v>
      </c>
      <c r="EL7" s="132">
        <v>18</v>
      </c>
      <c r="EM7" s="133"/>
      <c r="EN7" s="133"/>
      <c r="EO7" s="133"/>
      <c r="EP7" s="133"/>
      <c r="EQ7" s="133"/>
      <c r="ER7" s="133"/>
      <c r="ES7" s="133"/>
      <c r="ET7" s="133"/>
      <c r="EU7" s="133"/>
      <c r="EV7" s="134"/>
      <c r="EW7" s="133">
        <v>46248</v>
      </c>
      <c r="EX7" s="133"/>
      <c r="EY7" s="135" t="s">
        <v>854</v>
      </c>
      <c r="EZ7" s="137" t="s">
        <v>855</v>
      </c>
      <c r="FA7" s="130"/>
      <c r="FB7" s="202" t="e">
        <v>#NUM!</v>
      </c>
      <c r="FC7" s="202" t="e">
        <v>#NUM!</v>
      </c>
      <c r="FD7" s="202" t="e">
        <v>#NUM!</v>
      </c>
      <c r="FE7" s="202" t="e">
        <v>#NUM!</v>
      </c>
      <c r="FF7" s="202" t="e">
        <v>#NUM!</v>
      </c>
      <c r="FG7" s="202" t="e">
        <v>#NUM!</v>
      </c>
      <c r="FH7" s="202" t="e">
        <v>#NUM!</v>
      </c>
      <c r="FI7" s="202" t="e">
        <v>#NUM!</v>
      </c>
      <c r="FJ7" s="202" t="e">
        <v>#NUM!</v>
      </c>
      <c r="FK7" s="202" t="e">
        <v>#NUM!</v>
      </c>
      <c r="FL7" s="202" t="e">
        <v>#NUM!</v>
      </c>
      <c r="FM7" s="202" t="e">
        <v>#NUM!</v>
      </c>
      <c r="FN7" s="202" t="e">
        <v>#NUM!</v>
      </c>
      <c r="FO7" s="202" t="e">
        <v>#NUM!</v>
      </c>
      <c r="FP7" s="202" t="e">
        <v>#NUM!</v>
      </c>
      <c r="FQ7" s="202" t="e">
        <v>#NUM!</v>
      </c>
      <c r="FR7" s="202" t="e">
        <v>#NUM!</v>
      </c>
      <c r="FS7" s="202" t="e">
        <v>#NUM!</v>
      </c>
      <c r="FT7" s="202" t="e">
        <v>#NUM!</v>
      </c>
      <c r="FU7" s="202"/>
      <c r="FV7" s="202"/>
      <c r="FW7" s="202"/>
      <c r="FX7" s="202"/>
      <c r="FY7" s="202" t="e">
        <v>#NUM!</v>
      </c>
      <c r="FZ7" s="202" t="e">
        <v>#NUM!</v>
      </c>
      <c r="GA7" s="202" t="e">
        <v>#NUM!</v>
      </c>
      <c r="GB7" s="202"/>
      <c r="GC7" s="202"/>
      <c r="GD7" s="202"/>
      <c r="GE7" s="202" t="e">
        <v>#NUM!</v>
      </c>
      <c r="GF7" s="202"/>
      <c r="GG7" s="202">
        <v>18</v>
      </c>
      <c r="GH7" s="202"/>
      <c r="GI7" s="202"/>
      <c r="GJ7" s="202"/>
      <c r="GK7" s="202"/>
      <c r="GL7" s="202"/>
      <c r="GM7" s="202"/>
      <c r="GN7" s="202"/>
      <c r="GO7" s="202"/>
      <c r="GP7" s="202"/>
      <c r="GQ7" s="202"/>
      <c r="GR7" s="189"/>
      <c r="GS7" s="189"/>
      <c r="GT7" s="189"/>
      <c r="GU7" s="189"/>
      <c r="GV7" s="189" t="s">
        <v>1160</v>
      </c>
    </row>
    <row r="8" spans="1:204" s="68" customFormat="1" ht="14.45" customHeight="1" x14ac:dyDescent="0.25">
      <c r="A8" s="68" t="s">
        <v>693</v>
      </c>
      <c r="B8" s="82" t="s">
        <v>154</v>
      </c>
      <c r="C8" s="82" t="s">
        <v>172</v>
      </c>
      <c r="D8" s="82" t="s">
        <v>196</v>
      </c>
      <c r="E8" s="82" t="s">
        <v>309</v>
      </c>
      <c r="F8" s="82" t="s">
        <v>549</v>
      </c>
      <c r="G8" s="82" t="s">
        <v>137</v>
      </c>
      <c r="H8" s="82" t="s">
        <v>137</v>
      </c>
      <c r="I8" s="82" t="s">
        <v>66</v>
      </c>
      <c r="J8" s="82" t="s">
        <v>29</v>
      </c>
      <c r="K8" s="92" t="s">
        <v>137</v>
      </c>
      <c r="L8" s="92" t="s">
        <v>137</v>
      </c>
      <c r="M8" s="92" t="s">
        <v>137</v>
      </c>
      <c r="N8" s="92" t="s">
        <v>137</v>
      </c>
      <c r="O8" s="92" t="s">
        <v>137</v>
      </c>
      <c r="P8" s="92" t="s">
        <v>137</v>
      </c>
      <c r="Q8" s="82" t="s">
        <v>87</v>
      </c>
      <c r="R8" s="82" t="s">
        <v>714</v>
      </c>
      <c r="S8" s="82" t="s">
        <v>40</v>
      </c>
      <c r="T8" s="82" t="s">
        <v>2</v>
      </c>
      <c r="U8" s="83"/>
      <c r="V8" s="83">
        <v>0.05</v>
      </c>
      <c r="W8" s="83">
        <v>0.08</v>
      </c>
      <c r="X8" s="83">
        <v>0.15</v>
      </c>
      <c r="Y8" s="83">
        <v>0.2</v>
      </c>
      <c r="Z8" s="83">
        <v>0.25</v>
      </c>
      <c r="AA8" s="83">
        <v>0.37</v>
      </c>
      <c r="AB8" s="83">
        <v>0.42</v>
      </c>
      <c r="AC8" s="83">
        <v>0.57999999999999996</v>
      </c>
      <c r="AD8" s="83">
        <v>0.67</v>
      </c>
      <c r="AE8" s="83">
        <v>0.83</v>
      </c>
      <c r="AF8" s="83">
        <v>1</v>
      </c>
      <c r="AG8" s="82" t="s">
        <v>532</v>
      </c>
      <c r="AH8" s="82" t="s">
        <v>529</v>
      </c>
      <c r="AI8" s="88" t="s">
        <v>538</v>
      </c>
      <c r="AJ8" s="89" t="s">
        <v>538</v>
      </c>
      <c r="AK8" s="90">
        <v>46023</v>
      </c>
      <c r="AL8" s="90">
        <v>46387</v>
      </c>
      <c r="AM8" s="89"/>
      <c r="AN8" s="89"/>
      <c r="AO8" s="89"/>
      <c r="AP8" s="91" t="s">
        <v>539</v>
      </c>
      <c r="AQ8" s="90" cm="1">
        <f t="array" ref="AQ8">IFERROR(DATE(2026, _xlfn.AGGREGATE(15, 6, (COLUMN(BY8:CJ8)-COLUMN(BY8)+1)/(BY8:CJ8&lt;&gt;0), 1), 1),"N/A")</f>
        <v>46174</v>
      </c>
      <c r="AR8" s="90" cm="1">
        <f t="array" ref="AR8">IFERROR(EOMONTH(DATE(2026, _xlfn.AGGREGATE(14, 6, (COLUMN(BY8:CJ8)-COLUMN(BY8)+1)/(BY8:CJ8&lt;&gt;0), 1), 1), 0),"N/A")</f>
        <v>46203</v>
      </c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2" t="s">
        <v>1092</v>
      </c>
      <c r="BF8" s="82" t="s">
        <v>1093</v>
      </c>
      <c r="BG8" s="82" t="str">
        <f t="shared" si="0"/>
        <v>000</v>
      </c>
      <c r="BH8" s="88">
        <v>840107</v>
      </c>
      <c r="BI8" s="92" t="s">
        <v>74</v>
      </c>
      <c r="BJ8" s="93">
        <v>0</v>
      </c>
      <c r="BK8" s="74"/>
      <c r="BL8" s="74"/>
      <c r="BM8" s="74"/>
      <c r="BN8" s="74"/>
      <c r="BO8" s="74"/>
      <c r="BP8" s="74"/>
      <c r="BQ8" s="74"/>
      <c r="BR8" s="74"/>
      <c r="BS8" s="74"/>
      <c r="BT8" s="94"/>
      <c r="BU8" s="74"/>
      <c r="BV8" s="143"/>
      <c r="BW8" s="143">
        <v>3000</v>
      </c>
      <c r="BX8" s="143">
        <f t="shared" si="5"/>
        <v>3000</v>
      </c>
      <c r="BY8" s="74"/>
      <c r="BZ8" s="74"/>
      <c r="CA8" s="74"/>
      <c r="CB8" s="74"/>
      <c r="CC8" s="74"/>
      <c r="CD8" s="74">
        <v>3000</v>
      </c>
      <c r="CE8" s="74"/>
      <c r="CF8" s="74"/>
      <c r="CG8" s="74"/>
      <c r="CH8" s="94"/>
      <c r="CI8" s="74"/>
      <c r="CJ8" s="143"/>
      <c r="CK8" s="143"/>
      <c r="CL8" s="142">
        <f t="shared" si="1"/>
        <v>0</v>
      </c>
      <c r="CM8" s="171">
        <v>0</v>
      </c>
      <c r="CN8" s="171">
        <v>0</v>
      </c>
      <c r="CO8" s="171">
        <v>0</v>
      </c>
      <c r="CP8" s="171">
        <v>0</v>
      </c>
      <c r="CQ8" s="171">
        <v>0</v>
      </c>
      <c r="CR8" s="171">
        <v>0</v>
      </c>
      <c r="CS8" s="171">
        <f t="shared" si="2"/>
        <v>0</v>
      </c>
      <c r="CT8" s="171">
        <f t="shared" si="3"/>
        <v>0</v>
      </c>
      <c r="CU8" s="171">
        <f t="shared" si="4"/>
        <v>0</v>
      </c>
      <c r="CV8" s="149"/>
      <c r="CW8" s="149">
        <v>3000</v>
      </c>
      <c r="CX8" s="130"/>
      <c r="CY8" s="130">
        <v>2</v>
      </c>
      <c r="CZ8" s="130"/>
      <c r="DA8" s="130"/>
      <c r="DB8" s="130"/>
      <c r="DC8" s="130"/>
      <c r="DD8" s="130"/>
      <c r="DE8" s="131"/>
      <c r="DF8" s="131"/>
      <c r="DG8" s="132"/>
      <c r="DH8" s="131"/>
      <c r="DI8" s="131"/>
      <c r="DJ8" s="131"/>
      <c r="DK8" s="131"/>
      <c r="DL8" s="131"/>
      <c r="DM8" s="131"/>
      <c r="DN8" s="131"/>
      <c r="DO8" s="131"/>
      <c r="DP8" s="131"/>
      <c r="DQ8" s="131"/>
      <c r="DR8" s="132"/>
      <c r="DS8" s="131"/>
      <c r="DT8" s="131"/>
      <c r="DU8" s="131"/>
      <c r="DV8" s="131"/>
      <c r="DW8" s="131"/>
      <c r="DX8" s="131"/>
      <c r="DY8" s="131"/>
      <c r="DZ8" s="132"/>
      <c r="EA8" s="132"/>
      <c r="EB8" s="132"/>
      <c r="EC8" s="132"/>
      <c r="ED8" s="131"/>
      <c r="EE8" s="131"/>
      <c r="EF8" s="131"/>
      <c r="EG8" s="131"/>
      <c r="EH8" s="131"/>
      <c r="EI8" s="131"/>
      <c r="EJ8" s="131"/>
      <c r="EK8" s="131"/>
      <c r="EL8" s="132"/>
      <c r="EM8" s="133"/>
      <c r="EN8" s="133"/>
      <c r="EO8" s="133"/>
      <c r="EP8" s="133"/>
      <c r="EQ8" s="133"/>
      <c r="ER8" s="133"/>
      <c r="ES8" s="133"/>
      <c r="ET8" s="133"/>
      <c r="EU8" s="133"/>
      <c r="EV8" s="134"/>
      <c r="EW8" s="133"/>
      <c r="EX8" s="133"/>
      <c r="EY8" s="135"/>
      <c r="EZ8" s="137"/>
      <c r="FA8" s="130"/>
      <c r="FB8" s="203">
        <v>46127</v>
      </c>
      <c r="FC8" s="203">
        <v>46127</v>
      </c>
      <c r="FD8" s="203">
        <v>46128</v>
      </c>
      <c r="FE8" s="203">
        <v>46128</v>
      </c>
      <c r="FF8" s="203">
        <v>46128</v>
      </c>
      <c r="FG8" s="203">
        <v>46129</v>
      </c>
      <c r="FH8" s="203">
        <v>46132</v>
      </c>
      <c r="FI8" s="203">
        <v>46133</v>
      </c>
      <c r="FJ8" s="203">
        <v>46134</v>
      </c>
      <c r="FK8" s="203">
        <v>46135</v>
      </c>
      <c r="FL8" s="203">
        <v>46136</v>
      </c>
      <c r="FM8" s="203">
        <v>46136</v>
      </c>
      <c r="FN8" s="203">
        <v>46139</v>
      </c>
      <c r="FO8" s="203">
        <v>46140</v>
      </c>
      <c r="FP8" s="203">
        <v>46141</v>
      </c>
      <c r="FQ8" s="203">
        <v>46142</v>
      </c>
      <c r="FR8" s="203">
        <v>46142</v>
      </c>
      <c r="FS8" s="203">
        <v>46143</v>
      </c>
      <c r="FT8" s="203">
        <v>46143</v>
      </c>
      <c r="FU8" s="203"/>
      <c r="FV8" s="203"/>
      <c r="FW8" s="203"/>
      <c r="FX8" s="203"/>
      <c r="FY8" s="203">
        <v>46146</v>
      </c>
      <c r="FZ8" s="203">
        <v>46147</v>
      </c>
      <c r="GA8" s="203">
        <v>46147</v>
      </c>
      <c r="GB8" s="203"/>
      <c r="GC8" s="203"/>
      <c r="GD8" s="203"/>
      <c r="GE8" s="203">
        <v>46147</v>
      </c>
      <c r="GF8" s="203">
        <v>46152</v>
      </c>
      <c r="GG8" s="203">
        <v>18</v>
      </c>
      <c r="GH8" s="203"/>
      <c r="GI8" s="203"/>
      <c r="GJ8" s="203"/>
      <c r="GK8" s="203"/>
      <c r="GL8" s="203"/>
      <c r="GM8" s="203"/>
      <c r="GN8" s="203"/>
      <c r="GO8" s="203"/>
      <c r="GP8" s="203"/>
      <c r="GQ8" s="203">
        <v>46152</v>
      </c>
      <c r="GR8" s="187"/>
      <c r="GS8" s="187" t="s">
        <v>1181</v>
      </c>
      <c r="GT8" s="187" t="s">
        <v>854</v>
      </c>
      <c r="GU8" s="187" t="s">
        <v>1175</v>
      </c>
      <c r="GV8" s="187"/>
    </row>
    <row r="9" spans="1:204" s="68" customFormat="1" ht="14.45" customHeight="1" x14ac:dyDescent="0.25">
      <c r="A9" s="68" t="s">
        <v>693</v>
      </c>
      <c r="B9" s="82" t="s">
        <v>154</v>
      </c>
      <c r="C9" s="82" t="s">
        <v>172</v>
      </c>
      <c r="D9" s="82" t="s">
        <v>196</v>
      </c>
      <c r="E9" s="82" t="s">
        <v>309</v>
      </c>
      <c r="F9" s="82" t="s">
        <v>549</v>
      </c>
      <c r="G9" s="82" t="s">
        <v>137</v>
      </c>
      <c r="H9" s="82" t="s">
        <v>137</v>
      </c>
      <c r="I9" s="82" t="s">
        <v>66</v>
      </c>
      <c r="J9" s="82" t="s">
        <v>29</v>
      </c>
      <c r="K9" s="92" t="s">
        <v>137</v>
      </c>
      <c r="L9" s="92" t="s">
        <v>137</v>
      </c>
      <c r="M9" s="92" t="s">
        <v>137</v>
      </c>
      <c r="N9" s="92" t="s">
        <v>137</v>
      </c>
      <c r="O9" s="92" t="s">
        <v>137</v>
      </c>
      <c r="P9" s="92" t="s">
        <v>137</v>
      </c>
      <c r="Q9" s="82" t="s">
        <v>87</v>
      </c>
      <c r="R9" s="82" t="s">
        <v>714</v>
      </c>
      <c r="S9" s="82" t="s">
        <v>40</v>
      </c>
      <c r="T9" s="82" t="s">
        <v>2</v>
      </c>
      <c r="U9" s="83"/>
      <c r="V9" s="83">
        <v>0.05</v>
      </c>
      <c r="W9" s="83">
        <v>0.08</v>
      </c>
      <c r="X9" s="83">
        <v>0.15</v>
      </c>
      <c r="Y9" s="83">
        <v>0.2</v>
      </c>
      <c r="Z9" s="83">
        <v>0.25</v>
      </c>
      <c r="AA9" s="83">
        <v>0.37</v>
      </c>
      <c r="AB9" s="83">
        <v>0.42</v>
      </c>
      <c r="AC9" s="83">
        <v>0.57999999999999996</v>
      </c>
      <c r="AD9" s="83">
        <v>0.67</v>
      </c>
      <c r="AE9" s="83">
        <v>0.83</v>
      </c>
      <c r="AF9" s="83">
        <v>1</v>
      </c>
      <c r="AG9" s="82" t="s">
        <v>532</v>
      </c>
      <c r="AH9" s="82" t="s">
        <v>529</v>
      </c>
      <c r="AI9" s="88" t="s">
        <v>538</v>
      </c>
      <c r="AJ9" s="89" t="s">
        <v>538</v>
      </c>
      <c r="AK9" s="90">
        <v>46023</v>
      </c>
      <c r="AL9" s="90">
        <v>46387</v>
      </c>
      <c r="AM9" s="89"/>
      <c r="AN9" s="89"/>
      <c r="AO9" s="89"/>
      <c r="AP9" s="91" t="s">
        <v>539</v>
      </c>
      <c r="AQ9" s="90" t="str" cm="1">
        <f t="array" ref="AQ9">IFERROR(DATE(2026, _xlfn.AGGREGATE(15, 6, (COLUMN(BY9:CJ9)-COLUMN(BY9)+1)/(BY9:CJ9&lt;&gt;0), 1), 1),"N/A")</f>
        <v>N/A</v>
      </c>
      <c r="AR9" s="90" t="str" cm="1">
        <f t="array" ref="AR9">IFERROR(EOMONTH(DATE(2026, _xlfn.AGGREGATE(14, 6, (COLUMN(BY9:CJ9)-COLUMN(BY9)+1)/(BY9:CJ9&lt;&gt;0), 1), 1), 0),"N/A")</f>
        <v>N/A</v>
      </c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2" t="s">
        <v>792</v>
      </c>
      <c r="BF9" s="82" t="s">
        <v>1021</v>
      </c>
      <c r="BG9" s="82" t="str">
        <f t="shared" si="0"/>
        <v>000</v>
      </c>
      <c r="BH9" s="88">
        <v>840107</v>
      </c>
      <c r="BI9" s="92" t="s">
        <v>74</v>
      </c>
      <c r="BJ9" s="93">
        <v>15000</v>
      </c>
      <c r="BK9" s="74">
        <v>0</v>
      </c>
      <c r="BL9" s="74">
        <v>0</v>
      </c>
      <c r="BM9" s="74">
        <v>0</v>
      </c>
      <c r="BN9" s="74">
        <v>0</v>
      </c>
      <c r="BO9" s="74">
        <v>0</v>
      </c>
      <c r="BP9" s="74">
        <v>0</v>
      </c>
      <c r="BQ9" s="74">
        <v>0</v>
      </c>
      <c r="BR9" s="94">
        <v>15000</v>
      </c>
      <c r="BS9" s="74">
        <v>0</v>
      </c>
      <c r="BT9" s="74">
        <v>0</v>
      </c>
      <c r="BU9" s="74">
        <v>0</v>
      </c>
      <c r="BV9" s="143">
        <v>0</v>
      </c>
      <c r="BW9" s="143">
        <v>-15000</v>
      </c>
      <c r="BX9" s="143">
        <f t="shared" si="5"/>
        <v>0</v>
      </c>
      <c r="BY9" s="74">
        <v>0</v>
      </c>
      <c r="BZ9" s="74">
        <v>0</v>
      </c>
      <c r="CA9" s="74">
        <v>0</v>
      </c>
      <c r="CB9" s="74">
        <v>0</v>
      </c>
      <c r="CC9" s="74">
        <v>0</v>
      </c>
      <c r="CD9" s="74">
        <v>0</v>
      </c>
      <c r="CE9" s="74">
        <v>0</v>
      </c>
      <c r="CF9" s="94">
        <v>0</v>
      </c>
      <c r="CG9" s="74">
        <v>0</v>
      </c>
      <c r="CH9" s="74">
        <v>0</v>
      </c>
      <c r="CI9" s="74">
        <v>0</v>
      </c>
      <c r="CJ9" s="143">
        <v>0</v>
      </c>
      <c r="CK9" s="143"/>
      <c r="CL9" s="142">
        <f t="shared" si="1"/>
        <v>0</v>
      </c>
      <c r="CM9" s="171">
        <v>0</v>
      </c>
      <c r="CN9" s="171">
        <v>0</v>
      </c>
      <c r="CO9" s="171">
        <v>0</v>
      </c>
      <c r="CP9" s="171">
        <v>0</v>
      </c>
      <c r="CQ9" s="171">
        <v>0</v>
      </c>
      <c r="CR9" s="171">
        <v>0</v>
      </c>
      <c r="CS9" s="171">
        <f t="shared" si="2"/>
        <v>0</v>
      </c>
      <c r="CT9" s="171">
        <f t="shared" si="3"/>
        <v>0</v>
      </c>
      <c r="CU9" s="171">
        <f t="shared" si="4"/>
        <v>0</v>
      </c>
      <c r="CV9" s="149"/>
      <c r="CW9" s="149"/>
      <c r="CX9" s="130"/>
      <c r="CY9" s="130"/>
      <c r="CZ9" s="130"/>
      <c r="DA9" s="130"/>
      <c r="DB9" s="130"/>
      <c r="DC9" s="130"/>
      <c r="DD9" s="130"/>
      <c r="DE9" s="130"/>
      <c r="DF9" s="130"/>
      <c r="DG9" s="130"/>
      <c r="DH9" s="130"/>
      <c r="DI9" s="130"/>
      <c r="DJ9" s="130"/>
      <c r="DK9" s="130"/>
      <c r="DL9" s="130"/>
      <c r="DM9" s="130"/>
      <c r="DN9" s="130"/>
      <c r="DO9" s="130"/>
      <c r="DP9" s="130"/>
      <c r="DQ9" s="130"/>
      <c r="DR9" s="130"/>
      <c r="DS9" s="130"/>
      <c r="DT9" s="130"/>
      <c r="DU9" s="130"/>
      <c r="DV9" s="130"/>
      <c r="DW9" s="130"/>
      <c r="DX9" s="130"/>
      <c r="DY9" s="130"/>
      <c r="DZ9" s="130"/>
      <c r="EA9" s="130"/>
      <c r="EB9" s="130"/>
      <c r="EC9" s="130"/>
      <c r="ED9" s="130"/>
      <c r="EE9" s="130"/>
      <c r="EF9" s="130"/>
      <c r="EG9" s="130"/>
      <c r="EH9" s="130"/>
      <c r="EI9" s="130"/>
      <c r="EJ9" s="130"/>
      <c r="EK9" s="130"/>
      <c r="EL9" s="130"/>
      <c r="EM9" s="130"/>
      <c r="EN9" s="130"/>
      <c r="EO9" s="130"/>
      <c r="EP9" s="130"/>
      <c r="EQ9" s="130"/>
      <c r="ER9" s="130"/>
      <c r="ES9" s="130"/>
      <c r="ET9" s="130"/>
      <c r="EU9" s="130"/>
      <c r="EV9" s="130"/>
      <c r="EW9" s="130"/>
      <c r="EX9" s="130"/>
      <c r="EY9" s="130"/>
      <c r="EZ9" s="130"/>
      <c r="FA9" s="130"/>
      <c r="FB9" s="201"/>
      <c r="FC9" s="201"/>
      <c r="FD9" s="201"/>
      <c r="FE9" s="201"/>
      <c r="FF9" s="201"/>
      <c r="FG9" s="201"/>
      <c r="FH9" s="201"/>
      <c r="FI9" s="201"/>
      <c r="FJ9" s="201"/>
      <c r="FK9" s="201"/>
      <c r="FL9" s="201"/>
      <c r="FM9" s="201"/>
      <c r="FN9" s="201"/>
      <c r="FO9" s="201"/>
      <c r="FP9" s="201"/>
      <c r="FQ9" s="201"/>
      <c r="FR9" s="201"/>
      <c r="FS9" s="201"/>
      <c r="FT9" s="201"/>
      <c r="FU9" s="201"/>
      <c r="FV9" s="201"/>
      <c r="FW9" s="201"/>
      <c r="FX9" s="201"/>
      <c r="FY9" s="201"/>
      <c r="FZ9" s="201"/>
      <c r="GA9" s="201"/>
      <c r="GB9" s="201"/>
      <c r="GC9" s="201"/>
      <c r="GD9" s="201"/>
      <c r="GE9" s="201"/>
      <c r="GF9" s="201"/>
      <c r="GG9" s="201"/>
      <c r="GH9" s="201"/>
      <c r="GI9" s="201"/>
      <c r="GJ9" s="201"/>
      <c r="GK9" s="201"/>
      <c r="GL9" s="201"/>
      <c r="GM9" s="201"/>
      <c r="GN9" s="201"/>
      <c r="GO9" s="201"/>
      <c r="GP9" s="201"/>
      <c r="GQ9" s="201"/>
    </row>
    <row r="10" spans="1:204" s="68" customFormat="1" ht="14.45" customHeight="1" x14ac:dyDescent="0.25">
      <c r="A10" s="68" t="s">
        <v>693</v>
      </c>
      <c r="B10" s="82" t="s">
        <v>154</v>
      </c>
      <c r="C10" s="82" t="s">
        <v>172</v>
      </c>
      <c r="D10" s="82" t="s">
        <v>196</v>
      </c>
      <c r="E10" s="82" t="s">
        <v>309</v>
      </c>
      <c r="F10" s="82" t="s">
        <v>549</v>
      </c>
      <c r="G10" s="82" t="s">
        <v>137</v>
      </c>
      <c r="H10" s="82" t="s">
        <v>137</v>
      </c>
      <c r="I10" s="82" t="s">
        <v>66</v>
      </c>
      <c r="J10" s="82" t="s">
        <v>29</v>
      </c>
      <c r="K10" s="92" t="s">
        <v>137</v>
      </c>
      <c r="L10" s="92" t="s">
        <v>137</v>
      </c>
      <c r="M10" s="92" t="s">
        <v>137</v>
      </c>
      <c r="N10" s="92" t="s">
        <v>137</v>
      </c>
      <c r="O10" s="92" t="s">
        <v>137</v>
      </c>
      <c r="P10" s="92" t="s">
        <v>137</v>
      </c>
      <c r="Q10" s="82" t="s">
        <v>87</v>
      </c>
      <c r="R10" s="82" t="s">
        <v>714</v>
      </c>
      <c r="S10" s="82" t="s">
        <v>40</v>
      </c>
      <c r="T10" s="82" t="s">
        <v>2</v>
      </c>
      <c r="U10" s="83"/>
      <c r="V10" s="83">
        <v>0.05</v>
      </c>
      <c r="W10" s="83">
        <v>0.08</v>
      </c>
      <c r="X10" s="83">
        <v>0.15</v>
      </c>
      <c r="Y10" s="83">
        <v>0.2</v>
      </c>
      <c r="Z10" s="83">
        <v>0.25</v>
      </c>
      <c r="AA10" s="83">
        <v>0.37</v>
      </c>
      <c r="AB10" s="83">
        <v>0.42</v>
      </c>
      <c r="AC10" s="83">
        <v>0.57999999999999996</v>
      </c>
      <c r="AD10" s="83">
        <v>0.67</v>
      </c>
      <c r="AE10" s="83">
        <v>0.83</v>
      </c>
      <c r="AF10" s="83">
        <v>1</v>
      </c>
      <c r="AG10" s="82" t="s">
        <v>532</v>
      </c>
      <c r="AH10" s="82" t="s">
        <v>529</v>
      </c>
      <c r="AI10" s="88" t="s">
        <v>538</v>
      </c>
      <c r="AJ10" s="89" t="s">
        <v>538</v>
      </c>
      <c r="AK10" s="90">
        <v>46023</v>
      </c>
      <c r="AL10" s="90">
        <v>46387</v>
      </c>
      <c r="AM10" s="89"/>
      <c r="AN10" s="89"/>
      <c r="AO10" s="89"/>
      <c r="AP10" s="91" t="s">
        <v>539</v>
      </c>
      <c r="AQ10" s="90" t="str" cm="1">
        <f t="array" ref="AQ10">IFERROR(DATE(2026, _xlfn.AGGREGATE(15, 6, (COLUMN(BY10:CJ10)-COLUMN(BY10)+1)/(BY10:CJ10&lt;&gt;0), 1), 1),"N/A")</f>
        <v>N/A</v>
      </c>
      <c r="AR10" s="90" t="str" cm="1">
        <f t="array" ref="AR10">IFERROR(EOMONTH(DATE(2026, _xlfn.AGGREGATE(14, 6, (COLUMN(BY10:CJ10)-COLUMN(BY10)+1)/(BY10:CJ10&lt;&gt;0), 1), 1), 0),"N/A")</f>
        <v>N/A</v>
      </c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2" t="s">
        <v>588</v>
      </c>
      <c r="BF10" s="82" t="s">
        <v>927</v>
      </c>
      <c r="BG10" s="82" t="str">
        <f t="shared" si="0"/>
        <v>000</v>
      </c>
      <c r="BH10" s="88">
        <v>530243</v>
      </c>
      <c r="BI10" s="92" t="s">
        <v>74</v>
      </c>
      <c r="BJ10" s="93">
        <v>3500</v>
      </c>
      <c r="BK10" s="74">
        <v>0</v>
      </c>
      <c r="BL10" s="74">
        <v>0</v>
      </c>
      <c r="BM10" s="74">
        <v>0</v>
      </c>
      <c r="BN10" s="74">
        <v>0</v>
      </c>
      <c r="BO10" s="94">
        <v>3500</v>
      </c>
      <c r="BP10" s="74">
        <v>0</v>
      </c>
      <c r="BQ10" s="74">
        <v>0</v>
      </c>
      <c r="BR10" s="74">
        <v>0</v>
      </c>
      <c r="BS10" s="74">
        <v>0</v>
      </c>
      <c r="BT10" s="74">
        <v>0</v>
      </c>
      <c r="BU10" s="74">
        <v>0</v>
      </c>
      <c r="BV10" s="143">
        <v>0</v>
      </c>
      <c r="BW10" s="143">
        <v>-3500</v>
      </c>
      <c r="BX10" s="143">
        <f t="shared" si="5"/>
        <v>0</v>
      </c>
      <c r="BY10" s="74">
        <v>0</v>
      </c>
      <c r="BZ10" s="74">
        <v>0</v>
      </c>
      <c r="CA10" s="74">
        <v>0</v>
      </c>
      <c r="CB10" s="74">
        <v>0</v>
      </c>
      <c r="CC10" s="94">
        <v>0</v>
      </c>
      <c r="CD10" s="74">
        <v>0</v>
      </c>
      <c r="CE10" s="74">
        <v>0</v>
      </c>
      <c r="CF10" s="74">
        <v>0</v>
      </c>
      <c r="CG10" s="74">
        <v>0</v>
      </c>
      <c r="CH10" s="74">
        <v>0</v>
      </c>
      <c r="CI10" s="74">
        <v>0</v>
      </c>
      <c r="CJ10" s="143">
        <v>0</v>
      </c>
      <c r="CK10" s="143"/>
      <c r="CL10" s="142">
        <f t="shared" si="1"/>
        <v>0</v>
      </c>
      <c r="CM10" s="171">
        <v>0</v>
      </c>
      <c r="CN10" s="171">
        <v>0</v>
      </c>
      <c r="CO10" s="171">
        <v>0</v>
      </c>
      <c r="CP10" s="171">
        <v>0</v>
      </c>
      <c r="CQ10" s="171">
        <v>0</v>
      </c>
      <c r="CR10" s="171">
        <v>0</v>
      </c>
      <c r="CS10" s="171">
        <f t="shared" si="2"/>
        <v>0</v>
      </c>
      <c r="CT10" s="171">
        <f t="shared" si="3"/>
        <v>0</v>
      </c>
      <c r="CU10" s="171">
        <f t="shared" si="4"/>
        <v>0</v>
      </c>
      <c r="CV10" s="150">
        <v>3500</v>
      </c>
      <c r="CW10" s="150">
        <v>0</v>
      </c>
      <c r="CX10" s="130">
        <v>1</v>
      </c>
      <c r="CY10" s="130">
        <v>0</v>
      </c>
      <c r="CZ10" s="130"/>
      <c r="DA10" s="130"/>
      <c r="DB10" s="130"/>
      <c r="DC10" s="130"/>
      <c r="DD10" s="130"/>
      <c r="DE10" s="131">
        <v>46098</v>
      </c>
      <c r="DF10" s="131">
        <v>46098</v>
      </c>
      <c r="DG10" s="132">
        <v>1</v>
      </c>
      <c r="DH10" s="131">
        <v>46099</v>
      </c>
      <c r="DI10" s="131">
        <v>46099</v>
      </c>
      <c r="DJ10" s="131">
        <v>46099</v>
      </c>
      <c r="DK10" s="131">
        <v>46100</v>
      </c>
      <c r="DL10" s="131">
        <v>46101</v>
      </c>
      <c r="DM10" s="131">
        <v>46104</v>
      </c>
      <c r="DN10" s="131">
        <v>46105</v>
      </c>
      <c r="DO10" s="131">
        <v>46106</v>
      </c>
      <c r="DP10" s="131">
        <v>46107</v>
      </c>
      <c r="DQ10" s="131">
        <v>46107</v>
      </c>
      <c r="DR10" s="132">
        <v>1</v>
      </c>
      <c r="DS10" s="131">
        <v>46108</v>
      </c>
      <c r="DT10" s="131">
        <v>46111</v>
      </c>
      <c r="DU10" s="131">
        <v>46112</v>
      </c>
      <c r="DV10" s="131">
        <v>46113</v>
      </c>
      <c r="DW10" s="131">
        <v>46113</v>
      </c>
      <c r="DX10" s="131">
        <v>46114</v>
      </c>
      <c r="DY10" s="131">
        <v>46114</v>
      </c>
      <c r="DZ10" s="132"/>
      <c r="EA10" s="132"/>
      <c r="EB10" s="132"/>
      <c r="EC10" s="132"/>
      <c r="ED10" s="131">
        <v>46115</v>
      </c>
      <c r="EE10" s="131">
        <v>46118</v>
      </c>
      <c r="EF10" s="131">
        <v>46118</v>
      </c>
      <c r="EG10" s="131"/>
      <c r="EH10" s="131"/>
      <c r="EI10" s="131"/>
      <c r="EJ10" s="131">
        <v>46118</v>
      </c>
      <c r="EK10" s="131">
        <v>46122</v>
      </c>
      <c r="EL10" s="132">
        <v>18</v>
      </c>
      <c r="EM10" s="133"/>
      <c r="EN10" s="133"/>
      <c r="EO10" s="133"/>
      <c r="EP10" s="133"/>
      <c r="EQ10" s="133"/>
      <c r="ER10" s="133"/>
      <c r="ES10" s="133"/>
      <c r="ET10" s="133"/>
      <c r="EU10" s="133"/>
      <c r="EV10" s="134"/>
      <c r="EW10" s="133">
        <v>46122</v>
      </c>
      <c r="EX10" s="133"/>
      <c r="EY10" s="135" t="s">
        <v>854</v>
      </c>
      <c r="EZ10" s="132" t="s">
        <v>855</v>
      </c>
      <c r="FA10" s="136" t="s">
        <v>869</v>
      </c>
      <c r="FB10" s="202" t="e">
        <v>#NUM!</v>
      </c>
      <c r="FC10" s="202" t="e">
        <v>#NUM!</v>
      </c>
      <c r="FD10" s="202" t="e">
        <v>#NUM!</v>
      </c>
      <c r="FE10" s="202" t="e">
        <v>#NUM!</v>
      </c>
      <c r="FF10" s="202" t="e">
        <v>#NUM!</v>
      </c>
      <c r="FG10" s="202" t="e">
        <v>#NUM!</v>
      </c>
      <c r="FH10" s="202" t="e">
        <v>#NUM!</v>
      </c>
      <c r="FI10" s="202" t="e">
        <v>#NUM!</v>
      </c>
      <c r="FJ10" s="202" t="e">
        <v>#NUM!</v>
      </c>
      <c r="FK10" s="202" t="e">
        <v>#NUM!</v>
      </c>
      <c r="FL10" s="202" t="e">
        <v>#NUM!</v>
      </c>
      <c r="FM10" s="202" t="e">
        <v>#NUM!</v>
      </c>
      <c r="FN10" s="202" t="e">
        <v>#NUM!</v>
      </c>
      <c r="FO10" s="202" t="e">
        <v>#NUM!</v>
      </c>
      <c r="FP10" s="202" t="e">
        <v>#NUM!</v>
      </c>
      <c r="FQ10" s="202" t="e">
        <v>#NUM!</v>
      </c>
      <c r="FR10" s="202" t="e">
        <v>#NUM!</v>
      </c>
      <c r="FS10" s="202" t="e">
        <v>#NUM!</v>
      </c>
      <c r="FT10" s="202" t="e">
        <v>#NUM!</v>
      </c>
      <c r="FU10" s="202"/>
      <c r="FV10" s="202"/>
      <c r="FW10" s="202"/>
      <c r="FX10" s="202"/>
      <c r="FY10" s="202" t="e">
        <v>#NUM!</v>
      </c>
      <c r="FZ10" s="202" t="e">
        <v>#NUM!</v>
      </c>
      <c r="GA10" s="202" t="e">
        <v>#NUM!</v>
      </c>
      <c r="GB10" s="202"/>
      <c r="GC10" s="202"/>
      <c r="GD10" s="202"/>
      <c r="GE10" s="202" t="e">
        <v>#NUM!</v>
      </c>
      <c r="GF10" s="202"/>
      <c r="GG10" s="202">
        <v>18</v>
      </c>
      <c r="GH10" s="202"/>
      <c r="GI10" s="202"/>
      <c r="GJ10" s="202"/>
      <c r="GK10" s="202"/>
      <c r="GL10" s="202"/>
      <c r="GM10" s="202"/>
      <c r="GN10" s="202"/>
      <c r="GO10" s="202"/>
      <c r="GP10" s="202"/>
      <c r="GQ10" s="202"/>
      <c r="GR10" s="189"/>
      <c r="GS10" s="189"/>
      <c r="GT10" s="189"/>
      <c r="GU10" s="189"/>
      <c r="GV10" s="189" t="s">
        <v>1160</v>
      </c>
    </row>
    <row r="11" spans="1:204" s="68" customFormat="1" ht="14.45" customHeight="1" x14ac:dyDescent="0.25">
      <c r="A11" s="68" t="s">
        <v>693</v>
      </c>
      <c r="B11" s="82" t="s">
        <v>154</v>
      </c>
      <c r="C11" s="82" t="s">
        <v>172</v>
      </c>
      <c r="D11" s="82" t="s">
        <v>196</v>
      </c>
      <c r="E11" s="82" t="s">
        <v>309</v>
      </c>
      <c r="F11" s="82" t="s">
        <v>549</v>
      </c>
      <c r="G11" s="82" t="s">
        <v>137</v>
      </c>
      <c r="H11" s="82" t="s">
        <v>137</v>
      </c>
      <c r="I11" s="82" t="s">
        <v>66</v>
      </c>
      <c r="J11" s="82" t="s">
        <v>29</v>
      </c>
      <c r="K11" s="92" t="s">
        <v>137</v>
      </c>
      <c r="L11" s="92" t="s">
        <v>137</v>
      </c>
      <c r="M11" s="92" t="s">
        <v>137</v>
      </c>
      <c r="N11" s="92" t="s">
        <v>137</v>
      </c>
      <c r="O11" s="92" t="s">
        <v>137</v>
      </c>
      <c r="P11" s="92" t="s">
        <v>137</v>
      </c>
      <c r="Q11" s="82" t="s">
        <v>87</v>
      </c>
      <c r="R11" s="82" t="s">
        <v>714</v>
      </c>
      <c r="S11" s="82" t="s">
        <v>40</v>
      </c>
      <c r="T11" s="82" t="s">
        <v>2</v>
      </c>
      <c r="U11" s="83"/>
      <c r="V11" s="83">
        <v>0.05</v>
      </c>
      <c r="W11" s="83">
        <v>0.08</v>
      </c>
      <c r="X11" s="83">
        <v>0.15</v>
      </c>
      <c r="Y11" s="83">
        <v>0.2</v>
      </c>
      <c r="Z11" s="83">
        <v>0.25</v>
      </c>
      <c r="AA11" s="83">
        <v>0.37</v>
      </c>
      <c r="AB11" s="83">
        <v>0.42</v>
      </c>
      <c r="AC11" s="83">
        <v>0.57999999999999996</v>
      </c>
      <c r="AD11" s="83">
        <v>0.67</v>
      </c>
      <c r="AE11" s="83">
        <v>0.83</v>
      </c>
      <c r="AF11" s="83">
        <v>1</v>
      </c>
      <c r="AG11" s="82" t="s">
        <v>532</v>
      </c>
      <c r="AH11" s="82" t="s">
        <v>529</v>
      </c>
      <c r="AI11" s="88" t="s">
        <v>538</v>
      </c>
      <c r="AJ11" s="89" t="s">
        <v>538</v>
      </c>
      <c r="AK11" s="90">
        <v>46023</v>
      </c>
      <c r="AL11" s="90">
        <v>46387</v>
      </c>
      <c r="AM11" s="89"/>
      <c r="AN11" s="89"/>
      <c r="AO11" s="89"/>
      <c r="AP11" s="91" t="s">
        <v>539</v>
      </c>
      <c r="AQ11" s="90" t="str" cm="1">
        <f t="array" ref="AQ11">IFERROR(DATE(2026, _xlfn.AGGREGATE(15, 6, (COLUMN(BY11:CJ11)-COLUMN(BY11)+1)/(BY11:CJ11&lt;&gt;0), 1), 1),"N/A")</f>
        <v>N/A</v>
      </c>
      <c r="AR11" s="90" t="str" cm="1">
        <f t="array" ref="AR11">IFERROR(EOMONTH(DATE(2026, _xlfn.AGGREGATE(14, 6, (COLUMN(BY11:CJ11)-COLUMN(BY11)+1)/(BY11:CJ11&lt;&gt;0), 1), 1), 0),"N/A")</f>
        <v>N/A</v>
      </c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2" t="s">
        <v>588</v>
      </c>
      <c r="BF11" s="82" t="s">
        <v>928</v>
      </c>
      <c r="BG11" s="82" t="str">
        <f t="shared" si="0"/>
        <v>000</v>
      </c>
      <c r="BH11" s="88">
        <v>530704</v>
      </c>
      <c r="BI11" s="92" t="s">
        <v>74</v>
      </c>
      <c r="BJ11" s="93">
        <v>1000</v>
      </c>
      <c r="BK11" s="74">
        <v>0</v>
      </c>
      <c r="BL11" s="74">
        <v>0</v>
      </c>
      <c r="BM11" s="74">
        <v>0</v>
      </c>
      <c r="BN11" s="74">
        <v>0</v>
      </c>
      <c r="BO11" s="74">
        <v>0</v>
      </c>
      <c r="BP11" s="94">
        <v>1000</v>
      </c>
      <c r="BQ11" s="74">
        <v>0</v>
      </c>
      <c r="BR11" s="74">
        <v>0</v>
      </c>
      <c r="BS11" s="74">
        <v>0</v>
      </c>
      <c r="BT11" s="74">
        <v>0</v>
      </c>
      <c r="BU11" s="74">
        <v>0</v>
      </c>
      <c r="BV11" s="143">
        <v>0</v>
      </c>
      <c r="BW11" s="143">
        <v>-1000</v>
      </c>
      <c r="BX11" s="143">
        <f t="shared" si="5"/>
        <v>0</v>
      </c>
      <c r="BY11" s="74">
        <v>0</v>
      </c>
      <c r="BZ11" s="74">
        <v>0</v>
      </c>
      <c r="CA11" s="74">
        <v>0</v>
      </c>
      <c r="CB11" s="74">
        <v>0</v>
      </c>
      <c r="CC11" s="74">
        <v>0</v>
      </c>
      <c r="CD11" s="94">
        <v>0</v>
      </c>
      <c r="CE11" s="74">
        <v>0</v>
      </c>
      <c r="CF11" s="74">
        <v>0</v>
      </c>
      <c r="CG11" s="74">
        <v>0</v>
      </c>
      <c r="CH11" s="74">
        <v>0</v>
      </c>
      <c r="CI11" s="74">
        <v>0</v>
      </c>
      <c r="CJ11" s="143">
        <v>0</v>
      </c>
      <c r="CK11" s="143"/>
      <c r="CL11" s="142">
        <f t="shared" si="1"/>
        <v>0</v>
      </c>
      <c r="CM11" s="171">
        <v>0</v>
      </c>
      <c r="CN11" s="171">
        <v>0</v>
      </c>
      <c r="CO11" s="171">
        <v>0</v>
      </c>
      <c r="CP11" s="171">
        <v>0</v>
      </c>
      <c r="CQ11" s="171">
        <v>0</v>
      </c>
      <c r="CR11" s="171">
        <v>0</v>
      </c>
      <c r="CS11" s="171">
        <f t="shared" si="2"/>
        <v>0</v>
      </c>
      <c r="CT11" s="171">
        <f t="shared" si="3"/>
        <v>0</v>
      </c>
      <c r="CU11" s="171">
        <f t="shared" si="4"/>
        <v>0</v>
      </c>
      <c r="CV11" s="150">
        <v>1000</v>
      </c>
      <c r="CW11" s="150">
        <v>3500</v>
      </c>
      <c r="CX11" s="130">
        <v>1</v>
      </c>
      <c r="CY11" s="130">
        <v>1</v>
      </c>
      <c r="CZ11" s="130"/>
      <c r="DA11" s="130"/>
      <c r="DB11" s="130"/>
      <c r="DC11" s="130"/>
      <c r="DD11" s="130"/>
      <c r="DE11" s="131">
        <v>46098</v>
      </c>
      <c r="DF11" s="131">
        <v>46098</v>
      </c>
      <c r="DG11" s="132">
        <v>1</v>
      </c>
      <c r="DH11" s="131">
        <v>46099</v>
      </c>
      <c r="DI11" s="131">
        <v>46099</v>
      </c>
      <c r="DJ11" s="131">
        <v>46099</v>
      </c>
      <c r="DK11" s="131">
        <v>46100</v>
      </c>
      <c r="DL11" s="131">
        <v>46101</v>
      </c>
      <c r="DM11" s="131">
        <v>46104</v>
      </c>
      <c r="DN11" s="131">
        <v>46105</v>
      </c>
      <c r="DO11" s="131">
        <v>46106</v>
      </c>
      <c r="DP11" s="131">
        <v>46107</v>
      </c>
      <c r="DQ11" s="131">
        <v>46107</v>
      </c>
      <c r="DR11" s="132">
        <v>1</v>
      </c>
      <c r="DS11" s="131">
        <v>46108</v>
      </c>
      <c r="DT11" s="131">
        <v>46111</v>
      </c>
      <c r="DU11" s="131">
        <v>46112</v>
      </c>
      <c r="DV11" s="131">
        <v>46113</v>
      </c>
      <c r="DW11" s="131">
        <v>46113</v>
      </c>
      <c r="DX11" s="131">
        <v>46114</v>
      </c>
      <c r="DY11" s="131">
        <v>46114</v>
      </c>
      <c r="DZ11" s="132"/>
      <c r="EA11" s="132"/>
      <c r="EB11" s="132"/>
      <c r="EC11" s="132"/>
      <c r="ED11" s="131">
        <v>46115</v>
      </c>
      <c r="EE11" s="131">
        <v>46118</v>
      </c>
      <c r="EF11" s="131">
        <v>46118</v>
      </c>
      <c r="EG11" s="131"/>
      <c r="EH11" s="131"/>
      <c r="EI11" s="131"/>
      <c r="EJ11" s="131">
        <v>46118</v>
      </c>
      <c r="EK11" s="131">
        <v>46122</v>
      </c>
      <c r="EL11" s="132">
        <v>18</v>
      </c>
      <c r="EM11" s="133"/>
      <c r="EN11" s="133"/>
      <c r="EO11" s="133"/>
      <c r="EP11" s="133"/>
      <c r="EQ11" s="133"/>
      <c r="ER11" s="133"/>
      <c r="ES11" s="133"/>
      <c r="ET11" s="133"/>
      <c r="EU11" s="133"/>
      <c r="EV11" s="134"/>
      <c r="EW11" s="133">
        <v>46122</v>
      </c>
      <c r="EX11" s="133"/>
      <c r="EY11" s="135" t="s">
        <v>854</v>
      </c>
      <c r="EZ11" s="132" t="s">
        <v>855</v>
      </c>
      <c r="FA11" s="136" t="s">
        <v>869</v>
      </c>
      <c r="FB11" s="203">
        <v>46098</v>
      </c>
      <c r="FC11" s="203">
        <v>46098</v>
      </c>
      <c r="FD11" s="203">
        <v>46099</v>
      </c>
      <c r="FE11" s="203">
        <v>46099</v>
      </c>
      <c r="FF11" s="203">
        <v>46099</v>
      </c>
      <c r="FG11" s="203">
        <v>46100</v>
      </c>
      <c r="FH11" s="203">
        <v>46101</v>
      </c>
      <c r="FI11" s="203">
        <v>46104</v>
      </c>
      <c r="FJ11" s="203">
        <v>46105</v>
      </c>
      <c r="FK11" s="203">
        <v>46106</v>
      </c>
      <c r="FL11" s="203">
        <v>46107</v>
      </c>
      <c r="FM11" s="203">
        <v>46107</v>
      </c>
      <c r="FN11" s="203">
        <v>46108</v>
      </c>
      <c r="FO11" s="203">
        <v>46111</v>
      </c>
      <c r="FP11" s="203">
        <v>46112</v>
      </c>
      <c r="FQ11" s="203">
        <v>46113</v>
      </c>
      <c r="FR11" s="203">
        <v>46113</v>
      </c>
      <c r="FS11" s="203">
        <v>46114</v>
      </c>
      <c r="FT11" s="203">
        <v>46114</v>
      </c>
      <c r="FU11" s="203"/>
      <c r="FV11" s="203"/>
      <c r="FW11" s="203"/>
      <c r="FX11" s="203"/>
      <c r="FY11" s="203">
        <v>46115</v>
      </c>
      <c r="FZ11" s="203">
        <v>46118</v>
      </c>
      <c r="GA11" s="203">
        <v>46118</v>
      </c>
      <c r="GB11" s="203"/>
      <c r="GC11" s="203"/>
      <c r="GD11" s="203"/>
      <c r="GE11" s="203">
        <v>46118</v>
      </c>
      <c r="GF11" s="203">
        <v>46122</v>
      </c>
      <c r="GG11" s="203">
        <v>18</v>
      </c>
      <c r="GH11" s="203"/>
      <c r="GI11" s="203"/>
      <c r="GJ11" s="203"/>
      <c r="GK11" s="203"/>
      <c r="GL11" s="203"/>
      <c r="GM11" s="203"/>
      <c r="GN11" s="203"/>
      <c r="GO11" s="203"/>
      <c r="GP11" s="203"/>
      <c r="GQ11" s="203">
        <v>46122</v>
      </c>
      <c r="GR11" s="187"/>
      <c r="GS11" s="187" t="s">
        <v>1181</v>
      </c>
      <c r="GT11" s="187" t="s">
        <v>854</v>
      </c>
      <c r="GU11" s="187" t="s">
        <v>855</v>
      </c>
      <c r="GV11" s="187" t="s">
        <v>1162</v>
      </c>
    </row>
    <row r="12" spans="1:204" s="68" customFormat="1" ht="14.45" customHeight="1" x14ac:dyDescent="0.25">
      <c r="A12" s="68" t="s">
        <v>693</v>
      </c>
      <c r="B12" s="82" t="s">
        <v>154</v>
      </c>
      <c r="C12" s="82" t="s">
        <v>172</v>
      </c>
      <c r="D12" s="82" t="s">
        <v>196</v>
      </c>
      <c r="E12" s="82" t="s">
        <v>309</v>
      </c>
      <c r="F12" s="82" t="s">
        <v>549</v>
      </c>
      <c r="G12" s="82" t="s">
        <v>137</v>
      </c>
      <c r="H12" s="82" t="s">
        <v>137</v>
      </c>
      <c r="I12" s="82" t="s">
        <v>66</v>
      </c>
      <c r="J12" s="82" t="s">
        <v>29</v>
      </c>
      <c r="K12" s="92" t="s">
        <v>137</v>
      </c>
      <c r="L12" s="92" t="s">
        <v>137</v>
      </c>
      <c r="M12" s="92" t="s">
        <v>137</v>
      </c>
      <c r="N12" s="92" t="s">
        <v>137</v>
      </c>
      <c r="O12" s="92" t="s">
        <v>137</v>
      </c>
      <c r="P12" s="92" t="s">
        <v>137</v>
      </c>
      <c r="Q12" s="82" t="s">
        <v>87</v>
      </c>
      <c r="R12" s="82" t="s">
        <v>714</v>
      </c>
      <c r="S12" s="82" t="s">
        <v>40</v>
      </c>
      <c r="T12" s="82" t="s">
        <v>2</v>
      </c>
      <c r="U12" s="83"/>
      <c r="V12" s="83">
        <v>0.05</v>
      </c>
      <c r="W12" s="83">
        <v>0.08</v>
      </c>
      <c r="X12" s="83">
        <v>0.15</v>
      </c>
      <c r="Y12" s="83">
        <v>0.2</v>
      </c>
      <c r="Z12" s="83">
        <v>0.25</v>
      </c>
      <c r="AA12" s="83">
        <v>0.37</v>
      </c>
      <c r="AB12" s="83">
        <v>0.42</v>
      </c>
      <c r="AC12" s="83">
        <v>0.57999999999999996</v>
      </c>
      <c r="AD12" s="83">
        <v>0.67</v>
      </c>
      <c r="AE12" s="83">
        <v>0.83</v>
      </c>
      <c r="AF12" s="83">
        <v>1</v>
      </c>
      <c r="AG12" s="82" t="s">
        <v>532</v>
      </c>
      <c r="AH12" s="82" t="s">
        <v>529</v>
      </c>
      <c r="AI12" s="88" t="s">
        <v>538</v>
      </c>
      <c r="AJ12" s="89" t="s">
        <v>538</v>
      </c>
      <c r="AK12" s="90">
        <v>46023</v>
      </c>
      <c r="AL12" s="90">
        <v>46387</v>
      </c>
      <c r="AM12" s="89"/>
      <c r="AN12" s="89"/>
      <c r="AO12" s="89"/>
      <c r="AP12" s="91" t="s">
        <v>539</v>
      </c>
      <c r="AQ12" s="90" t="str" cm="1">
        <f t="array" ref="AQ12">IFERROR(DATE(2026, _xlfn.AGGREGATE(15, 6, (COLUMN(BY12:CJ12)-COLUMN(BY12)+1)/(BY12:CJ12&lt;&gt;0), 1), 1),"N/A")</f>
        <v>N/A</v>
      </c>
      <c r="AR12" s="90" t="str" cm="1">
        <f t="array" ref="AR12">IFERROR(EOMONTH(DATE(2026, _xlfn.AGGREGATE(14, 6, (COLUMN(BY12:CJ12)-COLUMN(BY12)+1)/(BY12:CJ12&lt;&gt;0), 1), 1), 0),"N/A")</f>
        <v>N/A</v>
      </c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2" t="s">
        <v>596</v>
      </c>
      <c r="BF12" s="82" t="s">
        <v>929</v>
      </c>
      <c r="BG12" s="82" t="str">
        <f t="shared" si="0"/>
        <v>000</v>
      </c>
      <c r="BH12" s="88">
        <v>530243</v>
      </c>
      <c r="BI12" s="92" t="s">
        <v>74</v>
      </c>
      <c r="BJ12" s="93">
        <v>3500</v>
      </c>
      <c r="BK12" s="74">
        <v>0</v>
      </c>
      <c r="BL12" s="74">
        <v>0</v>
      </c>
      <c r="BM12" s="74">
        <v>0</v>
      </c>
      <c r="BN12" s="74">
        <v>0</v>
      </c>
      <c r="BO12" s="74">
        <v>0</v>
      </c>
      <c r="BP12" s="94">
        <v>3500</v>
      </c>
      <c r="BQ12" s="74">
        <v>0</v>
      </c>
      <c r="BR12" s="74">
        <v>0</v>
      </c>
      <c r="BS12" s="74">
        <v>0</v>
      </c>
      <c r="BT12" s="74">
        <v>0</v>
      </c>
      <c r="BU12" s="74">
        <v>0</v>
      </c>
      <c r="BV12" s="143">
        <v>0</v>
      </c>
      <c r="BW12" s="143">
        <v>-3500</v>
      </c>
      <c r="BX12" s="143">
        <f t="shared" si="5"/>
        <v>0</v>
      </c>
      <c r="BY12" s="74">
        <v>0</v>
      </c>
      <c r="BZ12" s="74">
        <v>0</v>
      </c>
      <c r="CA12" s="74">
        <v>0</v>
      </c>
      <c r="CB12" s="74">
        <v>0</v>
      </c>
      <c r="CC12" s="74">
        <v>0</v>
      </c>
      <c r="CD12" s="94">
        <v>0</v>
      </c>
      <c r="CE12" s="74">
        <v>0</v>
      </c>
      <c r="CF12" s="74">
        <v>0</v>
      </c>
      <c r="CG12" s="74">
        <v>0</v>
      </c>
      <c r="CH12" s="74">
        <v>0</v>
      </c>
      <c r="CI12" s="74">
        <v>0</v>
      </c>
      <c r="CJ12" s="143">
        <v>0</v>
      </c>
      <c r="CK12" s="143"/>
      <c r="CL12" s="142">
        <f t="shared" si="1"/>
        <v>0</v>
      </c>
      <c r="CM12" s="171">
        <v>0</v>
      </c>
      <c r="CN12" s="171">
        <v>0</v>
      </c>
      <c r="CO12" s="171">
        <v>0</v>
      </c>
      <c r="CP12" s="171">
        <v>0</v>
      </c>
      <c r="CQ12" s="171">
        <v>0</v>
      </c>
      <c r="CR12" s="171">
        <v>0</v>
      </c>
      <c r="CS12" s="171">
        <f t="shared" si="2"/>
        <v>0</v>
      </c>
      <c r="CT12" s="171">
        <f t="shared" si="3"/>
        <v>0</v>
      </c>
      <c r="CU12" s="171">
        <f t="shared" si="4"/>
        <v>0</v>
      </c>
      <c r="CV12" s="150">
        <v>4500</v>
      </c>
      <c r="CW12" s="150"/>
      <c r="CX12" s="130">
        <v>1</v>
      </c>
      <c r="CY12" s="130"/>
      <c r="CZ12" s="130"/>
      <c r="DA12" s="130"/>
      <c r="DB12" s="130"/>
      <c r="DC12" s="130"/>
      <c r="DD12" s="130"/>
      <c r="DE12" s="131">
        <v>46093</v>
      </c>
      <c r="DF12" s="131">
        <v>46093</v>
      </c>
      <c r="DG12" s="132">
        <v>1</v>
      </c>
      <c r="DH12" s="131">
        <v>46094</v>
      </c>
      <c r="DI12" s="131">
        <v>46094</v>
      </c>
      <c r="DJ12" s="131">
        <v>46094</v>
      </c>
      <c r="DK12" s="131">
        <v>46097</v>
      </c>
      <c r="DL12" s="131">
        <v>46098</v>
      </c>
      <c r="DM12" s="131">
        <v>46099</v>
      </c>
      <c r="DN12" s="131">
        <v>46100</v>
      </c>
      <c r="DO12" s="131">
        <v>46101</v>
      </c>
      <c r="DP12" s="131">
        <v>46104</v>
      </c>
      <c r="DQ12" s="131">
        <v>46104</v>
      </c>
      <c r="DR12" s="132">
        <v>1</v>
      </c>
      <c r="DS12" s="131">
        <v>46105</v>
      </c>
      <c r="DT12" s="131">
        <v>46106</v>
      </c>
      <c r="DU12" s="131">
        <v>46107</v>
      </c>
      <c r="DV12" s="131">
        <v>46108</v>
      </c>
      <c r="DW12" s="131">
        <v>46108</v>
      </c>
      <c r="DX12" s="131">
        <v>46111</v>
      </c>
      <c r="DY12" s="131">
        <v>46111</v>
      </c>
      <c r="DZ12" s="132"/>
      <c r="EA12" s="132"/>
      <c r="EB12" s="132"/>
      <c r="EC12" s="132"/>
      <c r="ED12" s="131">
        <v>46112</v>
      </c>
      <c r="EE12" s="131">
        <v>46113</v>
      </c>
      <c r="EF12" s="131">
        <v>46113</v>
      </c>
      <c r="EG12" s="131"/>
      <c r="EH12" s="131"/>
      <c r="EI12" s="131"/>
      <c r="EJ12" s="131">
        <v>46113</v>
      </c>
      <c r="EK12" s="131">
        <v>46119</v>
      </c>
      <c r="EL12" s="133"/>
      <c r="EM12" s="133"/>
      <c r="EN12" s="133"/>
      <c r="EO12" s="133"/>
      <c r="EP12" s="133"/>
      <c r="EQ12" s="133"/>
      <c r="ER12" s="133"/>
      <c r="ES12" s="133"/>
      <c r="ET12" s="133"/>
      <c r="EU12" s="134"/>
      <c r="EV12" s="133">
        <v>46119</v>
      </c>
      <c r="EW12" s="133"/>
      <c r="EX12" s="135" t="s">
        <v>854</v>
      </c>
      <c r="EY12" s="132" t="s">
        <v>855</v>
      </c>
      <c r="EZ12" s="136" t="s">
        <v>870</v>
      </c>
      <c r="FA12" s="130"/>
      <c r="FB12" s="201"/>
      <c r="FC12" s="201"/>
      <c r="FD12" s="201"/>
      <c r="FE12" s="201"/>
      <c r="FF12" s="201"/>
      <c r="FG12" s="201"/>
      <c r="FH12" s="201"/>
      <c r="FI12" s="201"/>
      <c r="FJ12" s="201"/>
      <c r="FK12" s="201"/>
      <c r="FL12" s="201"/>
      <c r="FM12" s="201"/>
      <c r="FN12" s="201"/>
      <c r="FO12" s="201"/>
      <c r="FP12" s="201"/>
      <c r="FQ12" s="201"/>
      <c r="FR12" s="201"/>
      <c r="FS12" s="201"/>
      <c r="FT12" s="201"/>
      <c r="FU12" s="201"/>
      <c r="FV12" s="201"/>
      <c r="FW12" s="201"/>
      <c r="FX12" s="201"/>
      <c r="FY12" s="201"/>
      <c r="FZ12" s="201"/>
      <c r="GA12" s="201"/>
      <c r="GB12" s="201"/>
      <c r="GC12" s="201"/>
      <c r="GD12" s="201"/>
      <c r="GE12" s="201"/>
      <c r="GF12" s="201"/>
      <c r="GG12" s="201"/>
      <c r="GH12" s="201"/>
      <c r="GI12" s="201"/>
      <c r="GJ12" s="201"/>
      <c r="GK12" s="201"/>
      <c r="GL12" s="201"/>
      <c r="GM12" s="201"/>
      <c r="GN12" s="201"/>
      <c r="GO12" s="201"/>
      <c r="GP12" s="201"/>
      <c r="GQ12" s="201"/>
    </row>
    <row r="13" spans="1:204" s="68" customFormat="1" ht="14.45" customHeight="1" x14ac:dyDescent="0.25">
      <c r="A13" s="68" t="s">
        <v>693</v>
      </c>
      <c r="B13" s="82" t="s">
        <v>154</v>
      </c>
      <c r="C13" s="82" t="s">
        <v>172</v>
      </c>
      <c r="D13" s="82" t="s">
        <v>196</v>
      </c>
      <c r="E13" s="82" t="s">
        <v>309</v>
      </c>
      <c r="F13" s="82" t="s">
        <v>549</v>
      </c>
      <c r="G13" s="82" t="s">
        <v>137</v>
      </c>
      <c r="H13" s="82" t="s">
        <v>137</v>
      </c>
      <c r="I13" s="82" t="s">
        <v>66</v>
      </c>
      <c r="J13" s="82" t="s">
        <v>29</v>
      </c>
      <c r="K13" s="92" t="s">
        <v>137</v>
      </c>
      <c r="L13" s="92" t="s">
        <v>137</v>
      </c>
      <c r="M13" s="92" t="s">
        <v>137</v>
      </c>
      <c r="N13" s="92" t="s">
        <v>137</v>
      </c>
      <c r="O13" s="92" t="s">
        <v>137</v>
      </c>
      <c r="P13" s="92" t="s">
        <v>137</v>
      </c>
      <c r="Q13" s="82" t="s">
        <v>87</v>
      </c>
      <c r="R13" s="82" t="s">
        <v>714</v>
      </c>
      <c r="S13" s="82" t="s">
        <v>40</v>
      </c>
      <c r="T13" s="82" t="s">
        <v>2</v>
      </c>
      <c r="U13" s="83"/>
      <c r="V13" s="83">
        <v>0.05</v>
      </c>
      <c r="W13" s="83">
        <v>0.08</v>
      </c>
      <c r="X13" s="83">
        <v>0.15</v>
      </c>
      <c r="Y13" s="83">
        <v>0.2</v>
      </c>
      <c r="Z13" s="83">
        <v>0.25</v>
      </c>
      <c r="AA13" s="83">
        <v>0.37</v>
      </c>
      <c r="AB13" s="83">
        <v>0.42</v>
      </c>
      <c r="AC13" s="83">
        <v>0.57999999999999996</v>
      </c>
      <c r="AD13" s="83">
        <v>0.67</v>
      </c>
      <c r="AE13" s="83">
        <v>0.83</v>
      </c>
      <c r="AF13" s="83">
        <v>1</v>
      </c>
      <c r="AG13" s="82" t="s">
        <v>532</v>
      </c>
      <c r="AH13" s="82" t="s">
        <v>529</v>
      </c>
      <c r="AI13" s="88" t="s">
        <v>538</v>
      </c>
      <c r="AJ13" s="89" t="s">
        <v>538</v>
      </c>
      <c r="AK13" s="90">
        <v>46023</v>
      </c>
      <c r="AL13" s="90">
        <v>46387</v>
      </c>
      <c r="AM13" s="89"/>
      <c r="AN13" s="89"/>
      <c r="AO13" s="89"/>
      <c r="AP13" s="91" t="s">
        <v>539</v>
      </c>
      <c r="AQ13" s="90" t="str" cm="1">
        <f t="array" ref="AQ13">IFERROR(DATE(2026, _xlfn.AGGREGATE(15, 6, (COLUMN(BY13:CJ13)-COLUMN(BY13)+1)/(BY13:CJ13&lt;&gt;0), 1), 1),"N/A")</f>
        <v>N/A</v>
      </c>
      <c r="AR13" s="90" t="str" cm="1">
        <f t="array" ref="AR13">IFERROR(EOMONTH(DATE(2026, _xlfn.AGGREGATE(14, 6, (COLUMN(BY13:CJ13)-COLUMN(BY13)+1)/(BY13:CJ13&lt;&gt;0), 1), 1), 0),"N/A")</f>
        <v>N/A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2" t="s">
        <v>596</v>
      </c>
      <c r="BF13" s="82" t="s">
        <v>930</v>
      </c>
      <c r="BG13" s="82" t="str">
        <f t="shared" si="0"/>
        <v>000</v>
      </c>
      <c r="BH13" s="88">
        <v>530404</v>
      </c>
      <c r="BI13" s="92" t="s">
        <v>74</v>
      </c>
      <c r="BJ13" s="93">
        <v>1500</v>
      </c>
      <c r="BK13" s="74">
        <v>0</v>
      </c>
      <c r="BL13" s="74">
        <v>0</v>
      </c>
      <c r="BM13" s="74">
        <v>0</v>
      </c>
      <c r="BN13" s="74">
        <v>0</v>
      </c>
      <c r="BO13" s="74">
        <v>0</v>
      </c>
      <c r="BP13" s="94">
        <v>1500</v>
      </c>
      <c r="BQ13" s="74">
        <v>0</v>
      </c>
      <c r="BR13" s="74">
        <v>0</v>
      </c>
      <c r="BS13" s="74">
        <v>0</v>
      </c>
      <c r="BT13" s="74">
        <v>0</v>
      </c>
      <c r="BU13" s="74">
        <v>0</v>
      </c>
      <c r="BV13" s="143">
        <v>0</v>
      </c>
      <c r="BW13" s="143">
        <v>-1500</v>
      </c>
      <c r="BX13" s="143">
        <f t="shared" si="5"/>
        <v>0</v>
      </c>
      <c r="BY13" s="74">
        <v>0</v>
      </c>
      <c r="BZ13" s="74">
        <v>0</v>
      </c>
      <c r="CA13" s="74">
        <v>0</v>
      </c>
      <c r="CB13" s="74">
        <v>0</v>
      </c>
      <c r="CC13" s="74">
        <v>0</v>
      </c>
      <c r="CD13" s="94">
        <v>0</v>
      </c>
      <c r="CE13" s="74">
        <v>0</v>
      </c>
      <c r="CF13" s="74">
        <v>0</v>
      </c>
      <c r="CG13" s="74">
        <v>0</v>
      </c>
      <c r="CH13" s="74">
        <v>0</v>
      </c>
      <c r="CI13" s="74">
        <v>0</v>
      </c>
      <c r="CJ13" s="143">
        <v>0</v>
      </c>
      <c r="CK13" s="143"/>
      <c r="CL13" s="142">
        <f t="shared" si="1"/>
        <v>0</v>
      </c>
      <c r="CM13" s="171">
        <v>0</v>
      </c>
      <c r="CN13" s="171">
        <v>0</v>
      </c>
      <c r="CO13" s="171">
        <v>0</v>
      </c>
      <c r="CP13" s="171">
        <v>0</v>
      </c>
      <c r="CQ13" s="171">
        <v>0</v>
      </c>
      <c r="CR13" s="171">
        <v>0</v>
      </c>
      <c r="CS13" s="171">
        <f t="shared" si="2"/>
        <v>0</v>
      </c>
      <c r="CT13" s="171">
        <f t="shared" si="3"/>
        <v>0</v>
      </c>
      <c r="CU13" s="171">
        <f t="shared" si="4"/>
        <v>0</v>
      </c>
      <c r="CV13" s="149"/>
      <c r="CW13" s="149">
        <v>0</v>
      </c>
      <c r="CX13" s="130"/>
      <c r="CY13" s="130">
        <v>0</v>
      </c>
      <c r="CZ13" s="130"/>
      <c r="DA13" s="130"/>
      <c r="DB13" s="130"/>
      <c r="DC13" s="130"/>
      <c r="DD13" s="130"/>
      <c r="DE13" s="130"/>
      <c r="DF13" s="130"/>
      <c r="DG13" s="130"/>
      <c r="DH13" s="130"/>
      <c r="DI13" s="130"/>
      <c r="DJ13" s="130"/>
      <c r="DK13" s="130"/>
      <c r="DL13" s="130"/>
      <c r="DM13" s="130"/>
      <c r="DN13" s="130"/>
      <c r="DO13" s="130"/>
      <c r="DP13" s="130"/>
      <c r="DQ13" s="130"/>
      <c r="DR13" s="130"/>
      <c r="DS13" s="130"/>
      <c r="DT13" s="130"/>
      <c r="DU13" s="130"/>
      <c r="DV13" s="130"/>
      <c r="DW13" s="130"/>
      <c r="DX13" s="130"/>
      <c r="DY13" s="130"/>
      <c r="DZ13" s="130"/>
      <c r="EA13" s="130"/>
      <c r="EB13" s="130"/>
      <c r="EC13" s="130"/>
      <c r="ED13" s="130"/>
      <c r="EE13" s="130"/>
      <c r="EF13" s="130"/>
      <c r="EG13" s="130"/>
      <c r="EH13" s="130"/>
      <c r="EI13" s="130"/>
      <c r="EJ13" s="130"/>
      <c r="EK13" s="130"/>
      <c r="EL13" s="130"/>
      <c r="EM13" s="130"/>
      <c r="EN13" s="130"/>
      <c r="EO13" s="130"/>
      <c r="EP13" s="130"/>
      <c r="EQ13" s="130"/>
      <c r="ER13" s="130"/>
      <c r="ES13" s="130"/>
      <c r="ET13" s="130"/>
      <c r="EU13" s="130"/>
      <c r="EV13" s="130"/>
      <c r="EW13" s="130"/>
      <c r="EX13" s="130"/>
      <c r="EY13" s="130"/>
      <c r="EZ13" s="130"/>
      <c r="FA13" s="130"/>
      <c r="FB13" s="204" t="e">
        <v>#NUM!</v>
      </c>
      <c r="FC13" s="204" t="e">
        <v>#NUM!</v>
      </c>
      <c r="FD13" s="204" t="e">
        <v>#NUM!</v>
      </c>
      <c r="FE13" s="204" t="e">
        <v>#NUM!</v>
      </c>
      <c r="FF13" s="204" t="e">
        <v>#NUM!</v>
      </c>
      <c r="FG13" s="204" t="e">
        <v>#NUM!</v>
      </c>
      <c r="FH13" s="204" t="e">
        <v>#NUM!</v>
      </c>
      <c r="FI13" s="204" t="e">
        <v>#NUM!</v>
      </c>
      <c r="FJ13" s="204" t="e">
        <v>#NUM!</v>
      </c>
      <c r="FK13" s="204" t="e">
        <v>#NUM!</v>
      </c>
      <c r="FL13" s="204" t="e">
        <v>#NUM!</v>
      </c>
      <c r="FM13" s="204" t="e">
        <v>#NUM!</v>
      </c>
      <c r="FN13" s="204" t="e">
        <v>#NUM!</v>
      </c>
      <c r="FO13" s="204" t="e">
        <v>#NUM!</v>
      </c>
      <c r="FP13" s="204" t="e">
        <v>#NUM!</v>
      </c>
      <c r="FQ13" s="204" t="e">
        <v>#NUM!</v>
      </c>
      <c r="FR13" s="204" t="e">
        <v>#NUM!</v>
      </c>
      <c r="FS13" s="204" t="e">
        <v>#NUM!</v>
      </c>
      <c r="FT13" s="204" t="e">
        <v>#NUM!</v>
      </c>
      <c r="FU13" s="204"/>
      <c r="FV13" s="204"/>
      <c r="FW13" s="204"/>
      <c r="FX13" s="204"/>
      <c r="FY13" s="204" t="e">
        <v>#NUM!</v>
      </c>
      <c r="FZ13" s="204" t="e">
        <v>#NUM!</v>
      </c>
      <c r="GA13" s="204" t="e">
        <v>#NUM!</v>
      </c>
      <c r="GB13" s="204"/>
      <c r="GC13" s="204"/>
      <c r="GD13" s="204"/>
      <c r="GE13" s="204" t="e">
        <v>#NUM!</v>
      </c>
      <c r="GF13" s="204"/>
      <c r="GG13" s="204">
        <v>18</v>
      </c>
      <c r="GH13" s="204"/>
      <c r="GI13" s="204"/>
      <c r="GJ13" s="204"/>
      <c r="GK13" s="204"/>
      <c r="GL13" s="204"/>
      <c r="GM13" s="204"/>
      <c r="GN13" s="204"/>
      <c r="GO13" s="204"/>
      <c r="GP13" s="204"/>
      <c r="GQ13" s="204"/>
      <c r="GR13" s="195"/>
      <c r="GS13" s="195"/>
      <c r="GT13" s="195"/>
      <c r="GU13" s="195"/>
      <c r="GV13" s="195" t="s">
        <v>1160</v>
      </c>
    </row>
    <row r="14" spans="1:204" s="68" customFormat="1" ht="14.45" customHeight="1" x14ac:dyDescent="0.25">
      <c r="A14" s="68" t="s">
        <v>693</v>
      </c>
      <c r="B14" s="82" t="s">
        <v>154</v>
      </c>
      <c r="C14" s="82" t="s">
        <v>172</v>
      </c>
      <c r="D14" s="82" t="s">
        <v>196</v>
      </c>
      <c r="E14" s="82" t="s">
        <v>309</v>
      </c>
      <c r="F14" s="82" t="s">
        <v>549</v>
      </c>
      <c r="G14" s="82" t="s">
        <v>137</v>
      </c>
      <c r="H14" s="82" t="s">
        <v>137</v>
      </c>
      <c r="I14" s="82" t="s">
        <v>66</v>
      </c>
      <c r="J14" s="82" t="s">
        <v>29</v>
      </c>
      <c r="K14" s="92" t="s">
        <v>137</v>
      </c>
      <c r="L14" s="92" t="s">
        <v>137</v>
      </c>
      <c r="M14" s="92" t="s">
        <v>137</v>
      </c>
      <c r="N14" s="92" t="s">
        <v>137</v>
      </c>
      <c r="O14" s="92" t="s">
        <v>137</v>
      </c>
      <c r="P14" s="92" t="s">
        <v>137</v>
      </c>
      <c r="Q14" s="82" t="s">
        <v>87</v>
      </c>
      <c r="R14" s="82" t="s">
        <v>714</v>
      </c>
      <c r="S14" s="82" t="s">
        <v>40</v>
      </c>
      <c r="T14" s="82" t="s">
        <v>2</v>
      </c>
      <c r="U14" s="83"/>
      <c r="V14" s="83">
        <v>0.05</v>
      </c>
      <c r="W14" s="83">
        <v>0.08</v>
      </c>
      <c r="X14" s="83">
        <v>0.15</v>
      </c>
      <c r="Y14" s="83">
        <v>0.2</v>
      </c>
      <c r="Z14" s="83">
        <v>0.25</v>
      </c>
      <c r="AA14" s="83">
        <v>0.37</v>
      </c>
      <c r="AB14" s="83">
        <v>0.42</v>
      </c>
      <c r="AC14" s="83">
        <v>0.57999999999999996</v>
      </c>
      <c r="AD14" s="83">
        <v>0.67</v>
      </c>
      <c r="AE14" s="83">
        <v>0.83</v>
      </c>
      <c r="AF14" s="83">
        <v>1</v>
      </c>
      <c r="AG14" s="82" t="s">
        <v>532</v>
      </c>
      <c r="AH14" s="82" t="s">
        <v>529</v>
      </c>
      <c r="AI14" s="88" t="s">
        <v>538</v>
      </c>
      <c r="AJ14" s="89" t="s">
        <v>538</v>
      </c>
      <c r="AK14" s="90">
        <v>46023</v>
      </c>
      <c r="AL14" s="90">
        <v>46387</v>
      </c>
      <c r="AM14" s="89"/>
      <c r="AN14" s="89"/>
      <c r="AO14" s="89"/>
      <c r="AP14" s="91" t="s">
        <v>539</v>
      </c>
      <c r="AQ14" s="90" t="str" cm="1">
        <f t="array" ref="AQ14">IFERROR(DATE(2026, _xlfn.AGGREGATE(15, 6, (COLUMN(BY14:CJ14)-COLUMN(BY14)+1)/(BY14:CJ14&lt;&gt;0), 1), 1),"N/A")</f>
        <v>N/A</v>
      </c>
      <c r="AR14" s="90" t="str" cm="1">
        <f t="array" ref="AR14">IFERROR(EOMONTH(DATE(2026, _xlfn.AGGREGATE(14, 6, (COLUMN(BY14:CJ14)-COLUMN(BY14)+1)/(BY14:CJ14&lt;&gt;0), 1), 1), 0),"N/A")</f>
        <v>N/A</v>
      </c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2" t="s">
        <v>610</v>
      </c>
      <c r="BF14" s="82" t="s">
        <v>924</v>
      </c>
      <c r="BG14" s="82" t="str">
        <f t="shared" si="0"/>
        <v>000</v>
      </c>
      <c r="BH14" s="88">
        <v>531406</v>
      </c>
      <c r="BI14" s="92" t="s">
        <v>74</v>
      </c>
      <c r="BJ14" s="93">
        <v>3383.88</v>
      </c>
      <c r="BK14" s="74">
        <v>0</v>
      </c>
      <c r="BL14" s="74">
        <v>0</v>
      </c>
      <c r="BM14" s="74">
        <v>0</v>
      </c>
      <c r="BN14" s="74">
        <v>0</v>
      </c>
      <c r="BO14" s="94">
        <v>3383.88</v>
      </c>
      <c r="BP14" s="74">
        <v>0</v>
      </c>
      <c r="BQ14" s="74">
        <v>0</v>
      </c>
      <c r="BR14" s="74">
        <v>0</v>
      </c>
      <c r="BS14" s="74">
        <v>0</v>
      </c>
      <c r="BT14" s="74">
        <v>0</v>
      </c>
      <c r="BU14" s="74">
        <v>0</v>
      </c>
      <c r="BV14" s="143">
        <v>0</v>
      </c>
      <c r="BW14" s="143">
        <v>-3383.88</v>
      </c>
      <c r="BX14" s="143">
        <f t="shared" si="5"/>
        <v>0</v>
      </c>
      <c r="BY14" s="74">
        <v>0</v>
      </c>
      <c r="BZ14" s="74">
        <v>0</v>
      </c>
      <c r="CA14" s="74">
        <v>0</v>
      </c>
      <c r="CB14" s="74">
        <v>0</v>
      </c>
      <c r="CC14" s="94">
        <v>0</v>
      </c>
      <c r="CD14" s="74">
        <v>0</v>
      </c>
      <c r="CE14" s="74">
        <v>0</v>
      </c>
      <c r="CF14" s="74">
        <v>0</v>
      </c>
      <c r="CG14" s="74">
        <v>0</v>
      </c>
      <c r="CH14" s="74">
        <v>0</v>
      </c>
      <c r="CI14" s="74">
        <v>0</v>
      </c>
      <c r="CJ14" s="143">
        <v>0</v>
      </c>
      <c r="CK14" s="143"/>
      <c r="CL14" s="142">
        <f t="shared" si="1"/>
        <v>0</v>
      </c>
      <c r="CM14" s="171">
        <v>0</v>
      </c>
      <c r="CN14" s="171">
        <v>0</v>
      </c>
      <c r="CO14" s="171">
        <v>0</v>
      </c>
      <c r="CP14" s="171">
        <v>0</v>
      </c>
      <c r="CQ14" s="171">
        <v>0</v>
      </c>
      <c r="CR14" s="171">
        <v>0</v>
      </c>
      <c r="CS14" s="171">
        <f t="shared" si="2"/>
        <v>0</v>
      </c>
      <c r="CT14" s="171">
        <f t="shared" si="3"/>
        <v>0</v>
      </c>
      <c r="CU14" s="171">
        <f t="shared" si="4"/>
        <v>0</v>
      </c>
      <c r="CV14" s="149"/>
      <c r="CW14" s="68">
        <v>0</v>
      </c>
      <c r="CX14" s="130"/>
      <c r="CY14" s="130">
        <v>0</v>
      </c>
      <c r="CZ14" s="130"/>
      <c r="DA14" s="130"/>
      <c r="DB14" s="130"/>
      <c r="DC14" s="130"/>
      <c r="DD14" s="130"/>
      <c r="DE14" s="131">
        <v>46127</v>
      </c>
      <c r="DF14" s="131">
        <v>46127</v>
      </c>
      <c r="DG14" s="132">
        <v>1</v>
      </c>
      <c r="DH14" s="131">
        <v>46128</v>
      </c>
      <c r="DI14" s="131">
        <v>46128</v>
      </c>
      <c r="DJ14" s="131">
        <v>46128</v>
      </c>
      <c r="DK14" s="131">
        <v>46129</v>
      </c>
      <c r="DL14" s="131">
        <v>46132</v>
      </c>
      <c r="DM14" s="131">
        <v>46133</v>
      </c>
      <c r="DN14" s="131">
        <v>46134</v>
      </c>
      <c r="DO14" s="131">
        <v>46135</v>
      </c>
      <c r="DP14" s="131">
        <v>46136</v>
      </c>
      <c r="DQ14" s="131">
        <v>46136</v>
      </c>
      <c r="DR14" s="132">
        <v>1</v>
      </c>
      <c r="DS14" s="131">
        <v>46139</v>
      </c>
      <c r="DT14" s="131">
        <v>46140</v>
      </c>
      <c r="DU14" s="131">
        <v>46141</v>
      </c>
      <c r="DV14" s="131">
        <v>46142</v>
      </c>
      <c r="DW14" s="131">
        <v>46142</v>
      </c>
      <c r="DX14" s="131">
        <v>46143</v>
      </c>
      <c r="DY14" s="131">
        <v>46143</v>
      </c>
      <c r="DZ14" s="132"/>
      <c r="EA14" s="132"/>
      <c r="EB14" s="132"/>
      <c r="EC14" s="132"/>
      <c r="ED14" s="131">
        <v>46146</v>
      </c>
      <c r="EE14" s="131">
        <v>46147</v>
      </c>
      <c r="EF14" s="131">
        <v>46147</v>
      </c>
      <c r="EG14" s="131"/>
      <c r="EH14" s="131"/>
      <c r="EI14" s="131"/>
      <c r="EJ14" s="131">
        <v>46147</v>
      </c>
      <c r="EK14" s="131">
        <v>46152</v>
      </c>
      <c r="EL14" s="132">
        <v>18</v>
      </c>
      <c r="EM14" s="133"/>
      <c r="EN14" s="133"/>
      <c r="EO14" s="133"/>
      <c r="EP14" s="133"/>
      <c r="EQ14" s="133"/>
      <c r="ER14" s="133"/>
      <c r="ES14" s="133"/>
      <c r="ET14" s="133"/>
      <c r="EU14" s="133"/>
      <c r="EV14" s="134"/>
      <c r="EW14" s="133">
        <v>46152</v>
      </c>
      <c r="EX14" s="133"/>
      <c r="EY14" s="135" t="s">
        <v>854</v>
      </c>
      <c r="EZ14" s="132" t="s">
        <v>876</v>
      </c>
      <c r="FA14" s="190"/>
      <c r="FB14" s="202" t="e">
        <v>#NUM!</v>
      </c>
      <c r="FC14" s="202" t="e">
        <v>#NUM!</v>
      </c>
      <c r="FD14" s="202" t="e">
        <v>#NUM!</v>
      </c>
      <c r="FE14" s="202" t="e">
        <v>#NUM!</v>
      </c>
      <c r="FF14" s="202" t="e">
        <v>#NUM!</v>
      </c>
      <c r="FG14" s="202" t="e">
        <v>#NUM!</v>
      </c>
      <c r="FH14" s="202" t="e">
        <v>#NUM!</v>
      </c>
      <c r="FI14" s="202" t="e">
        <v>#NUM!</v>
      </c>
      <c r="FJ14" s="202" t="e">
        <v>#NUM!</v>
      </c>
      <c r="FK14" s="202" t="e">
        <v>#NUM!</v>
      </c>
      <c r="FL14" s="202" t="e">
        <v>#NUM!</v>
      </c>
      <c r="FM14" s="202" t="e">
        <v>#NUM!</v>
      </c>
      <c r="FN14" s="202" t="e">
        <v>#NUM!</v>
      </c>
      <c r="FO14" s="202" t="e">
        <v>#NUM!</v>
      </c>
      <c r="FP14" s="202" t="e">
        <v>#NUM!</v>
      </c>
      <c r="FQ14" s="202" t="e">
        <v>#NUM!</v>
      </c>
      <c r="FR14" s="202" t="e">
        <v>#NUM!</v>
      </c>
      <c r="FS14" s="202" t="e">
        <v>#NUM!</v>
      </c>
      <c r="FT14" s="202" t="e">
        <v>#NUM!</v>
      </c>
      <c r="FU14" s="202"/>
      <c r="FV14" s="202"/>
      <c r="FW14" s="202"/>
      <c r="FX14" s="202"/>
      <c r="FY14" s="202" t="e">
        <v>#NUM!</v>
      </c>
      <c r="FZ14" s="202" t="e">
        <v>#NUM!</v>
      </c>
      <c r="GA14" s="202" t="e">
        <v>#NUM!</v>
      </c>
      <c r="GB14" s="202"/>
      <c r="GC14" s="202"/>
      <c r="GD14" s="202"/>
      <c r="GE14" s="202" t="e">
        <v>#NUM!</v>
      </c>
      <c r="GF14" s="202"/>
      <c r="GG14" s="202">
        <v>18</v>
      </c>
      <c r="GH14" s="202"/>
      <c r="GI14" s="202"/>
      <c r="GJ14" s="202"/>
      <c r="GK14" s="202"/>
      <c r="GL14" s="202"/>
      <c r="GM14" s="202"/>
      <c r="GN14" s="202"/>
      <c r="GO14" s="202"/>
      <c r="GP14" s="202"/>
      <c r="GQ14" s="202"/>
      <c r="GR14" s="189"/>
      <c r="GS14" s="189"/>
      <c r="GT14" s="189"/>
      <c r="GU14" s="189"/>
      <c r="GV14" s="189" t="s">
        <v>1160</v>
      </c>
    </row>
    <row r="15" spans="1:204" s="68" customFormat="1" ht="14.45" customHeight="1" x14ac:dyDescent="0.25">
      <c r="A15" s="68" t="s">
        <v>693</v>
      </c>
      <c r="B15" s="82" t="s">
        <v>154</v>
      </c>
      <c r="C15" s="82" t="s">
        <v>172</v>
      </c>
      <c r="D15" s="82" t="s">
        <v>196</v>
      </c>
      <c r="E15" s="82" t="s">
        <v>309</v>
      </c>
      <c r="F15" s="82" t="s">
        <v>549</v>
      </c>
      <c r="G15" s="82" t="s">
        <v>137</v>
      </c>
      <c r="H15" s="82" t="s">
        <v>137</v>
      </c>
      <c r="I15" s="82" t="s">
        <v>66</v>
      </c>
      <c r="J15" s="82" t="s">
        <v>29</v>
      </c>
      <c r="K15" s="92" t="s">
        <v>137</v>
      </c>
      <c r="L15" s="92" t="s">
        <v>137</v>
      </c>
      <c r="M15" s="92" t="s">
        <v>137</v>
      </c>
      <c r="N15" s="92" t="s">
        <v>137</v>
      </c>
      <c r="O15" s="92" t="s">
        <v>137</v>
      </c>
      <c r="P15" s="92" t="s">
        <v>137</v>
      </c>
      <c r="Q15" s="82" t="s">
        <v>87</v>
      </c>
      <c r="R15" s="82" t="s">
        <v>714</v>
      </c>
      <c r="S15" s="82" t="s">
        <v>40</v>
      </c>
      <c r="T15" s="82" t="s">
        <v>2</v>
      </c>
      <c r="U15" s="83"/>
      <c r="V15" s="83">
        <v>0.05</v>
      </c>
      <c r="W15" s="83">
        <v>0.08</v>
      </c>
      <c r="X15" s="83">
        <v>0.15</v>
      </c>
      <c r="Y15" s="83">
        <v>0.2</v>
      </c>
      <c r="Z15" s="83">
        <v>0.25</v>
      </c>
      <c r="AA15" s="83">
        <v>0.37</v>
      </c>
      <c r="AB15" s="83">
        <v>0.42</v>
      </c>
      <c r="AC15" s="83">
        <v>0.57999999999999996</v>
      </c>
      <c r="AD15" s="83">
        <v>0.67</v>
      </c>
      <c r="AE15" s="83">
        <v>0.83</v>
      </c>
      <c r="AF15" s="83">
        <v>1</v>
      </c>
      <c r="AG15" s="82" t="s">
        <v>532</v>
      </c>
      <c r="AH15" s="82" t="s">
        <v>529</v>
      </c>
      <c r="AI15" s="88" t="s">
        <v>538</v>
      </c>
      <c r="AJ15" s="89" t="s">
        <v>538</v>
      </c>
      <c r="AK15" s="90">
        <v>46023</v>
      </c>
      <c r="AL15" s="90">
        <v>46387</v>
      </c>
      <c r="AM15" s="89"/>
      <c r="AN15" s="89"/>
      <c r="AO15" s="89"/>
      <c r="AP15" s="91" t="s">
        <v>539</v>
      </c>
      <c r="AQ15" s="90" t="str" cm="1">
        <f t="array" ref="AQ15">IFERROR(DATE(2026, _xlfn.AGGREGATE(15, 6, (COLUMN(BY15:CJ15)-COLUMN(BY15)+1)/(BY15:CJ15&lt;&gt;0), 1), 1),"N/A")</f>
        <v>N/A</v>
      </c>
      <c r="AR15" s="90" t="str" cm="1">
        <f t="array" ref="AR15">IFERROR(EOMONTH(DATE(2026, _xlfn.AGGREGATE(14, 6, (COLUMN(BY15:CJ15)-COLUMN(BY15)+1)/(BY15:CJ15&lt;&gt;0), 1), 1), 0),"N/A")</f>
        <v>N/A</v>
      </c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2" t="s">
        <v>610</v>
      </c>
      <c r="BF15" s="82" t="s">
        <v>926</v>
      </c>
      <c r="BG15" s="82" t="str">
        <f t="shared" si="0"/>
        <v>000</v>
      </c>
      <c r="BH15" s="88">
        <v>531407</v>
      </c>
      <c r="BI15" s="92" t="s">
        <v>74</v>
      </c>
      <c r="BJ15" s="93">
        <v>3383.87</v>
      </c>
      <c r="BK15" s="74">
        <v>0</v>
      </c>
      <c r="BL15" s="74">
        <v>0</v>
      </c>
      <c r="BM15" s="74">
        <v>0</v>
      </c>
      <c r="BN15" s="74">
        <v>0</v>
      </c>
      <c r="BO15" s="94">
        <v>3383.87</v>
      </c>
      <c r="BP15" s="74">
        <v>0</v>
      </c>
      <c r="BQ15" s="74">
        <v>0</v>
      </c>
      <c r="BR15" s="74">
        <v>0</v>
      </c>
      <c r="BS15" s="74">
        <v>0</v>
      </c>
      <c r="BT15" s="74">
        <v>0</v>
      </c>
      <c r="BU15" s="74">
        <v>0</v>
      </c>
      <c r="BV15" s="143">
        <v>0</v>
      </c>
      <c r="BW15" s="143">
        <v>-3383.87</v>
      </c>
      <c r="BX15" s="143">
        <f t="shared" si="5"/>
        <v>0</v>
      </c>
      <c r="BY15" s="74">
        <v>0</v>
      </c>
      <c r="BZ15" s="74">
        <v>0</v>
      </c>
      <c r="CA15" s="74">
        <v>0</v>
      </c>
      <c r="CB15" s="74">
        <v>0</v>
      </c>
      <c r="CC15" s="94">
        <v>0</v>
      </c>
      <c r="CD15" s="74">
        <v>0</v>
      </c>
      <c r="CE15" s="74">
        <v>0</v>
      </c>
      <c r="CF15" s="74">
        <v>0</v>
      </c>
      <c r="CG15" s="74">
        <v>0</v>
      </c>
      <c r="CH15" s="74">
        <v>0</v>
      </c>
      <c r="CI15" s="74">
        <v>0</v>
      </c>
      <c r="CJ15" s="143">
        <v>0</v>
      </c>
      <c r="CK15" s="143"/>
      <c r="CL15" s="142">
        <f t="shared" si="1"/>
        <v>0</v>
      </c>
      <c r="CM15" s="171">
        <v>0</v>
      </c>
      <c r="CN15" s="171">
        <v>0</v>
      </c>
      <c r="CO15" s="171">
        <v>0</v>
      </c>
      <c r="CP15" s="171">
        <v>0</v>
      </c>
      <c r="CQ15" s="171">
        <v>0</v>
      </c>
      <c r="CR15" s="171">
        <v>0</v>
      </c>
      <c r="CS15" s="171">
        <f t="shared" si="2"/>
        <v>0</v>
      </c>
      <c r="CT15" s="171">
        <f t="shared" si="3"/>
        <v>0</v>
      </c>
      <c r="CU15" s="171">
        <f t="shared" si="4"/>
        <v>0</v>
      </c>
      <c r="CV15" s="149"/>
      <c r="CW15" s="149">
        <v>0</v>
      </c>
      <c r="CX15" s="130"/>
      <c r="CY15" s="130">
        <v>0</v>
      </c>
      <c r="CZ15" s="130"/>
      <c r="DA15" s="130"/>
      <c r="DB15" s="130"/>
      <c r="DC15" s="130"/>
      <c r="DD15" s="130"/>
      <c r="DE15" s="131">
        <v>46127</v>
      </c>
      <c r="DF15" s="131">
        <v>46127</v>
      </c>
      <c r="DG15" s="132">
        <v>1</v>
      </c>
      <c r="DH15" s="131">
        <v>46128</v>
      </c>
      <c r="DI15" s="131">
        <v>46128</v>
      </c>
      <c r="DJ15" s="131">
        <v>46128</v>
      </c>
      <c r="DK15" s="131">
        <v>46129</v>
      </c>
      <c r="DL15" s="131">
        <v>46132</v>
      </c>
      <c r="DM15" s="131">
        <v>46133</v>
      </c>
      <c r="DN15" s="131">
        <v>46134</v>
      </c>
      <c r="DO15" s="131">
        <v>46135</v>
      </c>
      <c r="DP15" s="131">
        <v>46136</v>
      </c>
      <c r="DQ15" s="131">
        <v>46136</v>
      </c>
      <c r="DR15" s="132">
        <v>1</v>
      </c>
      <c r="DS15" s="131">
        <v>46139</v>
      </c>
      <c r="DT15" s="131">
        <v>46140</v>
      </c>
      <c r="DU15" s="131">
        <v>46141</v>
      </c>
      <c r="DV15" s="131">
        <v>46142</v>
      </c>
      <c r="DW15" s="131">
        <v>46142</v>
      </c>
      <c r="DX15" s="131">
        <v>46143</v>
      </c>
      <c r="DY15" s="131">
        <v>46143</v>
      </c>
      <c r="DZ15" s="132"/>
      <c r="EA15" s="132"/>
      <c r="EB15" s="132"/>
      <c r="EC15" s="132"/>
      <c r="ED15" s="131">
        <v>46146</v>
      </c>
      <c r="EE15" s="131">
        <v>46147</v>
      </c>
      <c r="EF15" s="131">
        <v>46147</v>
      </c>
      <c r="EG15" s="131"/>
      <c r="EH15" s="131"/>
      <c r="EI15" s="131"/>
      <c r="EJ15" s="131">
        <v>46147</v>
      </c>
      <c r="EK15" s="131">
        <v>46152</v>
      </c>
      <c r="EL15" s="132">
        <v>18</v>
      </c>
      <c r="EM15" s="133"/>
      <c r="EN15" s="133"/>
      <c r="EO15" s="133"/>
      <c r="EP15" s="133"/>
      <c r="EQ15" s="133"/>
      <c r="ER15" s="133"/>
      <c r="ES15" s="133"/>
      <c r="ET15" s="133"/>
      <c r="EU15" s="133"/>
      <c r="EV15" s="134"/>
      <c r="EW15" s="133">
        <v>46152</v>
      </c>
      <c r="EX15" s="133"/>
      <c r="EY15" s="135" t="s">
        <v>854</v>
      </c>
      <c r="EZ15" s="132" t="s">
        <v>876</v>
      </c>
      <c r="FA15" s="192" t="s">
        <v>896</v>
      </c>
      <c r="FB15" s="202" t="e">
        <v>#NUM!</v>
      </c>
      <c r="FC15" s="202" t="e">
        <v>#NUM!</v>
      </c>
      <c r="FD15" s="202" t="e">
        <v>#NUM!</v>
      </c>
      <c r="FE15" s="202" t="e">
        <v>#NUM!</v>
      </c>
      <c r="FF15" s="202" t="e">
        <v>#NUM!</v>
      </c>
      <c r="FG15" s="202" t="e">
        <v>#NUM!</v>
      </c>
      <c r="FH15" s="202" t="e">
        <v>#NUM!</v>
      </c>
      <c r="FI15" s="202" t="e">
        <v>#NUM!</v>
      </c>
      <c r="FJ15" s="202" t="e">
        <v>#NUM!</v>
      </c>
      <c r="FK15" s="202" t="e">
        <v>#NUM!</v>
      </c>
      <c r="FL15" s="202" t="e">
        <v>#NUM!</v>
      </c>
      <c r="FM15" s="202" t="e">
        <v>#NUM!</v>
      </c>
      <c r="FN15" s="202" t="e">
        <v>#NUM!</v>
      </c>
      <c r="FO15" s="202" t="e">
        <v>#NUM!</v>
      </c>
      <c r="FP15" s="202" t="e">
        <v>#NUM!</v>
      </c>
      <c r="FQ15" s="202" t="e">
        <v>#NUM!</v>
      </c>
      <c r="FR15" s="202" t="e">
        <v>#NUM!</v>
      </c>
      <c r="FS15" s="202" t="e">
        <v>#NUM!</v>
      </c>
      <c r="FT15" s="202" t="e">
        <v>#NUM!</v>
      </c>
      <c r="FU15" s="202"/>
      <c r="FV15" s="202"/>
      <c r="FW15" s="202"/>
      <c r="FX15" s="202"/>
      <c r="FY15" s="202" t="e">
        <v>#NUM!</v>
      </c>
      <c r="FZ15" s="202" t="e">
        <v>#NUM!</v>
      </c>
      <c r="GA15" s="202" t="e">
        <v>#NUM!</v>
      </c>
      <c r="GB15" s="202"/>
      <c r="GC15" s="202"/>
      <c r="GD15" s="202"/>
      <c r="GE15" s="202" t="e">
        <v>#NUM!</v>
      </c>
      <c r="GF15" s="202"/>
      <c r="GG15" s="202">
        <v>18</v>
      </c>
      <c r="GH15" s="202"/>
      <c r="GI15" s="202"/>
      <c r="GJ15" s="202"/>
      <c r="GK15" s="202"/>
      <c r="GL15" s="202"/>
      <c r="GM15" s="202"/>
      <c r="GN15" s="202"/>
      <c r="GO15" s="202"/>
      <c r="GP15" s="202"/>
      <c r="GQ15" s="202"/>
      <c r="GR15" s="189"/>
      <c r="GS15" s="189"/>
      <c r="GT15" s="189"/>
      <c r="GU15" s="189"/>
      <c r="GV15" s="189" t="s">
        <v>1160</v>
      </c>
    </row>
    <row r="16" spans="1:204" s="68" customFormat="1" ht="14.45" customHeight="1" x14ac:dyDescent="0.25">
      <c r="A16" s="68" t="s">
        <v>693</v>
      </c>
      <c r="B16" s="82" t="s">
        <v>154</v>
      </c>
      <c r="C16" s="82" t="s">
        <v>172</v>
      </c>
      <c r="D16" s="82" t="s">
        <v>196</v>
      </c>
      <c r="E16" s="82" t="s">
        <v>309</v>
      </c>
      <c r="F16" s="82" t="s">
        <v>549</v>
      </c>
      <c r="G16" s="82" t="s">
        <v>137</v>
      </c>
      <c r="H16" s="82" t="s">
        <v>137</v>
      </c>
      <c r="I16" s="82" t="s">
        <v>66</v>
      </c>
      <c r="J16" s="82" t="s">
        <v>29</v>
      </c>
      <c r="K16" s="92" t="s">
        <v>137</v>
      </c>
      <c r="L16" s="92" t="s">
        <v>137</v>
      </c>
      <c r="M16" s="92" t="s">
        <v>137</v>
      </c>
      <c r="N16" s="92" t="s">
        <v>137</v>
      </c>
      <c r="O16" s="92" t="s">
        <v>137</v>
      </c>
      <c r="P16" s="92" t="s">
        <v>137</v>
      </c>
      <c r="Q16" s="82" t="s">
        <v>87</v>
      </c>
      <c r="R16" s="82" t="s">
        <v>714</v>
      </c>
      <c r="S16" s="82" t="s">
        <v>40</v>
      </c>
      <c r="T16" s="82" t="s">
        <v>2</v>
      </c>
      <c r="U16" s="83"/>
      <c r="V16" s="83">
        <v>0.05</v>
      </c>
      <c r="W16" s="83">
        <v>0.08</v>
      </c>
      <c r="X16" s="83">
        <v>0.15</v>
      </c>
      <c r="Y16" s="83">
        <v>0.2</v>
      </c>
      <c r="Z16" s="83">
        <v>0.25</v>
      </c>
      <c r="AA16" s="83">
        <v>0.37</v>
      </c>
      <c r="AB16" s="83">
        <v>0.42</v>
      </c>
      <c r="AC16" s="83">
        <v>0.57999999999999996</v>
      </c>
      <c r="AD16" s="83">
        <v>0.67</v>
      </c>
      <c r="AE16" s="83">
        <v>0.83</v>
      </c>
      <c r="AF16" s="83">
        <v>1</v>
      </c>
      <c r="AG16" s="82" t="s">
        <v>532</v>
      </c>
      <c r="AH16" s="82" t="s">
        <v>529</v>
      </c>
      <c r="AI16" s="88" t="s">
        <v>538</v>
      </c>
      <c r="AJ16" s="89" t="s">
        <v>538</v>
      </c>
      <c r="AK16" s="90">
        <v>46023</v>
      </c>
      <c r="AL16" s="90">
        <v>46387</v>
      </c>
      <c r="AM16" s="89"/>
      <c r="AN16" s="89"/>
      <c r="AO16" s="89"/>
      <c r="AP16" s="91" t="s">
        <v>539</v>
      </c>
      <c r="AQ16" s="90" cm="1">
        <f t="array" ref="AQ16">IFERROR(DATE(2026, _xlfn.AGGREGATE(15, 6, (COLUMN(BY16:CJ16)-COLUMN(BY16)+1)/(BY16:CJ16&lt;&gt;0), 1), 1),"N/A")</f>
        <v>46266</v>
      </c>
      <c r="AR16" s="90" cm="1">
        <f t="array" ref="AR16">IFERROR(EOMONTH(DATE(2026, _xlfn.AGGREGATE(14, 6, (COLUMN(BY16:CJ16)-COLUMN(BY16)+1)/(BY16:CJ16&lt;&gt;0), 1), 1), 0),"N/A")</f>
        <v>46295</v>
      </c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2" t="s">
        <v>1100</v>
      </c>
      <c r="BF16" s="82" t="s">
        <v>1101</v>
      </c>
      <c r="BG16" s="82" t="str">
        <f t="shared" si="0"/>
        <v>000</v>
      </c>
      <c r="BH16" s="88">
        <v>840107</v>
      </c>
      <c r="BI16" s="92" t="s">
        <v>74</v>
      </c>
      <c r="BJ16" s="93">
        <v>0</v>
      </c>
      <c r="BK16" s="74"/>
      <c r="BL16" s="74"/>
      <c r="BM16" s="74"/>
      <c r="BN16" s="74"/>
      <c r="BO16" s="94"/>
      <c r="BP16" s="74"/>
      <c r="BQ16" s="74"/>
      <c r="BR16" s="74"/>
      <c r="BS16" s="74"/>
      <c r="BT16" s="74"/>
      <c r="BU16" s="74"/>
      <c r="BV16" s="143"/>
      <c r="BW16" s="143">
        <v>106000</v>
      </c>
      <c r="BX16" s="143">
        <f t="shared" si="5"/>
        <v>106000</v>
      </c>
      <c r="BY16" s="74"/>
      <c r="BZ16" s="74"/>
      <c r="CA16" s="74"/>
      <c r="CB16" s="74"/>
      <c r="CC16" s="94"/>
      <c r="CD16" s="74"/>
      <c r="CE16" s="74"/>
      <c r="CF16" s="74"/>
      <c r="CG16" s="74">
        <v>106000</v>
      </c>
      <c r="CH16" s="74"/>
      <c r="CI16" s="74"/>
      <c r="CJ16" s="143"/>
      <c r="CK16" s="143"/>
      <c r="CL16" s="142">
        <f t="shared" si="1"/>
        <v>0</v>
      </c>
      <c r="CM16" s="171">
        <v>0</v>
      </c>
      <c r="CN16" s="171">
        <v>0</v>
      </c>
      <c r="CO16" s="171">
        <v>0</v>
      </c>
      <c r="CP16" s="171">
        <v>0</v>
      </c>
      <c r="CQ16" s="171">
        <v>0</v>
      </c>
      <c r="CR16" s="171">
        <v>0</v>
      </c>
      <c r="CS16" s="171">
        <f t="shared" si="2"/>
        <v>0</v>
      </c>
      <c r="CT16" s="171">
        <f t="shared" si="3"/>
        <v>0</v>
      </c>
      <c r="CU16" s="171">
        <f t="shared" si="4"/>
        <v>0</v>
      </c>
      <c r="CV16" s="149"/>
      <c r="CW16" s="149">
        <v>106000</v>
      </c>
      <c r="CX16" s="130"/>
      <c r="CY16" s="130">
        <v>3</v>
      </c>
      <c r="CZ16" s="130"/>
      <c r="DA16" s="130"/>
      <c r="DB16" s="130"/>
      <c r="DC16" s="130"/>
      <c r="DD16" s="130"/>
      <c r="DE16" s="131"/>
      <c r="DF16" s="131"/>
      <c r="DG16" s="132"/>
      <c r="DH16" s="131"/>
      <c r="DI16" s="131"/>
      <c r="DJ16" s="131"/>
      <c r="DK16" s="131"/>
      <c r="DL16" s="131"/>
      <c r="DM16" s="131"/>
      <c r="DN16" s="131"/>
      <c r="DO16" s="131"/>
      <c r="DP16" s="131"/>
      <c r="DQ16" s="131"/>
      <c r="DR16" s="132"/>
      <c r="DS16" s="131"/>
      <c r="DT16" s="131"/>
      <c r="DU16" s="131"/>
      <c r="DV16" s="131"/>
      <c r="DW16" s="131"/>
      <c r="DX16" s="131"/>
      <c r="DY16" s="131"/>
      <c r="DZ16" s="132"/>
      <c r="EA16" s="132"/>
      <c r="EB16" s="132"/>
      <c r="EC16" s="132"/>
      <c r="ED16" s="131"/>
      <c r="EE16" s="131"/>
      <c r="EF16" s="131"/>
      <c r="EG16" s="131"/>
      <c r="EH16" s="131"/>
      <c r="EI16" s="131"/>
      <c r="EJ16" s="131"/>
      <c r="EK16" s="131"/>
      <c r="EL16" s="132"/>
      <c r="EM16" s="133"/>
      <c r="EN16" s="133"/>
      <c r="EO16" s="133"/>
      <c r="EP16" s="133"/>
      <c r="EQ16" s="133"/>
      <c r="ER16" s="133"/>
      <c r="ES16" s="133"/>
      <c r="ET16" s="133"/>
      <c r="EU16" s="133"/>
      <c r="EV16" s="134"/>
      <c r="EW16" s="133"/>
      <c r="EX16" s="133"/>
      <c r="EY16" s="135"/>
      <c r="EZ16" s="132"/>
      <c r="FA16" s="136"/>
      <c r="FB16" s="203">
        <v>46174</v>
      </c>
      <c r="FC16" s="203">
        <v>46174</v>
      </c>
      <c r="FD16" s="203">
        <v>46175</v>
      </c>
      <c r="FE16" s="203">
        <v>46175</v>
      </c>
      <c r="FF16" s="203">
        <v>46175</v>
      </c>
      <c r="FG16" s="203">
        <v>46176</v>
      </c>
      <c r="FH16" s="203">
        <v>46177</v>
      </c>
      <c r="FI16" s="203">
        <v>46178</v>
      </c>
      <c r="FJ16" s="203">
        <v>46181</v>
      </c>
      <c r="FK16" s="203">
        <v>46182</v>
      </c>
      <c r="FL16" s="203">
        <v>46183</v>
      </c>
      <c r="FM16" s="203">
        <v>46183</v>
      </c>
      <c r="FN16" s="203">
        <v>46184</v>
      </c>
      <c r="FO16" s="203">
        <v>46185</v>
      </c>
      <c r="FP16" s="203">
        <v>46188</v>
      </c>
      <c r="FQ16" s="203">
        <v>46189</v>
      </c>
      <c r="FR16" s="203">
        <v>46189</v>
      </c>
      <c r="FS16" s="203">
        <v>46190</v>
      </c>
      <c r="FT16" s="203">
        <v>46190</v>
      </c>
      <c r="FU16" s="203"/>
      <c r="FV16" s="203"/>
      <c r="FW16" s="203"/>
      <c r="FX16" s="203"/>
      <c r="FY16" s="203">
        <v>46191</v>
      </c>
      <c r="FZ16" s="203">
        <v>46192</v>
      </c>
      <c r="GA16" s="203">
        <v>46192</v>
      </c>
      <c r="GB16" s="203">
        <v>46195</v>
      </c>
      <c r="GC16" s="203">
        <v>46196</v>
      </c>
      <c r="GD16" s="203">
        <v>46197</v>
      </c>
      <c r="GE16" s="203">
        <v>46198</v>
      </c>
      <c r="GF16" s="203">
        <v>46198</v>
      </c>
      <c r="GG16" s="203">
        <v>18</v>
      </c>
      <c r="GH16" s="203">
        <v>46204</v>
      </c>
      <c r="GI16" s="203">
        <v>46206</v>
      </c>
      <c r="GJ16" s="203">
        <v>46212</v>
      </c>
      <c r="GK16" s="203">
        <v>46213</v>
      </c>
      <c r="GL16" s="203">
        <v>46216</v>
      </c>
      <c r="GM16" s="203">
        <v>46218</v>
      </c>
      <c r="GN16" s="203">
        <v>46219</v>
      </c>
      <c r="GO16" s="203">
        <v>46219</v>
      </c>
      <c r="GP16" s="203">
        <v>46224</v>
      </c>
      <c r="GQ16" s="203">
        <v>46227</v>
      </c>
      <c r="GR16" s="187"/>
      <c r="GS16" s="187" t="s">
        <v>1180</v>
      </c>
      <c r="GT16" s="187" t="s">
        <v>849</v>
      </c>
      <c r="GU16" s="187" t="s">
        <v>1175</v>
      </c>
      <c r="GV16" s="187"/>
    </row>
    <row r="17" spans="1:204" s="68" customFormat="1" ht="14.45" customHeight="1" x14ac:dyDescent="0.25">
      <c r="A17" s="68" t="s">
        <v>693</v>
      </c>
      <c r="B17" s="82" t="s">
        <v>154</v>
      </c>
      <c r="C17" s="82" t="s">
        <v>172</v>
      </c>
      <c r="D17" s="82" t="s">
        <v>196</v>
      </c>
      <c r="E17" s="82" t="s">
        <v>309</v>
      </c>
      <c r="F17" s="82" t="s">
        <v>549</v>
      </c>
      <c r="G17" s="82" t="s">
        <v>137</v>
      </c>
      <c r="H17" s="82" t="s">
        <v>137</v>
      </c>
      <c r="I17" s="82" t="s">
        <v>66</v>
      </c>
      <c r="J17" s="82" t="s">
        <v>29</v>
      </c>
      <c r="K17" s="92" t="s">
        <v>137</v>
      </c>
      <c r="L17" s="92" t="s">
        <v>137</v>
      </c>
      <c r="M17" s="92" t="s">
        <v>137</v>
      </c>
      <c r="N17" s="92" t="s">
        <v>137</v>
      </c>
      <c r="O17" s="92" t="s">
        <v>137</v>
      </c>
      <c r="P17" s="92" t="s">
        <v>137</v>
      </c>
      <c r="Q17" s="82" t="s">
        <v>87</v>
      </c>
      <c r="R17" s="82" t="s">
        <v>714</v>
      </c>
      <c r="S17" s="82" t="s">
        <v>40</v>
      </c>
      <c r="T17" s="82" t="s">
        <v>2</v>
      </c>
      <c r="U17" s="83"/>
      <c r="V17" s="83">
        <v>0.05</v>
      </c>
      <c r="W17" s="83">
        <v>0.08</v>
      </c>
      <c r="X17" s="83">
        <v>0.15</v>
      </c>
      <c r="Y17" s="83">
        <v>0.2</v>
      </c>
      <c r="Z17" s="83">
        <v>0.25</v>
      </c>
      <c r="AA17" s="83">
        <v>0.37</v>
      </c>
      <c r="AB17" s="83">
        <v>0.42</v>
      </c>
      <c r="AC17" s="83">
        <v>0.57999999999999996</v>
      </c>
      <c r="AD17" s="83">
        <v>0.67</v>
      </c>
      <c r="AE17" s="83">
        <v>0.83</v>
      </c>
      <c r="AF17" s="83">
        <v>1</v>
      </c>
      <c r="AG17" s="82" t="s">
        <v>532</v>
      </c>
      <c r="AH17" s="82" t="s">
        <v>529</v>
      </c>
      <c r="AI17" s="88" t="s">
        <v>538</v>
      </c>
      <c r="AJ17" s="89" t="s">
        <v>538</v>
      </c>
      <c r="AK17" s="90">
        <v>46023</v>
      </c>
      <c r="AL17" s="90">
        <v>46387</v>
      </c>
      <c r="AM17" s="89"/>
      <c r="AN17" s="89"/>
      <c r="AO17" s="89"/>
      <c r="AP17" s="91" t="s">
        <v>539</v>
      </c>
      <c r="AQ17" s="90" cm="1">
        <f t="array" ref="AQ17">IFERROR(DATE(2026, _xlfn.AGGREGATE(15, 6, (COLUMN(BY17:CJ17)-COLUMN(BY17)+1)/(BY17:CJ17&lt;&gt;0), 1), 1),"N/A")</f>
        <v>46266</v>
      </c>
      <c r="AR17" s="90" cm="1">
        <f t="array" ref="AR17">IFERROR(EOMONTH(DATE(2026, _xlfn.AGGREGATE(14, 6, (COLUMN(BY17:CJ17)-COLUMN(BY17)+1)/(BY17:CJ17&lt;&gt;0), 1), 1), 0),"N/A")</f>
        <v>46295</v>
      </c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2" t="s">
        <v>1100</v>
      </c>
      <c r="BF17" s="82" t="s">
        <v>1102</v>
      </c>
      <c r="BG17" s="82" t="str">
        <f t="shared" si="0"/>
        <v>000</v>
      </c>
      <c r="BH17" s="88">
        <v>530702</v>
      </c>
      <c r="BI17" s="92" t="s">
        <v>74</v>
      </c>
      <c r="BJ17" s="93">
        <v>0</v>
      </c>
      <c r="BK17" s="74"/>
      <c r="BL17" s="74"/>
      <c r="BM17" s="74"/>
      <c r="BN17" s="74"/>
      <c r="BO17" s="94"/>
      <c r="BP17" s="74"/>
      <c r="BQ17" s="74"/>
      <c r="BR17" s="74"/>
      <c r="BS17" s="74"/>
      <c r="BT17" s="74"/>
      <c r="BU17" s="74"/>
      <c r="BV17" s="143"/>
      <c r="BW17" s="143">
        <v>34000</v>
      </c>
      <c r="BX17" s="143">
        <f t="shared" si="5"/>
        <v>34000</v>
      </c>
      <c r="BY17" s="74"/>
      <c r="BZ17" s="74"/>
      <c r="CA17" s="74"/>
      <c r="CB17" s="74"/>
      <c r="CC17" s="94"/>
      <c r="CD17" s="74"/>
      <c r="CE17" s="74"/>
      <c r="CF17" s="74"/>
      <c r="CG17" s="74">
        <v>34000</v>
      </c>
      <c r="CH17" s="74"/>
      <c r="CI17" s="74"/>
      <c r="CJ17" s="143"/>
      <c r="CK17" s="143"/>
      <c r="CL17" s="142">
        <f t="shared" si="1"/>
        <v>0</v>
      </c>
      <c r="CM17" s="171">
        <v>0</v>
      </c>
      <c r="CN17" s="171">
        <v>0</v>
      </c>
      <c r="CO17" s="171">
        <v>0</v>
      </c>
      <c r="CP17" s="171">
        <v>0</v>
      </c>
      <c r="CQ17" s="171">
        <v>0</v>
      </c>
      <c r="CR17" s="171">
        <v>0</v>
      </c>
      <c r="CS17" s="171">
        <f t="shared" si="2"/>
        <v>0</v>
      </c>
      <c r="CT17" s="171">
        <f t="shared" si="3"/>
        <v>0</v>
      </c>
      <c r="CU17" s="171">
        <f t="shared" si="4"/>
        <v>0</v>
      </c>
      <c r="CV17" s="149"/>
      <c r="CW17" s="149">
        <v>34000</v>
      </c>
      <c r="CX17" s="130"/>
      <c r="CY17" s="130">
        <v>3</v>
      </c>
      <c r="CZ17" s="130"/>
      <c r="DA17" s="130"/>
      <c r="DB17" s="130"/>
      <c r="DC17" s="130"/>
      <c r="DD17" s="130"/>
      <c r="DE17" s="131"/>
      <c r="DF17" s="131"/>
      <c r="DG17" s="132"/>
      <c r="DH17" s="131"/>
      <c r="DI17" s="131"/>
      <c r="DJ17" s="131"/>
      <c r="DK17" s="131"/>
      <c r="DL17" s="131"/>
      <c r="DM17" s="131"/>
      <c r="DN17" s="131"/>
      <c r="DO17" s="131"/>
      <c r="DP17" s="131"/>
      <c r="DQ17" s="131"/>
      <c r="DR17" s="132"/>
      <c r="DS17" s="131"/>
      <c r="DT17" s="131"/>
      <c r="DU17" s="131"/>
      <c r="DV17" s="131"/>
      <c r="DW17" s="131"/>
      <c r="DX17" s="131"/>
      <c r="DY17" s="131"/>
      <c r="DZ17" s="132"/>
      <c r="EA17" s="132"/>
      <c r="EB17" s="132"/>
      <c r="EC17" s="132"/>
      <c r="ED17" s="131"/>
      <c r="EE17" s="131"/>
      <c r="EF17" s="131"/>
      <c r="EG17" s="131"/>
      <c r="EH17" s="131"/>
      <c r="EI17" s="131"/>
      <c r="EJ17" s="131"/>
      <c r="EK17" s="131"/>
      <c r="EL17" s="132"/>
      <c r="EM17" s="133"/>
      <c r="EN17" s="133"/>
      <c r="EO17" s="133"/>
      <c r="EP17" s="133"/>
      <c r="EQ17" s="133"/>
      <c r="ER17" s="133"/>
      <c r="ES17" s="133"/>
      <c r="ET17" s="133"/>
      <c r="EU17" s="133"/>
      <c r="EV17" s="134"/>
      <c r="EW17" s="133"/>
      <c r="EX17" s="133"/>
      <c r="EY17" s="135"/>
      <c r="EZ17" s="132"/>
      <c r="FA17" s="136"/>
      <c r="FB17" s="203">
        <v>46172</v>
      </c>
      <c r="FC17" s="203">
        <v>46172</v>
      </c>
      <c r="FD17" s="203">
        <v>46175</v>
      </c>
      <c r="FE17" s="203">
        <v>46175</v>
      </c>
      <c r="FF17" s="203">
        <v>46175</v>
      </c>
      <c r="FG17" s="203">
        <v>46176</v>
      </c>
      <c r="FH17" s="203">
        <v>46177</v>
      </c>
      <c r="FI17" s="203">
        <v>46178</v>
      </c>
      <c r="FJ17" s="203">
        <v>46179</v>
      </c>
      <c r="FK17" s="203">
        <v>46182</v>
      </c>
      <c r="FL17" s="203">
        <v>46183</v>
      </c>
      <c r="FM17" s="203">
        <v>46183</v>
      </c>
      <c r="FN17" s="203">
        <v>46184</v>
      </c>
      <c r="FO17" s="203">
        <v>46185</v>
      </c>
      <c r="FP17" s="203">
        <v>46186</v>
      </c>
      <c r="FQ17" s="203">
        <v>46189</v>
      </c>
      <c r="FR17" s="203">
        <v>46189</v>
      </c>
      <c r="FS17" s="203">
        <v>46190</v>
      </c>
      <c r="FT17" s="203">
        <v>46190</v>
      </c>
      <c r="FU17" s="203"/>
      <c r="FV17" s="203"/>
      <c r="FW17" s="203"/>
      <c r="FX17" s="203"/>
      <c r="FY17" s="203">
        <v>46191</v>
      </c>
      <c r="FZ17" s="203">
        <v>46192</v>
      </c>
      <c r="GA17" s="203">
        <v>46192</v>
      </c>
      <c r="GB17" s="203">
        <v>46193</v>
      </c>
      <c r="GC17" s="203">
        <v>46196</v>
      </c>
      <c r="GD17" s="203">
        <v>46197</v>
      </c>
      <c r="GE17" s="203">
        <v>46198</v>
      </c>
      <c r="GF17" s="203">
        <v>46198</v>
      </c>
      <c r="GG17" s="203">
        <v>18</v>
      </c>
      <c r="GH17" s="203">
        <v>46204</v>
      </c>
      <c r="GI17" s="203">
        <v>46206</v>
      </c>
      <c r="GJ17" s="203">
        <v>46212</v>
      </c>
      <c r="GK17" s="203">
        <v>46213</v>
      </c>
      <c r="GL17" s="203">
        <v>46214</v>
      </c>
      <c r="GM17" s="203">
        <v>46218</v>
      </c>
      <c r="GN17" s="203">
        <v>46219</v>
      </c>
      <c r="GO17" s="203">
        <v>46219</v>
      </c>
      <c r="GP17" s="203">
        <v>46224</v>
      </c>
      <c r="GQ17" s="203">
        <v>46227</v>
      </c>
      <c r="GR17" s="187"/>
      <c r="GS17" s="187" t="s">
        <v>1180</v>
      </c>
      <c r="GT17" s="187" t="s">
        <v>849</v>
      </c>
      <c r="GU17" s="187" t="s">
        <v>1175</v>
      </c>
      <c r="GV17" s="187"/>
    </row>
    <row r="18" spans="1:204" s="68" customFormat="1" ht="14.45" customHeight="1" x14ac:dyDescent="0.25">
      <c r="A18" s="68" t="s">
        <v>693</v>
      </c>
      <c r="B18" s="82" t="s">
        <v>154</v>
      </c>
      <c r="C18" s="82" t="s">
        <v>172</v>
      </c>
      <c r="D18" s="82" t="s">
        <v>196</v>
      </c>
      <c r="E18" s="82" t="s">
        <v>309</v>
      </c>
      <c r="F18" s="82" t="s">
        <v>549</v>
      </c>
      <c r="G18" s="82" t="s">
        <v>137</v>
      </c>
      <c r="H18" s="82" t="s">
        <v>137</v>
      </c>
      <c r="I18" s="82" t="s">
        <v>66</v>
      </c>
      <c r="J18" s="82" t="s">
        <v>29</v>
      </c>
      <c r="K18" s="92" t="s">
        <v>137</v>
      </c>
      <c r="L18" s="92" t="s">
        <v>137</v>
      </c>
      <c r="M18" s="92" t="s">
        <v>137</v>
      </c>
      <c r="N18" s="92" t="s">
        <v>137</v>
      </c>
      <c r="O18" s="92" t="s">
        <v>137</v>
      </c>
      <c r="P18" s="92" t="s">
        <v>137</v>
      </c>
      <c r="Q18" s="82" t="s">
        <v>87</v>
      </c>
      <c r="R18" s="82" t="s">
        <v>714</v>
      </c>
      <c r="S18" s="82" t="s">
        <v>40</v>
      </c>
      <c r="T18" s="82" t="s">
        <v>2</v>
      </c>
      <c r="U18" s="83"/>
      <c r="V18" s="83">
        <v>0.05</v>
      </c>
      <c r="W18" s="83">
        <v>0.08</v>
      </c>
      <c r="X18" s="83">
        <v>0.15</v>
      </c>
      <c r="Y18" s="83">
        <v>0.2</v>
      </c>
      <c r="Z18" s="83">
        <v>0.25</v>
      </c>
      <c r="AA18" s="83">
        <v>0.37</v>
      </c>
      <c r="AB18" s="83">
        <v>0.42</v>
      </c>
      <c r="AC18" s="83">
        <v>0.57999999999999996</v>
      </c>
      <c r="AD18" s="83">
        <v>0.67</v>
      </c>
      <c r="AE18" s="83">
        <v>0.83</v>
      </c>
      <c r="AF18" s="83">
        <v>1</v>
      </c>
      <c r="AG18" s="82" t="s">
        <v>532</v>
      </c>
      <c r="AH18" s="82" t="s">
        <v>529</v>
      </c>
      <c r="AI18" s="88" t="s">
        <v>538</v>
      </c>
      <c r="AJ18" s="89" t="s">
        <v>538</v>
      </c>
      <c r="AK18" s="90">
        <v>46023</v>
      </c>
      <c r="AL18" s="90">
        <v>46387</v>
      </c>
      <c r="AM18" s="89"/>
      <c r="AN18" s="89"/>
      <c r="AO18" s="89"/>
      <c r="AP18" s="91" t="s">
        <v>539</v>
      </c>
      <c r="AQ18" s="90" cm="1">
        <f t="array" ref="AQ18">IFERROR(DATE(2026, _xlfn.AGGREGATE(15, 6, (COLUMN(BY18:CJ18)-COLUMN(BY18)+1)/(BY18:CJ18&lt;&gt;0), 1), 1),"N/A")</f>
        <v>46266</v>
      </c>
      <c r="AR18" s="90" cm="1">
        <f t="array" ref="AR18">IFERROR(EOMONTH(DATE(2026, _xlfn.AGGREGATE(14, 6, (COLUMN(BY18:CJ18)-COLUMN(BY18)+1)/(BY18:CJ18&lt;&gt;0), 1), 1), 0),"N/A")</f>
        <v>46295</v>
      </c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2" t="s">
        <v>1100</v>
      </c>
      <c r="BF18" s="82" t="s">
        <v>1103</v>
      </c>
      <c r="BG18" s="82" t="str">
        <f t="shared" si="0"/>
        <v>000</v>
      </c>
      <c r="BH18" s="88">
        <v>530402</v>
      </c>
      <c r="BI18" s="92" t="s">
        <v>74</v>
      </c>
      <c r="BJ18" s="93">
        <v>0</v>
      </c>
      <c r="BK18" s="74"/>
      <c r="BL18" s="74"/>
      <c r="BM18" s="74"/>
      <c r="BN18" s="74"/>
      <c r="BO18" s="94"/>
      <c r="BP18" s="74"/>
      <c r="BQ18" s="74"/>
      <c r="BR18" s="74"/>
      <c r="BS18" s="74"/>
      <c r="BT18" s="74"/>
      <c r="BU18" s="74"/>
      <c r="BV18" s="143"/>
      <c r="BW18" s="143">
        <v>8000</v>
      </c>
      <c r="BX18" s="143">
        <f t="shared" si="5"/>
        <v>8000</v>
      </c>
      <c r="BY18" s="74"/>
      <c r="BZ18" s="74"/>
      <c r="CA18" s="74"/>
      <c r="CB18" s="74"/>
      <c r="CC18" s="94"/>
      <c r="CD18" s="74"/>
      <c r="CE18" s="74"/>
      <c r="CF18" s="74"/>
      <c r="CG18" s="74">
        <v>8000</v>
      </c>
      <c r="CH18" s="74"/>
      <c r="CI18" s="74"/>
      <c r="CJ18" s="143"/>
      <c r="CK18" s="143"/>
      <c r="CL18" s="142">
        <f t="shared" si="1"/>
        <v>0</v>
      </c>
      <c r="CM18" s="171">
        <v>0</v>
      </c>
      <c r="CN18" s="171">
        <v>0</v>
      </c>
      <c r="CO18" s="171">
        <v>0</v>
      </c>
      <c r="CP18" s="171">
        <v>0</v>
      </c>
      <c r="CQ18" s="171">
        <v>0</v>
      </c>
      <c r="CR18" s="171">
        <v>0</v>
      </c>
      <c r="CS18" s="171">
        <f t="shared" si="2"/>
        <v>0</v>
      </c>
      <c r="CT18" s="171">
        <f t="shared" si="3"/>
        <v>0</v>
      </c>
      <c r="CU18" s="171">
        <f t="shared" si="4"/>
        <v>0</v>
      </c>
      <c r="CV18" s="149"/>
      <c r="CW18" s="149">
        <v>8000</v>
      </c>
      <c r="CX18" s="130"/>
      <c r="CY18" s="130">
        <v>3</v>
      </c>
      <c r="CZ18" s="130"/>
      <c r="DA18" s="130"/>
      <c r="DB18" s="130"/>
      <c r="DC18" s="130"/>
      <c r="DD18" s="130"/>
      <c r="DE18" s="131"/>
      <c r="DF18" s="131"/>
      <c r="DG18" s="132"/>
      <c r="DH18" s="131"/>
      <c r="DI18" s="131"/>
      <c r="DJ18" s="131"/>
      <c r="DK18" s="131"/>
      <c r="DL18" s="131"/>
      <c r="DM18" s="131"/>
      <c r="DN18" s="131"/>
      <c r="DO18" s="131"/>
      <c r="DP18" s="131"/>
      <c r="DQ18" s="131"/>
      <c r="DR18" s="132"/>
      <c r="DS18" s="131"/>
      <c r="DT18" s="131"/>
      <c r="DU18" s="131"/>
      <c r="DV18" s="131"/>
      <c r="DW18" s="131"/>
      <c r="DX18" s="131"/>
      <c r="DY18" s="131"/>
      <c r="DZ18" s="132"/>
      <c r="EA18" s="132"/>
      <c r="EB18" s="132"/>
      <c r="EC18" s="132"/>
      <c r="ED18" s="131"/>
      <c r="EE18" s="131"/>
      <c r="EF18" s="131"/>
      <c r="EG18" s="131"/>
      <c r="EH18" s="131"/>
      <c r="EI18" s="131"/>
      <c r="EJ18" s="131"/>
      <c r="EK18" s="131"/>
      <c r="EL18" s="132"/>
      <c r="EM18" s="133"/>
      <c r="EN18" s="133"/>
      <c r="EO18" s="133"/>
      <c r="EP18" s="133"/>
      <c r="EQ18" s="133"/>
      <c r="ER18" s="133"/>
      <c r="ES18" s="133"/>
      <c r="ET18" s="133"/>
      <c r="EU18" s="133"/>
      <c r="EV18" s="134"/>
      <c r="EW18" s="133"/>
      <c r="EX18" s="133"/>
      <c r="EY18" s="135"/>
      <c r="EZ18" s="132"/>
      <c r="FA18" s="136"/>
      <c r="FB18" s="203">
        <v>46174</v>
      </c>
      <c r="FC18" s="203">
        <v>46174</v>
      </c>
      <c r="FD18" s="203">
        <v>46175</v>
      </c>
      <c r="FE18" s="203">
        <v>46175</v>
      </c>
      <c r="FF18" s="203">
        <v>46175</v>
      </c>
      <c r="FG18" s="203">
        <v>46176</v>
      </c>
      <c r="FH18" s="203">
        <v>46177</v>
      </c>
      <c r="FI18" s="203">
        <v>46178</v>
      </c>
      <c r="FJ18" s="203">
        <v>46181</v>
      </c>
      <c r="FK18" s="203">
        <v>46182</v>
      </c>
      <c r="FL18" s="203">
        <v>46183</v>
      </c>
      <c r="FM18" s="203">
        <v>46183</v>
      </c>
      <c r="FN18" s="203">
        <v>46184</v>
      </c>
      <c r="FO18" s="203">
        <v>46185</v>
      </c>
      <c r="FP18" s="203">
        <v>46188</v>
      </c>
      <c r="FQ18" s="203">
        <v>46189</v>
      </c>
      <c r="FR18" s="203">
        <v>46189</v>
      </c>
      <c r="FS18" s="203">
        <v>46190</v>
      </c>
      <c r="FT18" s="203">
        <v>46190</v>
      </c>
      <c r="FU18" s="203"/>
      <c r="FV18" s="203"/>
      <c r="FW18" s="203"/>
      <c r="FX18" s="203"/>
      <c r="FY18" s="203">
        <v>46191</v>
      </c>
      <c r="FZ18" s="203">
        <v>46192</v>
      </c>
      <c r="GA18" s="203">
        <v>46192</v>
      </c>
      <c r="GB18" s="203">
        <v>46195</v>
      </c>
      <c r="GC18" s="203">
        <v>46196</v>
      </c>
      <c r="GD18" s="203">
        <v>46197</v>
      </c>
      <c r="GE18" s="203">
        <v>46198</v>
      </c>
      <c r="GF18" s="203">
        <v>46198</v>
      </c>
      <c r="GG18" s="203">
        <v>18</v>
      </c>
      <c r="GH18" s="203">
        <v>46204</v>
      </c>
      <c r="GI18" s="203">
        <v>46206</v>
      </c>
      <c r="GJ18" s="203">
        <v>46212</v>
      </c>
      <c r="GK18" s="203">
        <v>46213</v>
      </c>
      <c r="GL18" s="203">
        <v>46216</v>
      </c>
      <c r="GM18" s="203">
        <v>46218</v>
      </c>
      <c r="GN18" s="203">
        <v>46219</v>
      </c>
      <c r="GO18" s="203">
        <v>46219</v>
      </c>
      <c r="GP18" s="203">
        <v>46224</v>
      </c>
      <c r="GQ18" s="203">
        <v>46227</v>
      </c>
      <c r="GR18" s="187"/>
      <c r="GS18" s="187" t="s">
        <v>1180</v>
      </c>
      <c r="GT18" s="187" t="s">
        <v>849</v>
      </c>
      <c r="GU18" s="187" t="s">
        <v>1175</v>
      </c>
      <c r="GV18" s="187"/>
    </row>
    <row r="19" spans="1:204" s="68" customFormat="1" ht="14.45" customHeight="1" x14ac:dyDescent="0.25">
      <c r="A19" s="68" t="s">
        <v>695</v>
      </c>
      <c r="B19" s="82" t="s">
        <v>154</v>
      </c>
      <c r="C19" s="82" t="s">
        <v>172</v>
      </c>
      <c r="D19" s="95" t="s">
        <v>196</v>
      </c>
      <c r="E19" s="82" t="s">
        <v>309</v>
      </c>
      <c r="F19" s="82" t="s">
        <v>549</v>
      </c>
      <c r="G19" s="82" t="s">
        <v>137</v>
      </c>
      <c r="H19" s="82" t="s">
        <v>137</v>
      </c>
      <c r="I19" s="82" t="s">
        <v>66</v>
      </c>
      <c r="J19" s="82" t="s">
        <v>531</v>
      </c>
      <c r="K19" s="92" t="s">
        <v>137</v>
      </c>
      <c r="L19" s="92" t="s">
        <v>137</v>
      </c>
      <c r="M19" s="92" t="s">
        <v>137</v>
      </c>
      <c r="N19" s="92" t="s">
        <v>137</v>
      </c>
      <c r="O19" s="92" t="s">
        <v>137</v>
      </c>
      <c r="P19" s="92" t="s">
        <v>137</v>
      </c>
      <c r="Q19" s="82" t="s">
        <v>552</v>
      </c>
      <c r="R19" s="82" t="s">
        <v>715</v>
      </c>
      <c r="S19" s="82" t="s">
        <v>555</v>
      </c>
      <c r="T19" s="82" t="s">
        <v>320</v>
      </c>
      <c r="U19" s="83">
        <v>0.95</v>
      </c>
      <c r="V19" s="83">
        <v>0.95</v>
      </c>
      <c r="W19" s="83">
        <v>0.95</v>
      </c>
      <c r="X19" s="83">
        <v>0.95</v>
      </c>
      <c r="Y19" s="83">
        <v>0.95</v>
      </c>
      <c r="Z19" s="83">
        <v>0.95</v>
      </c>
      <c r="AA19" s="83">
        <v>0.95</v>
      </c>
      <c r="AB19" s="83">
        <v>0.95</v>
      </c>
      <c r="AC19" s="83">
        <v>0.95</v>
      </c>
      <c r="AD19" s="83">
        <v>0.95</v>
      </c>
      <c r="AE19" s="83">
        <v>0.95</v>
      </c>
      <c r="AF19" s="83">
        <v>0.95</v>
      </c>
      <c r="AG19" s="82" t="s">
        <v>533</v>
      </c>
      <c r="AH19" s="82" t="s">
        <v>529</v>
      </c>
      <c r="AI19" s="88" t="s">
        <v>538</v>
      </c>
      <c r="AJ19" s="89" t="s">
        <v>538</v>
      </c>
      <c r="AK19" s="90">
        <v>46023</v>
      </c>
      <c r="AL19" s="90">
        <v>46387</v>
      </c>
      <c r="AM19" s="89"/>
      <c r="AN19" s="89"/>
      <c r="AO19" s="89"/>
      <c r="AP19" s="91" t="s">
        <v>542</v>
      </c>
      <c r="AQ19" s="90" cm="1">
        <f t="array" ref="AQ19">IFERROR(DATE(2026, _xlfn.AGGREGATE(15, 6, (COLUMN(BY19:CJ19)-COLUMN(BY19)+1)/(BY19:CJ19&lt;&gt;0), 1), 1),"N/A")</f>
        <v>46266</v>
      </c>
      <c r="AR19" s="90" cm="1">
        <f t="array" ref="AR19">IFERROR(EOMONTH(DATE(2026, _xlfn.AGGREGATE(14, 6, (COLUMN(BY19:CJ19)-COLUMN(BY19)+1)/(BY19:CJ19&lt;&gt;0), 1), 1), 0),"N/A")</f>
        <v>46295</v>
      </c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2" t="s">
        <v>725</v>
      </c>
      <c r="BF19" s="82" t="s">
        <v>1042</v>
      </c>
      <c r="BG19" s="82" t="str">
        <f t="shared" si="0"/>
        <v>000</v>
      </c>
      <c r="BH19" s="88">
        <v>530207</v>
      </c>
      <c r="BI19" s="92" t="s">
        <v>74</v>
      </c>
      <c r="BJ19" s="93">
        <v>27795</v>
      </c>
      <c r="BK19" s="74"/>
      <c r="BL19" s="74"/>
      <c r="BM19" s="74"/>
      <c r="BN19" s="74"/>
      <c r="BO19" s="74"/>
      <c r="BP19" s="94"/>
      <c r="BQ19" s="74"/>
      <c r="BR19" s="94"/>
      <c r="BS19" s="74">
        <v>27795</v>
      </c>
      <c r="BT19" s="94"/>
      <c r="BU19" s="74"/>
      <c r="BV19" s="143"/>
      <c r="BW19" s="143"/>
      <c r="BX19" s="143">
        <f t="shared" si="5"/>
        <v>27795</v>
      </c>
      <c r="BY19" s="74"/>
      <c r="BZ19" s="74"/>
      <c r="CA19" s="74"/>
      <c r="CB19" s="74"/>
      <c r="CC19" s="74"/>
      <c r="CD19" s="94"/>
      <c r="CE19" s="74"/>
      <c r="CF19" s="94"/>
      <c r="CG19" s="74">
        <v>27795</v>
      </c>
      <c r="CH19" s="94"/>
      <c r="CI19" s="74"/>
      <c r="CJ19" s="143"/>
      <c r="CK19" s="143"/>
      <c r="CL19" s="142">
        <f t="shared" si="1"/>
        <v>0</v>
      </c>
      <c r="CM19" s="171">
        <v>0</v>
      </c>
      <c r="CN19" s="171">
        <v>0</v>
      </c>
      <c r="CO19" s="171">
        <v>0</v>
      </c>
      <c r="CP19" s="171">
        <v>0</v>
      </c>
      <c r="CQ19" s="171">
        <v>0</v>
      </c>
      <c r="CR19" s="171">
        <v>0</v>
      </c>
      <c r="CS19" s="171">
        <f t="shared" si="2"/>
        <v>0</v>
      </c>
      <c r="CT19" s="171">
        <f t="shared" si="3"/>
        <v>0</v>
      </c>
      <c r="CU19" s="171">
        <f t="shared" si="4"/>
        <v>0</v>
      </c>
      <c r="CV19" s="152">
        <v>27795</v>
      </c>
      <c r="CW19" s="194">
        <v>27795</v>
      </c>
      <c r="CX19" s="130">
        <v>1</v>
      </c>
      <c r="CY19" s="130">
        <v>1</v>
      </c>
      <c r="CZ19" s="130" t="s">
        <v>321</v>
      </c>
      <c r="DA19" s="130" t="s">
        <v>849</v>
      </c>
      <c r="DB19" s="130" t="s">
        <v>850</v>
      </c>
      <c r="DC19" s="130" t="s">
        <v>851</v>
      </c>
      <c r="DD19" s="130"/>
      <c r="DE19" s="131">
        <v>46086</v>
      </c>
      <c r="DF19" s="131">
        <v>46086</v>
      </c>
      <c r="DG19" s="132">
        <v>1</v>
      </c>
      <c r="DH19" s="131">
        <v>46087</v>
      </c>
      <c r="DI19" s="131">
        <v>46087</v>
      </c>
      <c r="DJ19" s="131">
        <v>46087</v>
      </c>
      <c r="DK19" s="131">
        <v>46090</v>
      </c>
      <c r="DL19" s="131">
        <v>46091</v>
      </c>
      <c r="DM19" s="131">
        <v>46092</v>
      </c>
      <c r="DN19" s="131">
        <v>46093</v>
      </c>
      <c r="DO19" s="131">
        <v>46094</v>
      </c>
      <c r="DP19" s="131">
        <v>46097</v>
      </c>
      <c r="DQ19" s="131">
        <v>46097</v>
      </c>
      <c r="DR19" s="132">
        <v>1</v>
      </c>
      <c r="DS19" s="131">
        <v>46098</v>
      </c>
      <c r="DT19" s="131">
        <v>46099</v>
      </c>
      <c r="DU19" s="131">
        <v>46100</v>
      </c>
      <c r="DV19" s="131">
        <v>46101</v>
      </c>
      <c r="DW19" s="131">
        <v>46101</v>
      </c>
      <c r="DX19" s="131">
        <v>46104</v>
      </c>
      <c r="DY19" s="131">
        <v>46104</v>
      </c>
      <c r="DZ19" s="132"/>
      <c r="EA19" s="132"/>
      <c r="EB19" s="132"/>
      <c r="EC19" s="132"/>
      <c r="ED19" s="131">
        <v>46105</v>
      </c>
      <c r="EE19" s="131">
        <v>46106</v>
      </c>
      <c r="EF19" s="131">
        <v>46106</v>
      </c>
      <c r="EG19" s="131">
        <v>46107</v>
      </c>
      <c r="EH19" s="131">
        <v>46108</v>
      </c>
      <c r="EI19" s="131">
        <v>46111</v>
      </c>
      <c r="EJ19" s="131">
        <v>46112</v>
      </c>
      <c r="EK19" s="131">
        <v>46112</v>
      </c>
      <c r="EL19" s="132">
        <v>18</v>
      </c>
      <c r="EM19" s="131">
        <v>46114</v>
      </c>
      <c r="EN19" s="131">
        <v>46118</v>
      </c>
      <c r="EO19" s="133">
        <v>46120</v>
      </c>
      <c r="EP19" s="133">
        <v>46121</v>
      </c>
      <c r="EQ19" s="133">
        <v>46122</v>
      </c>
      <c r="ER19" s="133">
        <v>46126</v>
      </c>
      <c r="ES19" s="133">
        <v>46127</v>
      </c>
      <c r="ET19" s="133">
        <v>46129</v>
      </c>
      <c r="EU19" s="133">
        <v>46134</v>
      </c>
      <c r="EV19" s="134">
        <v>1</v>
      </c>
      <c r="EW19" s="133">
        <v>46139</v>
      </c>
      <c r="EX19" s="133"/>
      <c r="EY19" s="154" t="s">
        <v>852</v>
      </c>
      <c r="EZ19" s="132" t="s">
        <v>861</v>
      </c>
      <c r="FA19" s="136" t="s">
        <v>862</v>
      </c>
      <c r="FB19" s="203">
        <v>46086</v>
      </c>
      <c r="FC19" s="203">
        <v>46086</v>
      </c>
      <c r="FD19" s="203">
        <v>46087</v>
      </c>
      <c r="FE19" s="203">
        <v>46087</v>
      </c>
      <c r="FF19" s="203">
        <v>46087</v>
      </c>
      <c r="FG19" s="203">
        <v>46090</v>
      </c>
      <c r="FH19" s="203">
        <v>46091</v>
      </c>
      <c r="FI19" s="203">
        <v>46092</v>
      </c>
      <c r="FJ19" s="203">
        <v>46093</v>
      </c>
      <c r="FK19" s="203">
        <v>46094</v>
      </c>
      <c r="FL19" s="203">
        <v>46097</v>
      </c>
      <c r="FM19" s="203">
        <v>46097</v>
      </c>
      <c r="FN19" s="203">
        <v>46098</v>
      </c>
      <c r="FO19" s="203">
        <v>46099</v>
      </c>
      <c r="FP19" s="203">
        <v>46100</v>
      </c>
      <c r="FQ19" s="203">
        <v>46101</v>
      </c>
      <c r="FR19" s="203">
        <v>46101</v>
      </c>
      <c r="FS19" s="203">
        <v>46104</v>
      </c>
      <c r="FT19" s="203">
        <v>46104</v>
      </c>
      <c r="FU19" s="203"/>
      <c r="FV19" s="203"/>
      <c r="FW19" s="203"/>
      <c r="FX19" s="203"/>
      <c r="FY19" s="203">
        <v>46105</v>
      </c>
      <c r="FZ19" s="203">
        <v>46106</v>
      </c>
      <c r="GA19" s="203">
        <v>46106</v>
      </c>
      <c r="GB19" s="203">
        <v>46107</v>
      </c>
      <c r="GC19" s="203">
        <v>46108</v>
      </c>
      <c r="GD19" s="203">
        <v>46111</v>
      </c>
      <c r="GE19" s="203">
        <v>46112</v>
      </c>
      <c r="GF19" s="203">
        <v>46112</v>
      </c>
      <c r="GG19" s="203">
        <v>18</v>
      </c>
      <c r="GH19" s="203">
        <v>46114</v>
      </c>
      <c r="GI19" s="203">
        <v>46118</v>
      </c>
      <c r="GJ19" s="203">
        <v>46120</v>
      </c>
      <c r="GK19" s="203">
        <v>46121</v>
      </c>
      <c r="GL19" s="203">
        <v>46122</v>
      </c>
      <c r="GM19" s="203">
        <v>46126</v>
      </c>
      <c r="GN19" s="203">
        <v>46127</v>
      </c>
      <c r="GO19" s="203">
        <v>46129</v>
      </c>
      <c r="GP19" s="203">
        <v>46134</v>
      </c>
      <c r="GQ19" s="203">
        <v>46139</v>
      </c>
      <c r="GR19" s="187"/>
      <c r="GS19" s="187" t="s">
        <v>1180</v>
      </c>
      <c r="GT19" s="187" t="s">
        <v>852</v>
      </c>
      <c r="GU19" s="187" t="s">
        <v>861</v>
      </c>
      <c r="GV19" s="187" t="s">
        <v>1162</v>
      </c>
    </row>
    <row r="20" spans="1:204" s="68" customFormat="1" ht="14.45" customHeight="1" x14ac:dyDescent="0.25">
      <c r="A20" s="68" t="s">
        <v>693</v>
      </c>
      <c r="B20" s="82" t="s">
        <v>154</v>
      </c>
      <c r="C20" s="82" t="s">
        <v>172</v>
      </c>
      <c r="D20" s="82" t="s">
        <v>196</v>
      </c>
      <c r="E20" s="82" t="s">
        <v>309</v>
      </c>
      <c r="F20" s="82" t="s">
        <v>549</v>
      </c>
      <c r="G20" s="82" t="s">
        <v>137</v>
      </c>
      <c r="H20" s="82" t="s">
        <v>137</v>
      </c>
      <c r="I20" s="82" t="s">
        <v>66</v>
      </c>
      <c r="J20" s="82" t="s">
        <v>29</v>
      </c>
      <c r="K20" s="92" t="s">
        <v>137</v>
      </c>
      <c r="L20" s="92" t="s">
        <v>137</v>
      </c>
      <c r="M20" s="92" t="s">
        <v>137</v>
      </c>
      <c r="N20" s="92" t="s">
        <v>137</v>
      </c>
      <c r="O20" s="92" t="s">
        <v>137</v>
      </c>
      <c r="P20" s="92" t="s">
        <v>137</v>
      </c>
      <c r="Q20" s="82" t="s">
        <v>87</v>
      </c>
      <c r="R20" s="82" t="s">
        <v>714</v>
      </c>
      <c r="S20" s="82" t="s">
        <v>40</v>
      </c>
      <c r="T20" s="82" t="s">
        <v>2</v>
      </c>
      <c r="U20" s="83"/>
      <c r="V20" s="83">
        <v>0.05</v>
      </c>
      <c r="W20" s="83">
        <v>0.08</v>
      </c>
      <c r="X20" s="83">
        <v>0.15</v>
      </c>
      <c r="Y20" s="83">
        <v>0.2</v>
      </c>
      <c r="Z20" s="83">
        <v>0.25</v>
      </c>
      <c r="AA20" s="83">
        <v>0.37</v>
      </c>
      <c r="AB20" s="83">
        <v>0.42</v>
      </c>
      <c r="AC20" s="83">
        <v>0.57999999999999996</v>
      </c>
      <c r="AD20" s="83">
        <v>0.67</v>
      </c>
      <c r="AE20" s="83">
        <v>0.83</v>
      </c>
      <c r="AF20" s="83">
        <v>1</v>
      </c>
      <c r="AG20" s="82" t="s">
        <v>532</v>
      </c>
      <c r="AH20" s="82" t="s">
        <v>529</v>
      </c>
      <c r="AI20" s="88" t="s">
        <v>538</v>
      </c>
      <c r="AJ20" s="89" t="s">
        <v>538</v>
      </c>
      <c r="AK20" s="90">
        <v>46023</v>
      </c>
      <c r="AL20" s="90">
        <v>46387</v>
      </c>
      <c r="AM20" s="89"/>
      <c r="AN20" s="89"/>
      <c r="AO20" s="89"/>
      <c r="AP20" s="91" t="s">
        <v>539</v>
      </c>
      <c r="AQ20" s="90" t="str" cm="1">
        <f t="array" ref="AQ20">IFERROR(DATE(2026, _xlfn.AGGREGATE(15, 6, (COLUMN(BY20:CJ20)-COLUMN(BY20)+1)/(BY20:CJ20&lt;&gt;0), 1), 1),"N/A")</f>
        <v>N/A</v>
      </c>
      <c r="AR20" s="90" t="str" cm="1">
        <f t="array" ref="AR20">IFERROR(EOMONTH(DATE(2026, _xlfn.AGGREGATE(14, 6, (COLUMN(BY20:CJ20)-COLUMN(BY20)+1)/(BY20:CJ20&lt;&gt;0), 1), 1), 0),"N/A")</f>
        <v>N/A</v>
      </c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2" t="s">
        <v>643</v>
      </c>
      <c r="BF20" s="82" t="s">
        <v>1007</v>
      </c>
      <c r="BG20" s="82" t="str">
        <f t="shared" si="0"/>
        <v>000</v>
      </c>
      <c r="BH20" s="88">
        <v>840107</v>
      </c>
      <c r="BI20" s="92" t="s">
        <v>74</v>
      </c>
      <c r="BJ20" s="93">
        <v>10000</v>
      </c>
      <c r="BK20" s="74">
        <v>0</v>
      </c>
      <c r="BL20" s="74">
        <v>0</v>
      </c>
      <c r="BM20" s="74">
        <v>0</v>
      </c>
      <c r="BN20" s="74">
        <v>0</v>
      </c>
      <c r="BO20" s="74">
        <v>0</v>
      </c>
      <c r="BP20" s="74">
        <v>0</v>
      </c>
      <c r="BQ20" s="74">
        <v>0</v>
      </c>
      <c r="BR20" s="74">
        <v>0</v>
      </c>
      <c r="BS20" s="94">
        <v>10000</v>
      </c>
      <c r="BT20" s="74">
        <v>0</v>
      </c>
      <c r="BU20" s="74">
        <v>0</v>
      </c>
      <c r="BV20" s="143">
        <v>0</v>
      </c>
      <c r="BW20" s="143">
        <v>-10000</v>
      </c>
      <c r="BX20" s="143">
        <f t="shared" si="5"/>
        <v>0</v>
      </c>
      <c r="BY20" s="74">
        <v>0</v>
      </c>
      <c r="BZ20" s="74">
        <v>0</v>
      </c>
      <c r="CA20" s="74">
        <v>0</v>
      </c>
      <c r="CB20" s="74">
        <v>0</v>
      </c>
      <c r="CC20" s="74">
        <v>0</v>
      </c>
      <c r="CD20" s="74">
        <v>0</v>
      </c>
      <c r="CE20" s="74">
        <v>0</v>
      </c>
      <c r="CF20" s="74">
        <v>0</v>
      </c>
      <c r="CG20" s="94">
        <v>0</v>
      </c>
      <c r="CH20" s="74">
        <v>0</v>
      </c>
      <c r="CI20" s="74">
        <v>0</v>
      </c>
      <c r="CJ20" s="143">
        <v>0</v>
      </c>
      <c r="CK20" s="143"/>
      <c r="CL20" s="142">
        <f t="shared" si="1"/>
        <v>0</v>
      </c>
      <c r="CM20" s="171">
        <v>0</v>
      </c>
      <c r="CN20" s="171">
        <v>0</v>
      </c>
      <c r="CO20" s="171">
        <v>0</v>
      </c>
      <c r="CP20" s="171">
        <v>0</v>
      </c>
      <c r="CQ20" s="171">
        <v>0</v>
      </c>
      <c r="CR20" s="171">
        <v>0</v>
      </c>
      <c r="CS20" s="171">
        <f t="shared" si="2"/>
        <v>0</v>
      </c>
      <c r="CT20" s="171">
        <f t="shared" si="3"/>
        <v>0</v>
      </c>
      <c r="CU20" s="171">
        <f t="shared" si="4"/>
        <v>0</v>
      </c>
      <c r="CV20" s="149"/>
      <c r="CW20" s="149"/>
      <c r="CX20" s="130"/>
      <c r="CY20" s="130"/>
      <c r="CZ20" s="130"/>
      <c r="DA20" s="130"/>
      <c r="DB20" s="130"/>
      <c r="DC20" s="130"/>
      <c r="DD20" s="130"/>
      <c r="DE20" s="130"/>
      <c r="DF20" s="130"/>
      <c r="DG20" s="130"/>
      <c r="DH20" s="130"/>
      <c r="DI20" s="130"/>
      <c r="DJ20" s="130"/>
      <c r="DK20" s="130"/>
      <c r="DL20" s="130"/>
      <c r="DM20" s="130"/>
      <c r="DN20" s="130"/>
      <c r="DO20" s="130"/>
      <c r="DP20" s="130"/>
      <c r="DQ20" s="130"/>
      <c r="DR20" s="130"/>
      <c r="DS20" s="130"/>
      <c r="DT20" s="130"/>
      <c r="DU20" s="130"/>
      <c r="DV20" s="130"/>
      <c r="DW20" s="130"/>
      <c r="DX20" s="130"/>
      <c r="DY20" s="130"/>
      <c r="DZ20" s="130"/>
      <c r="EA20" s="130"/>
      <c r="EB20" s="130"/>
      <c r="EC20" s="130"/>
      <c r="ED20" s="130"/>
      <c r="EE20" s="130"/>
      <c r="EF20" s="130"/>
      <c r="EG20" s="130"/>
      <c r="EH20" s="130"/>
      <c r="EI20" s="130"/>
      <c r="EJ20" s="130"/>
      <c r="EK20" s="130"/>
      <c r="EL20" s="130"/>
      <c r="EM20" s="130"/>
      <c r="EN20" s="130"/>
      <c r="EO20" s="130"/>
      <c r="EP20" s="130"/>
      <c r="EQ20" s="130"/>
      <c r="ER20" s="130"/>
      <c r="ES20" s="130"/>
      <c r="ET20" s="130"/>
      <c r="EU20" s="130"/>
      <c r="EV20" s="130"/>
      <c r="EW20" s="130"/>
      <c r="EX20" s="130"/>
      <c r="EY20" s="130"/>
      <c r="EZ20" s="130"/>
      <c r="FA20" s="130"/>
      <c r="FB20" s="201"/>
      <c r="FC20" s="201"/>
      <c r="FD20" s="201"/>
      <c r="FE20" s="201"/>
      <c r="FF20" s="201"/>
      <c r="FG20" s="201"/>
      <c r="FH20" s="201"/>
      <c r="FI20" s="201"/>
      <c r="FJ20" s="201"/>
      <c r="FK20" s="201"/>
      <c r="FL20" s="201"/>
      <c r="FM20" s="201"/>
      <c r="FN20" s="201"/>
      <c r="FO20" s="201"/>
      <c r="FP20" s="201"/>
      <c r="FQ20" s="201"/>
      <c r="FR20" s="201"/>
      <c r="FS20" s="201"/>
      <c r="FT20" s="201"/>
      <c r="FU20" s="201"/>
      <c r="FV20" s="201"/>
      <c r="FW20" s="201"/>
      <c r="FX20" s="201"/>
      <c r="FY20" s="201"/>
      <c r="FZ20" s="201"/>
      <c r="GA20" s="201"/>
      <c r="GB20" s="201"/>
      <c r="GC20" s="201"/>
      <c r="GD20" s="201"/>
      <c r="GE20" s="201"/>
      <c r="GF20" s="201"/>
      <c r="GG20" s="201"/>
      <c r="GH20" s="201"/>
      <c r="GI20" s="201"/>
      <c r="GJ20" s="201"/>
      <c r="GK20" s="201"/>
      <c r="GL20" s="201"/>
      <c r="GM20" s="201"/>
      <c r="GN20" s="201"/>
      <c r="GO20" s="201"/>
      <c r="GP20" s="201"/>
      <c r="GQ20" s="201"/>
    </row>
    <row r="21" spans="1:204" s="68" customFormat="1" ht="14.45" customHeight="1" x14ac:dyDescent="0.25">
      <c r="A21" s="68" t="s">
        <v>693</v>
      </c>
      <c r="B21" s="82" t="s">
        <v>154</v>
      </c>
      <c r="C21" s="82" t="s">
        <v>172</v>
      </c>
      <c r="D21" s="82" t="s">
        <v>196</v>
      </c>
      <c r="E21" s="82" t="s">
        <v>309</v>
      </c>
      <c r="F21" s="82" t="s">
        <v>549</v>
      </c>
      <c r="G21" s="82" t="s">
        <v>137</v>
      </c>
      <c r="H21" s="82" t="s">
        <v>137</v>
      </c>
      <c r="I21" s="82" t="s">
        <v>66</v>
      </c>
      <c r="J21" s="82" t="s">
        <v>29</v>
      </c>
      <c r="K21" s="92" t="s">
        <v>137</v>
      </c>
      <c r="L21" s="92" t="s">
        <v>137</v>
      </c>
      <c r="M21" s="92" t="s">
        <v>137</v>
      </c>
      <c r="N21" s="92" t="s">
        <v>137</v>
      </c>
      <c r="O21" s="92" t="s">
        <v>137</v>
      </c>
      <c r="P21" s="92" t="s">
        <v>137</v>
      </c>
      <c r="Q21" s="82" t="s">
        <v>87</v>
      </c>
      <c r="R21" s="82" t="s">
        <v>714</v>
      </c>
      <c r="S21" s="82" t="s">
        <v>40</v>
      </c>
      <c r="T21" s="82" t="s">
        <v>2</v>
      </c>
      <c r="U21" s="83"/>
      <c r="V21" s="83">
        <v>0.05</v>
      </c>
      <c r="W21" s="83">
        <v>0.08</v>
      </c>
      <c r="X21" s="83">
        <v>0.15</v>
      </c>
      <c r="Y21" s="83">
        <v>0.2</v>
      </c>
      <c r="Z21" s="83">
        <v>0.25</v>
      </c>
      <c r="AA21" s="83">
        <v>0.37</v>
      </c>
      <c r="AB21" s="83">
        <v>0.42</v>
      </c>
      <c r="AC21" s="83">
        <v>0.57999999999999996</v>
      </c>
      <c r="AD21" s="83">
        <v>0.67</v>
      </c>
      <c r="AE21" s="83">
        <v>0.83</v>
      </c>
      <c r="AF21" s="83">
        <v>1</v>
      </c>
      <c r="AG21" s="82" t="s">
        <v>532</v>
      </c>
      <c r="AH21" s="82" t="s">
        <v>529</v>
      </c>
      <c r="AI21" s="88" t="s">
        <v>538</v>
      </c>
      <c r="AJ21" s="89" t="s">
        <v>538</v>
      </c>
      <c r="AK21" s="90">
        <v>46023</v>
      </c>
      <c r="AL21" s="90">
        <v>46387</v>
      </c>
      <c r="AM21" s="89"/>
      <c r="AN21" s="89"/>
      <c r="AO21" s="89"/>
      <c r="AP21" s="91" t="s">
        <v>539</v>
      </c>
      <c r="AQ21" s="90" t="str" cm="1">
        <f t="array" ref="AQ21">IFERROR(DATE(2026, _xlfn.AGGREGATE(15, 6, (COLUMN(BY21:CJ21)-COLUMN(BY21)+1)/(BY21:CJ21&lt;&gt;0), 1), 1),"N/A")</f>
        <v>N/A</v>
      </c>
      <c r="AR21" s="90" t="str" cm="1">
        <f t="array" ref="AR21">IFERROR(EOMONTH(DATE(2026, _xlfn.AGGREGATE(14, 6, (COLUMN(BY21:CJ21)-COLUMN(BY21)+1)/(BY21:CJ21&lt;&gt;0), 1), 1), 0),"N/A")</f>
        <v>N/A</v>
      </c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2" t="s">
        <v>617</v>
      </c>
      <c r="BF21" s="82" t="s">
        <v>982</v>
      </c>
      <c r="BG21" s="82" t="str">
        <f t="shared" si="0"/>
        <v>000</v>
      </c>
      <c r="BH21" s="88">
        <v>530813</v>
      </c>
      <c r="BI21" s="92" t="s">
        <v>74</v>
      </c>
      <c r="BJ21" s="93">
        <v>5000</v>
      </c>
      <c r="BK21" s="74">
        <v>0</v>
      </c>
      <c r="BL21" s="74">
        <v>0</v>
      </c>
      <c r="BM21" s="74">
        <v>0</v>
      </c>
      <c r="BN21" s="74">
        <v>0</v>
      </c>
      <c r="BO21" s="74">
        <v>0</v>
      </c>
      <c r="BP21" s="74">
        <v>0</v>
      </c>
      <c r="BQ21" s="74">
        <v>0</v>
      </c>
      <c r="BR21" s="94">
        <v>5000</v>
      </c>
      <c r="BS21" s="74">
        <v>0</v>
      </c>
      <c r="BT21" s="74">
        <v>0</v>
      </c>
      <c r="BU21" s="74">
        <v>0</v>
      </c>
      <c r="BV21" s="143">
        <v>0</v>
      </c>
      <c r="BW21" s="143">
        <v>-5000</v>
      </c>
      <c r="BX21" s="143">
        <f t="shared" si="5"/>
        <v>0</v>
      </c>
      <c r="BY21" s="74">
        <v>0</v>
      </c>
      <c r="BZ21" s="74">
        <v>0</v>
      </c>
      <c r="CA21" s="74">
        <v>0</v>
      </c>
      <c r="CB21" s="74">
        <v>0</v>
      </c>
      <c r="CC21" s="74">
        <v>0</v>
      </c>
      <c r="CD21" s="74">
        <v>0</v>
      </c>
      <c r="CE21" s="74">
        <v>0</v>
      </c>
      <c r="CF21" s="94">
        <v>0</v>
      </c>
      <c r="CG21" s="74">
        <v>0</v>
      </c>
      <c r="CH21" s="74">
        <v>0</v>
      </c>
      <c r="CI21" s="74">
        <v>0</v>
      </c>
      <c r="CJ21" s="143">
        <v>0</v>
      </c>
      <c r="CK21" s="143"/>
      <c r="CL21" s="142">
        <f t="shared" si="1"/>
        <v>0</v>
      </c>
      <c r="CM21" s="171">
        <v>0</v>
      </c>
      <c r="CN21" s="171">
        <v>0</v>
      </c>
      <c r="CO21" s="171">
        <v>0</v>
      </c>
      <c r="CP21" s="171">
        <v>0</v>
      </c>
      <c r="CQ21" s="171">
        <v>0</v>
      </c>
      <c r="CR21" s="171">
        <v>0</v>
      </c>
      <c r="CS21" s="171">
        <f t="shared" si="2"/>
        <v>0</v>
      </c>
      <c r="CT21" s="171">
        <f t="shared" si="3"/>
        <v>0</v>
      </c>
      <c r="CU21" s="171">
        <f t="shared" si="4"/>
        <v>0</v>
      </c>
      <c r="CV21" s="150">
        <v>5000</v>
      </c>
      <c r="CW21" s="150">
        <v>2740</v>
      </c>
      <c r="CX21" s="130"/>
      <c r="CY21" s="130">
        <v>2</v>
      </c>
      <c r="CZ21" s="130"/>
      <c r="DA21" s="130"/>
      <c r="DB21" s="130"/>
      <c r="DC21" s="130"/>
      <c r="DD21" s="130"/>
      <c r="DE21" s="131">
        <v>46178</v>
      </c>
      <c r="DF21" s="131">
        <v>46178</v>
      </c>
      <c r="DG21" s="132">
        <v>2</v>
      </c>
      <c r="DH21" s="131">
        <v>46181</v>
      </c>
      <c r="DI21" s="131">
        <v>46181</v>
      </c>
      <c r="DJ21" s="131">
        <v>46181</v>
      </c>
      <c r="DK21" s="131">
        <v>46182</v>
      </c>
      <c r="DL21" s="131">
        <v>46183</v>
      </c>
      <c r="DM21" s="131">
        <v>46184</v>
      </c>
      <c r="DN21" s="131">
        <v>46185</v>
      </c>
      <c r="DO21" s="131">
        <v>46188</v>
      </c>
      <c r="DP21" s="131">
        <v>46189</v>
      </c>
      <c r="DQ21" s="131">
        <v>46189</v>
      </c>
      <c r="DR21" s="132">
        <v>2</v>
      </c>
      <c r="DS21" s="131">
        <v>46190</v>
      </c>
      <c r="DT21" s="131">
        <v>46191</v>
      </c>
      <c r="DU21" s="131">
        <v>46192</v>
      </c>
      <c r="DV21" s="131">
        <v>46195</v>
      </c>
      <c r="DW21" s="131">
        <v>46195</v>
      </c>
      <c r="DX21" s="131">
        <v>46196</v>
      </c>
      <c r="DY21" s="131">
        <v>46196</v>
      </c>
      <c r="DZ21" s="132"/>
      <c r="EA21" s="132"/>
      <c r="EB21" s="132"/>
      <c r="EC21" s="132"/>
      <c r="ED21" s="131">
        <v>46197</v>
      </c>
      <c r="EE21" s="131">
        <v>46198</v>
      </c>
      <c r="EF21" s="131">
        <v>46198</v>
      </c>
      <c r="EG21" s="131"/>
      <c r="EH21" s="131"/>
      <c r="EI21" s="131"/>
      <c r="EJ21" s="131">
        <v>46198</v>
      </c>
      <c r="EK21" s="131">
        <v>46204</v>
      </c>
      <c r="EL21" s="132">
        <v>18</v>
      </c>
      <c r="EM21" s="133"/>
      <c r="EN21" s="133"/>
      <c r="EO21" s="133"/>
      <c r="EP21" s="133"/>
      <c r="EQ21" s="133"/>
      <c r="ER21" s="133"/>
      <c r="ES21" s="133"/>
      <c r="ET21" s="133"/>
      <c r="EU21" s="133"/>
      <c r="EV21" s="134"/>
      <c r="EW21" s="133">
        <v>46204</v>
      </c>
      <c r="EX21" s="133"/>
      <c r="EY21" s="135" t="s">
        <v>854</v>
      </c>
      <c r="EZ21" s="132" t="s">
        <v>876</v>
      </c>
      <c r="FA21" s="130"/>
      <c r="FB21" s="203">
        <v>46178</v>
      </c>
      <c r="FC21" s="203">
        <v>46178</v>
      </c>
      <c r="FD21" s="203">
        <v>46181</v>
      </c>
      <c r="FE21" s="203">
        <v>46181</v>
      </c>
      <c r="FF21" s="203">
        <v>46181</v>
      </c>
      <c r="FG21" s="203">
        <v>46182</v>
      </c>
      <c r="FH21" s="203">
        <v>46183</v>
      </c>
      <c r="FI21" s="203">
        <v>46184</v>
      </c>
      <c r="FJ21" s="203">
        <v>46185</v>
      </c>
      <c r="FK21" s="203">
        <v>46188</v>
      </c>
      <c r="FL21" s="203">
        <v>46189</v>
      </c>
      <c r="FM21" s="203">
        <v>46189</v>
      </c>
      <c r="FN21" s="203">
        <v>46190</v>
      </c>
      <c r="FO21" s="203">
        <v>46191</v>
      </c>
      <c r="FP21" s="203">
        <v>46192</v>
      </c>
      <c r="FQ21" s="203">
        <v>46195</v>
      </c>
      <c r="FR21" s="203">
        <v>46195</v>
      </c>
      <c r="FS21" s="203">
        <v>46196</v>
      </c>
      <c r="FT21" s="203">
        <v>46196</v>
      </c>
      <c r="FU21" s="203"/>
      <c r="FV21" s="203"/>
      <c r="FW21" s="203"/>
      <c r="FX21" s="203"/>
      <c r="FY21" s="203">
        <v>46197</v>
      </c>
      <c r="FZ21" s="203">
        <v>46198</v>
      </c>
      <c r="GA21" s="203">
        <v>46198</v>
      </c>
      <c r="GB21" s="203">
        <v>46199</v>
      </c>
      <c r="GC21" s="203">
        <v>46202</v>
      </c>
      <c r="GD21" s="203">
        <v>46203</v>
      </c>
      <c r="GE21" s="203">
        <v>46204</v>
      </c>
      <c r="GF21" s="203">
        <v>46204</v>
      </c>
      <c r="GG21" s="203">
        <v>18</v>
      </c>
      <c r="GH21" s="203"/>
      <c r="GI21" s="203"/>
      <c r="GJ21" s="203"/>
      <c r="GK21" s="203"/>
      <c r="GL21" s="203"/>
      <c r="GM21" s="203"/>
      <c r="GN21" s="203"/>
      <c r="GO21" s="203"/>
      <c r="GP21" s="203">
        <v>46206</v>
      </c>
      <c r="GQ21" s="203"/>
      <c r="GR21" s="187"/>
      <c r="GS21" s="187" t="s">
        <v>1180</v>
      </c>
      <c r="GT21" s="187" t="s">
        <v>866</v>
      </c>
      <c r="GU21" s="187" t="s">
        <v>1175</v>
      </c>
      <c r="GV21" s="187" t="s">
        <v>1178</v>
      </c>
    </row>
    <row r="22" spans="1:204" s="68" customFormat="1" ht="14.45" customHeight="1" x14ac:dyDescent="0.25">
      <c r="A22" s="68" t="s">
        <v>693</v>
      </c>
      <c r="B22" s="82" t="s">
        <v>154</v>
      </c>
      <c r="C22" s="82" t="s">
        <v>172</v>
      </c>
      <c r="D22" s="82" t="s">
        <v>196</v>
      </c>
      <c r="E22" s="82" t="s">
        <v>309</v>
      </c>
      <c r="F22" s="82" t="s">
        <v>549</v>
      </c>
      <c r="G22" s="82" t="s">
        <v>137</v>
      </c>
      <c r="H22" s="82" t="s">
        <v>137</v>
      </c>
      <c r="I22" s="82" t="s">
        <v>66</v>
      </c>
      <c r="J22" s="82" t="s">
        <v>29</v>
      </c>
      <c r="K22" s="92" t="s">
        <v>137</v>
      </c>
      <c r="L22" s="92" t="s">
        <v>137</v>
      </c>
      <c r="M22" s="92" t="s">
        <v>137</v>
      </c>
      <c r="N22" s="92" t="s">
        <v>137</v>
      </c>
      <c r="O22" s="92" t="s">
        <v>137</v>
      </c>
      <c r="P22" s="92" t="s">
        <v>137</v>
      </c>
      <c r="Q22" s="82" t="s">
        <v>87</v>
      </c>
      <c r="R22" s="82" t="s">
        <v>714</v>
      </c>
      <c r="S22" s="82" t="s">
        <v>40</v>
      </c>
      <c r="T22" s="82" t="s">
        <v>2</v>
      </c>
      <c r="U22" s="83"/>
      <c r="V22" s="83">
        <v>0.05</v>
      </c>
      <c r="W22" s="83">
        <v>0.08</v>
      </c>
      <c r="X22" s="83">
        <v>0.15</v>
      </c>
      <c r="Y22" s="83">
        <v>0.2</v>
      </c>
      <c r="Z22" s="83">
        <v>0.25</v>
      </c>
      <c r="AA22" s="83">
        <v>0.37</v>
      </c>
      <c r="AB22" s="83">
        <v>0.42</v>
      </c>
      <c r="AC22" s="83">
        <v>0.57999999999999996</v>
      </c>
      <c r="AD22" s="83">
        <v>0.67</v>
      </c>
      <c r="AE22" s="83">
        <v>0.83</v>
      </c>
      <c r="AF22" s="83">
        <v>1</v>
      </c>
      <c r="AG22" s="82" t="s">
        <v>532</v>
      </c>
      <c r="AH22" s="82" t="s">
        <v>529</v>
      </c>
      <c r="AI22" s="88" t="s">
        <v>538</v>
      </c>
      <c r="AJ22" s="89" t="s">
        <v>538</v>
      </c>
      <c r="AK22" s="90">
        <v>46023</v>
      </c>
      <c r="AL22" s="90">
        <v>46387</v>
      </c>
      <c r="AM22" s="89"/>
      <c r="AN22" s="89"/>
      <c r="AO22" s="89"/>
      <c r="AP22" s="91" t="s">
        <v>539</v>
      </c>
      <c r="AQ22" s="90" cm="1">
        <f t="array" ref="AQ22">IFERROR(DATE(2026, _xlfn.AGGREGATE(15, 6, (COLUMN(BY22:CJ22)-COLUMN(BY22)+1)/(BY22:CJ22&lt;&gt;0), 1), 1),"N/A")</f>
        <v>46235</v>
      </c>
      <c r="AR22" s="90" cm="1">
        <f t="array" ref="AR22">IFERROR(EOMONTH(DATE(2026, _xlfn.AGGREGATE(14, 6, (COLUMN(BY22:CJ22)-COLUMN(BY22)+1)/(BY22:CJ22&lt;&gt;0), 1), 1), 0),"N/A")</f>
        <v>46265</v>
      </c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2" t="s">
        <v>617</v>
      </c>
      <c r="BF22" s="82" t="s">
        <v>983</v>
      </c>
      <c r="BG22" s="82" t="str">
        <f t="shared" si="0"/>
        <v>001</v>
      </c>
      <c r="BH22" s="88">
        <v>530813</v>
      </c>
      <c r="BI22" s="92" t="s">
        <v>74</v>
      </c>
      <c r="BJ22" s="93">
        <v>5000</v>
      </c>
      <c r="BK22" s="74">
        <v>0</v>
      </c>
      <c r="BL22" s="74">
        <v>0</v>
      </c>
      <c r="BM22" s="74">
        <v>0</v>
      </c>
      <c r="BN22" s="74">
        <v>0</v>
      </c>
      <c r="BO22" s="74">
        <v>0</v>
      </c>
      <c r="BP22" s="74">
        <v>0</v>
      </c>
      <c r="BQ22" s="74">
        <v>0</v>
      </c>
      <c r="BR22" s="94">
        <v>5000</v>
      </c>
      <c r="BS22" s="74">
        <v>0</v>
      </c>
      <c r="BT22" s="74">
        <v>0</v>
      </c>
      <c r="BU22" s="74">
        <v>0</v>
      </c>
      <c r="BV22" s="143">
        <v>0</v>
      </c>
      <c r="BW22" s="143">
        <v>-2260</v>
      </c>
      <c r="BX22" s="143">
        <f t="shared" si="5"/>
        <v>2740</v>
      </c>
      <c r="BY22" s="74">
        <v>0</v>
      </c>
      <c r="BZ22" s="74">
        <v>0</v>
      </c>
      <c r="CA22" s="74">
        <v>0</v>
      </c>
      <c r="CB22" s="74">
        <v>0</v>
      </c>
      <c r="CC22" s="74">
        <v>0</v>
      </c>
      <c r="CD22" s="74">
        <v>0</v>
      </c>
      <c r="CE22" s="74">
        <v>0</v>
      </c>
      <c r="CF22" s="94">
        <v>2740</v>
      </c>
      <c r="CG22" s="74">
        <v>0</v>
      </c>
      <c r="CH22" s="74">
        <v>0</v>
      </c>
      <c r="CI22" s="74">
        <v>0</v>
      </c>
      <c r="CJ22" s="143">
        <v>0</v>
      </c>
      <c r="CK22" s="143"/>
      <c r="CL22" s="142">
        <f t="shared" si="1"/>
        <v>0</v>
      </c>
      <c r="CM22" s="171">
        <v>0</v>
      </c>
      <c r="CN22" s="171">
        <v>0</v>
      </c>
      <c r="CO22" s="171">
        <v>0</v>
      </c>
      <c r="CP22" s="171">
        <v>0</v>
      </c>
      <c r="CQ22" s="171">
        <v>0</v>
      </c>
      <c r="CR22" s="171">
        <v>0</v>
      </c>
      <c r="CS22" s="171">
        <f t="shared" si="2"/>
        <v>0</v>
      </c>
      <c r="CT22" s="171">
        <f t="shared" si="3"/>
        <v>0</v>
      </c>
      <c r="CU22" s="171">
        <f t="shared" si="4"/>
        <v>0</v>
      </c>
      <c r="CV22" s="153">
        <v>5000</v>
      </c>
      <c r="CW22" s="150">
        <v>0</v>
      </c>
      <c r="CX22" s="130">
        <v>2</v>
      </c>
      <c r="CY22" s="130">
        <v>0</v>
      </c>
      <c r="CZ22" s="130" t="s">
        <v>321</v>
      </c>
      <c r="DA22" s="130" t="s">
        <v>895</v>
      </c>
      <c r="DB22" s="130" t="s">
        <v>850</v>
      </c>
      <c r="DC22" s="130" t="s">
        <v>851</v>
      </c>
      <c r="DD22" s="130"/>
      <c r="DE22" s="131">
        <v>46178</v>
      </c>
      <c r="DF22" s="131">
        <v>46178</v>
      </c>
      <c r="DG22" s="132">
        <v>2</v>
      </c>
      <c r="DH22" s="131">
        <v>46181</v>
      </c>
      <c r="DI22" s="131">
        <v>46181</v>
      </c>
      <c r="DJ22" s="131">
        <v>46181</v>
      </c>
      <c r="DK22" s="131">
        <v>46182</v>
      </c>
      <c r="DL22" s="131">
        <v>46183</v>
      </c>
      <c r="DM22" s="131">
        <v>46184</v>
      </c>
      <c r="DN22" s="131">
        <v>46185</v>
      </c>
      <c r="DO22" s="131">
        <v>46188</v>
      </c>
      <c r="DP22" s="131">
        <v>46189</v>
      </c>
      <c r="DQ22" s="131">
        <v>46189</v>
      </c>
      <c r="DR22" s="132">
        <v>2</v>
      </c>
      <c r="DS22" s="131">
        <v>46190</v>
      </c>
      <c r="DT22" s="131">
        <v>46191</v>
      </c>
      <c r="DU22" s="131">
        <v>46192</v>
      </c>
      <c r="DV22" s="131">
        <v>46195</v>
      </c>
      <c r="DW22" s="131">
        <v>46195</v>
      </c>
      <c r="DX22" s="131">
        <v>46196</v>
      </c>
      <c r="DY22" s="131">
        <v>46196</v>
      </c>
      <c r="DZ22" s="132"/>
      <c r="EA22" s="132"/>
      <c r="EB22" s="132"/>
      <c r="EC22" s="132"/>
      <c r="ED22" s="131">
        <v>46197</v>
      </c>
      <c r="EE22" s="131">
        <v>46198</v>
      </c>
      <c r="EF22" s="131">
        <v>46198</v>
      </c>
      <c r="EG22" s="131">
        <v>46199</v>
      </c>
      <c r="EH22" s="131">
        <v>46202</v>
      </c>
      <c r="EI22" s="131">
        <v>46203</v>
      </c>
      <c r="EJ22" s="131">
        <v>46204</v>
      </c>
      <c r="EK22" s="133">
        <v>46204</v>
      </c>
      <c r="EL22" s="132">
        <v>18</v>
      </c>
      <c r="EM22" s="134"/>
      <c r="EN22" s="134"/>
      <c r="EO22" s="134"/>
      <c r="EP22" s="134"/>
      <c r="EQ22" s="134"/>
      <c r="ER22" s="134"/>
      <c r="ES22" s="134"/>
      <c r="ET22" s="134"/>
      <c r="EU22" s="133">
        <v>46206</v>
      </c>
      <c r="EV22" s="134">
        <v>2</v>
      </c>
      <c r="EW22" s="133"/>
      <c r="EX22" s="134"/>
      <c r="EY22" s="154" t="s">
        <v>866</v>
      </c>
      <c r="EZ22" s="132" t="s">
        <v>876</v>
      </c>
      <c r="FA22" s="130"/>
      <c r="FB22" s="202" t="e">
        <v>#NUM!</v>
      </c>
      <c r="FC22" s="202" t="e">
        <v>#NUM!</v>
      </c>
      <c r="FD22" s="202" t="e">
        <v>#NUM!</v>
      </c>
      <c r="FE22" s="202" t="e">
        <v>#NUM!</v>
      </c>
      <c r="FF22" s="202" t="e">
        <v>#NUM!</v>
      </c>
      <c r="FG22" s="202" t="e">
        <v>#NUM!</v>
      </c>
      <c r="FH22" s="202" t="e">
        <v>#NUM!</v>
      </c>
      <c r="FI22" s="202" t="e">
        <v>#NUM!</v>
      </c>
      <c r="FJ22" s="202" t="e">
        <v>#NUM!</v>
      </c>
      <c r="FK22" s="202" t="e">
        <v>#NUM!</v>
      </c>
      <c r="FL22" s="202" t="e">
        <v>#NUM!</v>
      </c>
      <c r="FM22" s="202" t="e">
        <v>#NUM!</v>
      </c>
      <c r="FN22" s="202" t="e">
        <v>#NUM!</v>
      </c>
      <c r="FO22" s="202" t="e">
        <v>#NUM!</v>
      </c>
      <c r="FP22" s="202" t="e">
        <v>#NUM!</v>
      </c>
      <c r="FQ22" s="202" t="e">
        <v>#NUM!</v>
      </c>
      <c r="FR22" s="202" t="e">
        <v>#NUM!</v>
      </c>
      <c r="FS22" s="202" t="e">
        <v>#NUM!</v>
      </c>
      <c r="FT22" s="202" t="e">
        <v>#NUM!</v>
      </c>
      <c r="FU22" s="202"/>
      <c r="FV22" s="202"/>
      <c r="FW22" s="202"/>
      <c r="FX22" s="202"/>
      <c r="FY22" s="202" t="e">
        <v>#NUM!</v>
      </c>
      <c r="FZ22" s="202" t="e">
        <v>#NUM!</v>
      </c>
      <c r="GA22" s="202" t="e">
        <v>#NUM!</v>
      </c>
      <c r="GB22" s="202"/>
      <c r="GC22" s="202"/>
      <c r="GD22" s="202"/>
      <c r="GE22" s="202" t="e">
        <v>#NUM!</v>
      </c>
      <c r="GF22" s="202"/>
      <c r="GG22" s="202">
        <v>18</v>
      </c>
      <c r="GH22" s="202"/>
      <c r="GI22" s="202"/>
      <c r="GJ22" s="202"/>
      <c r="GK22" s="202"/>
      <c r="GL22" s="202"/>
      <c r="GM22" s="202"/>
      <c r="GN22" s="202"/>
      <c r="GO22" s="202"/>
      <c r="GP22" s="202"/>
      <c r="GQ22" s="202"/>
      <c r="GR22" s="189"/>
      <c r="GS22" s="189"/>
      <c r="GT22" s="189"/>
      <c r="GU22" s="189"/>
      <c r="GV22" s="189" t="s">
        <v>1160</v>
      </c>
    </row>
    <row r="23" spans="1:204" s="68" customFormat="1" ht="14.45" customHeight="1" x14ac:dyDescent="0.25">
      <c r="A23" s="68" t="s">
        <v>693</v>
      </c>
      <c r="B23" s="82" t="s">
        <v>154</v>
      </c>
      <c r="C23" s="82" t="s">
        <v>172</v>
      </c>
      <c r="D23" s="82" t="s">
        <v>196</v>
      </c>
      <c r="E23" s="82" t="s">
        <v>309</v>
      </c>
      <c r="F23" s="82" t="s">
        <v>549</v>
      </c>
      <c r="G23" s="82" t="s">
        <v>137</v>
      </c>
      <c r="H23" s="82" t="s">
        <v>137</v>
      </c>
      <c r="I23" s="82" t="s">
        <v>66</v>
      </c>
      <c r="J23" s="82" t="s">
        <v>29</v>
      </c>
      <c r="K23" s="92" t="s">
        <v>137</v>
      </c>
      <c r="L23" s="92" t="s">
        <v>137</v>
      </c>
      <c r="M23" s="92" t="s">
        <v>137</v>
      </c>
      <c r="N23" s="92" t="s">
        <v>137</v>
      </c>
      <c r="O23" s="92" t="s">
        <v>137</v>
      </c>
      <c r="P23" s="92" t="s">
        <v>137</v>
      </c>
      <c r="Q23" s="82" t="s">
        <v>87</v>
      </c>
      <c r="R23" s="82" t="s">
        <v>714</v>
      </c>
      <c r="S23" s="82" t="s">
        <v>40</v>
      </c>
      <c r="T23" s="82" t="s">
        <v>2</v>
      </c>
      <c r="U23" s="83"/>
      <c r="V23" s="83">
        <v>0.05</v>
      </c>
      <c r="W23" s="83">
        <v>0.08</v>
      </c>
      <c r="X23" s="83">
        <v>0.15</v>
      </c>
      <c r="Y23" s="83">
        <v>0.2</v>
      </c>
      <c r="Z23" s="83">
        <v>0.25</v>
      </c>
      <c r="AA23" s="83">
        <v>0.37</v>
      </c>
      <c r="AB23" s="83">
        <v>0.42</v>
      </c>
      <c r="AC23" s="83">
        <v>0.57999999999999996</v>
      </c>
      <c r="AD23" s="83">
        <v>0.67</v>
      </c>
      <c r="AE23" s="83">
        <v>0.83</v>
      </c>
      <c r="AF23" s="83">
        <v>1</v>
      </c>
      <c r="AG23" s="82" t="s">
        <v>532</v>
      </c>
      <c r="AH23" s="82" t="s">
        <v>794</v>
      </c>
      <c r="AI23" s="88" t="s">
        <v>538</v>
      </c>
      <c r="AJ23" s="89" t="s">
        <v>538</v>
      </c>
      <c r="AK23" s="90">
        <v>46023</v>
      </c>
      <c r="AL23" s="90">
        <v>46387</v>
      </c>
      <c r="AM23" s="89"/>
      <c r="AN23" s="89"/>
      <c r="AO23" s="89"/>
      <c r="AP23" s="91" t="s">
        <v>539</v>
      </c>
      <c r="AQ23" s="90" cm="1">
        <f t="array" ref="AQ23">IFERROR(DATE(2026, _xlfn.AGGREGATE(15, 6, (COLUMN(BY23:CJ23)-COLUMN(BY23)+1)/(BY23:CJ23&lt;&gt;0), 1), 1),"N/A")</f>
        <v>46082</v>
      </c>
      <c r="AR23" s="90" cm="1">
        <f t="array" ref="AR23">IFERROR(EOMONTH(DATE(2026, _xlfn.AGGREGATE(14, 6, (COLUMN(BY23:CJ23)-COLUMN(BY23)+1)/(BY23:CJ23&lt;&gt;0), 1), 1), 0),"N/A")</f>
        <v>46112</v>
      </c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2" t="s">
        <v>1144</v>
      </c>
      <c r="BF23" s="82" t="s">
        <v>1095</v>
      </c>
      <c r="BG23" s="82" t="str">
        <f t="shared" si="0"/>
        <v>000</v>
      </c>
      <c r="BH23" s="88">
        <v>530813</v>
      </c>
      <c r="BI23" s="92" t="s">
        <v>74</v>
      </c>
      <c r="BJ23" s="93">
        <v>0</v>
      </c>
      <c r="BK23" s="74"/>
      <c r="BL23" s="74"/>
      <c r="BM23" s="74"/>
      <c r="BN23" s="74"/>
      <c r="BO23" s="74"/>
      <c r="BP23" s="74"/>
      <c r="BQ23" s="74"/>
      <c r="BR23" s="94"/>
      <c r="BS23" s="74"/>
      <c r="BT23" s="74"/>
      <c r="BU23" s="74"/>
      <c r="BV23" s="143"/>
      <c r="BW23" s="143">
        <v>7060</v>
      </c>
      <c r="BX23" s="143">
        <f t="shared" si="5"/>
        <v>7060</v>
      </c>
      <c r="BY23" s="74"/>
      <c r="BZ23" s="74"/>
      <c r="CA23" s="74">
        <v>7060</v>
      </c>
      <c r="CB23" s="74"/>
      <c r="CC23" s="74"/>
      <c r="CD23" s="74"/>
      <c r="CE23" s="74"/>
      <c r="CF23" s="94"/>
      <c r="CG23" s="74"/>
      <c r="CH23" s="74"/>
      <c r="CI23" s="74"/>
      <c r="CJ23" s="143"/>
      <c r="CK23" s="143"/>
      <c r="CL23" s="142">
        <f t="shared" si="1"/>
        <v>0</v>
      </c>
      <c r="CM23" s="171">
        <v>0</v>
      </c>
      <c r="CN23" s="171">
        <v>0</v>
      </c>
      <c r="CO23" s="171">
        <v>0</v>
      </c>
      <c r="CP23" s="171">
        <v>0</v>
      </c>
      <c r="CQ23" s="171">
        <v>0</v>
      </c>
      <c r="CR23" s="171">
        <v>7060</v>
      </c>
      <c r="CS23" s="171">
        <f t="shared" si="2"/>
        <v>0</v>
      </c>
      <c r="CT23" s="171">
        <f t="shared" si="3"/>
        <v>0</v>
      </c>
      <c r="CU23" s="171">
        <f t="shared" si="4"/>
        <v>7060</v>
      </c>
      <c r="CV23" s="153"/>
      <c r="CW23" s="153"/>
      <c r="CX23" s="130"/>
      <c r="CY23" s="130"/>
      <c r="CZ23" s="130"/>
      <c r="DA23" s="130"/>
      <c r="DB23" s="130"/>
      <c r="DC23" s="130"/>
      <c r="DD23" s="130"/>
      <c r="DE23" s="131"/>
      <c r="DF23" s="131"/>
      <c r="DG23" s="132"/>
      <c r="DH23" s="131"/>
      <c r="DI23" s="131"/>
      <c r="DJ23" s="131"/>
      <c r="DK23" s="131"/>
      <c r="DL23" s="131"/>
      <c r="DM23" s="131"/>
      <c r="DN23" s="131"/>
      <c r="DO23" s="131"/>
      <c r="DP23" s="131"/>
      <c r="DQ23" s="131"/>
      <c r="DR23" s="132"/>
      <c r="DS23" s="131"/>
      <c r="DT23" s="131"/>
      <c r="DU23" s="131"/>
      <c r="DV23" s="131"/>
      <c r="DW23" s="131"/>
      <c r="DX23" s="131"/>
      <c r="DY23" s="131"/>
      <c r="DZ23" s="132"/>
      <c r="EA23" s="132"/>
      <c r="EB23" s="132"/>
      <c r="EC23" s="132"/>
      <c r="ED23" s="131"/>
      <c r="EE23" s="131"/>
      <c r="EF23" s="131"/>
      <c r="EG23" s="131"/>
      <c r="EH23" s="131"/>
      <c r="EI23" s="131"/>
      <c r="EJ23" s="131"/>
      <c r="EK23" s="133"/>
      <c r="EL23" s="132"/>
      <c r="EM23" s="134"/>
      <c r="EN23" s="134"/>
      <c r="EO23" s="134"/>
      <c r="EP23" s="134"/>
      <c r="EQ23" s="134"/>
      <c r="ER23" s="134"/>
      <c r="ES23" s="134"/>
      <c r="ET23" s="134"/>
      <c r="EU23" s="133"/>
      <c r="EV23" s="134"/>
      <c r="EW23" s="133"/>
      <c r="EX23" s="134"/>
      <c r="EY23" s="154"/>
      <c r="EZ23" s="132"/>
      <c r="FA23" s="130"/>
      <c r="FB23" s="201"/>
      <c r="FC23" s="201"/>
      <c r="FD23" s="201"/>
      <c r="FE23" s="201"/>
      <c r="FF23" s="201"/>
      <c r="FG23" s="201"/>
      <c r="FH23" s="201"/>
      <c r="FI23" s="201"/>
      <c r="FJ23" s="201"/>
      <c r="FK23" s="201"/>
      <c r="FL23" s="201"/>
      <c r="FM23" s="201"/>
      <c r="FN23" s="201"/>
      <c r="FO23" s="201"/>
      <c r="FP23" s="201"/>
      <c r="FQ23" s="201"/>
      <c r="FR23" s="201"/>
      <c r="FS23" s="201"/>
      <c r="FT23" s="201"/>
      <c r="FU23" s="201"/>
      <c r="FV23" s="201"/>
      <c r="FW23" s="201"/>
      <c r="FX23" s="201"/>
      <c r="FY23" s="201"/>
      <c r="FZ23" s="201"/>
      <c r="GA23" s="201"/>
      <c r="GB23" s="201"/>
      <c r="GC23" s="201"/>
      <c r="GD23" s="201"/>
      <c r="GE23" s="201"/>
      <c r="GF23" s="201"/>
      <c r="GG23" s="201"/>
      <c r="GH23" s="201"/>
      <c r="GI23" s="201"/>
      <c r="GJ23" s="201"/>
      <c r="GK23" s="201"/>
      <c r="GL23" s="201"/>
      <c r="GM23" s="201"/>
      <c r="GN23" s="201"/>
      <c r="GO23" s="201"/>
      <c r="GP23" s="201"/>
      <c r="GQ23" s="201"/>
    </row>
    <row r="24" spans="1:204" s="68" customFormat="1" ht="14.45" customHeight="1" x14ac:dyDescent="0.25">
      <c r="A24" s="68" t="s">
        <v>693</v>
      </c>
      <c r="B24" s="82" t="s">
        <v>154</v>
      </c>
      <c r="C24" s="82" t="s">
        <v>172</v>
      </c>
      <c r="D24" s="82" t="s">
        <v>196</v>
      </c>
      <c r="E24" s="82" t="s">
        <v>309</v>
      </c>
      <c r="F24" s="82" t="s">
        <v>549</v>
      </c>
      <c r="G24" s="82" t="s">
        <v>137</v>
      </c>
      <c r="H24" s="82" t="s">
        <v>137</v>
      </c>
      <c r="I24" s="82" t="s">
        <v>66</v>
      </c>
      <c r="J24" s="82" t="s">
        <v>29</v>
      </c>
      <c r="K24" s="92" t="s">
        <v>137</v>
      </c>
      <c r="L24" s="92" t="s">
        <v>137</v>
      </c>
      <c r="M24" s="92" t="s">
        <v>137</v>
      </c>
      <c r="N24" s="92" t="s">
        <v>137</v>
      </c>
      <c r="O24" s="92" t="s">
        <v>137</v>
      </c>
      <c r="P24" s="92" t="s">
        <v>137</v>
      </c>
      <c r="Q24" s="82" t="s">
        <v>87</v>
      </c>
      <c r="R24" s="82" t="s">
        <v>714</v>
      </c>
      <c r="S24" s="82" t="s">
        <v>40</v>
      </c>
      <c r="T24" s="82" t="s">
        <v>2</v>
      </c>
      <c r="U24" s="83"/>
      <c r="V24" s="83">
        <v>0.05</v>
      </c>
      <c r="W24" s="83">
        <v>0.08</v>
      </c>
      <c r="X24" s="83">
        <v>0.15</v>
      </c>
      <c r="Y24" s="83">
        <v>0.2</v>
      </c>
      <c r="Z24" s="83">
        <v>0.25</v>
      </c>
      <c r="AA24" s="83">
        <v>0.37</v>
      </c>
      <c r="AB24" s="83">
        <v>0.42</v>
      </c>
      <c r="AC24" s="83">
        <v>0.57999999999999996</v>
      </c>
      <c r="AD24" s="83">
        <v>0.67</v>
      </c>
      <c r="AE24" s="83">
        <v>0.83</v>
      </c>
      <c r="AF24" s="83">
        <v>1</v>
      </c>
      <c r="AG24" s="82" t="s">
        <v>532</v>
      </c>
      <c r="AH24" s="82" t="s">
        <v>794</v>
      </c>
      <c r="AI24" s="88" t="s">
        <v>538</v>
      </c>
      <c r="AJ24" s="89" t="s">
        <v>538</v>
      </c>
      <c r="AK24" s="90">
        <v>46023</v>
      </c>
      <c r="AL24" s="90">
        <v>46387</v>
      </c>
      <c r="AM24" s="89"/>
      <c r="AN24" s="89"/>
      <c r="AO24" s="89"/>
      <c r="AP24" s="91" t="s">
        <v>539</v>
      </c>
      <c r="AQ24" s="90" cm="1">
        <f t="array" ref="AQ24">IFERROR(DATE(2026, _xlfn.AGGREGATE(15, 6, (COLUMN(BY24:CJ24)-COLUMN(BY24)+1)/(BY24:CJ24&lt;&gt;0), 1), 1),"N/A")</f>
        <v>46327</v>
      </c>
      <c r="AR24" s="90" cm="1">
        <f t="array" ref="AR24">IFERROR(EOMONTH(DATE(2026, _xlfn.AGGREGATE(14, 6, (COLUMN(BY24:CJ24)-COLUMN(BY24)+1)/(BY24:CJ24&lt;&gt;0), 1), 1), 0),"N/A")</f>
        <v>46356</v>
      </c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2" t="s">
        <v>1134</v>
      </c>
      <c r="BF24" s="82" t="s">
        <v>1094</v>
      </c>
      <c r="BG24" s="82" t="str">
        <f t="shared" si="0"/>
        <v>000</v>
      </c>
      <c r="BH24" s="88">
        <v>530704</v>
      </c>
      <c r="BI24" s="92" t="s">
        <v>74</v>
      </c>
      <c r="BJ24" s="93">
        <v>0</v>
      </c>
      <c r="BK24" s="74"/>
      <c r="BL24" s="74"/>
      <c r="BM24" s="74"/>
      <c r="BN24" s="74"/>
      <c r="BO24" s="74"/>
      <c r="BP24" s="74"/>
      <c r="BQ24" s="74"/>
      <c r="BR24" s="94"/>
      <c r="BS24" s="74"/>
      <c r="BT24" s="74"/>
      <c r="BU24" s="74"/>
      <c r="BV24" s="143"/>
      <c r="BW24" s="143">
        <v>200</v>
      </c>
      <c r="BX24" s="143">
        <f t="shared" si="5"/>
        <v>200</v>
      </c>
      <c r="BY24" s="74"/>
      <c r="BZ24" s="74"/>
      <c r="CA24" s="74"/>
      <c r="CB24" s="74"/>
      <c r="CC24" s="74"/>
      <c r="CD24" s="74"/>
      <c r="CE24" s="74"/>
      <c r="CF24" s="94"/>
      <c r="CG24" s="74"/>
      <c r="CH24" s="74"/>
      <c r="CI24" s="74">
        <v>200</v>
      </c>
      <c r="CJ24" s="143"/>
      <c r="CK24" s="143"/>
      <c r="CL24" s="142">
        <f t="shared" si="1"/>
        <v>0</v>
      </c>
      <c r="CM24" s="171">
        <v>0</v>
      </c>
      <c r="CN24" s="171">
        <v>0</v>
      </c>
      <c r="CO24" s="171">
        <v>0</v>
      </c>
      <c r="CP24" s="171">
        <v>0</v>
      </c>
      <c r="CQ24" s="171">
        <v>0</v>
      </c>
      <c r="CR24" s="171">
        <v>0</v>
      </c>
      <c r="CS24" s="171">
        <f t="shared" si="2"/>
        <v>0</v>
      </c>
      <c r="CT24" s="171">
        <f t="shared" si="3"/>
        <v>0</v>
      </c>
      <c r="CU24" s="171">
        <f t="shared" si="4"/>
        <v>0</v>
      </c>
      <c r="CV24" s="153"/>
      <c r="CW24" s="153"/>
      <c r="CX24" s="130"/>
      <c r="CY24" s="130"/>
      <c r="CZ24" s="130"/>
      <c r="DA24" s="130"/>
      <c r="DB24" s="130"/>
      <c r="DC24" s="130"/>
      <c r="DD24" s="130"/>
      <c r="DE24" s="131"/>
      <c r="DF24" s="131"/>
      <c r="DG24" s="132"/>
      <c r="DH24" s="131"/>
      <c r="DI24" s="131"/>
      <c r="DJ24" s="131"/>
      <c r="DK24" s="131"/>
      <c r="DL24" s="131"/>
      <c r="DM24" s="131"/>
      <c r="DN24" s="131"/>
      <c r="DO24" s="131"/>
      <c r="DP24" s="131"/>
      <c r="DQ24" s="131"/>
      <c r="DR24" s="132"/>
      <c r="DS24" s="131"/>
      <c r="DT24" s="131"/>
      <c r="DU24" s="131"/>
      <c r="DV24" s="131"/>
      <c r="DW24" s="131"/>
      <c r="DX24" s="131"/>
      <c r="DY24" s="131"/>
      <c r="DZ24" s="132"/>
      <c r="EA24" s="132"/>
      <c r="EB24" s="132"/>
      <c r="EC24" s="132"/>
      <c r="ED24" s="131"/>
      <c r="EE24" s="131"/>
      <c r="EF24" s="131"/>
      <c r="EG24" s="131"/>
      <c r="EH24" s="131"/>
      <c r="EI24" s="131"/>
      <c r="EJ24" s="131"/>
      <c r="EK24" s="133"/>
      <c r="EL24" s="132"/>
      <c r="EM24" s="134"/>
      <c r="EN24" s="134"/>
      <c r="EO24" s="134"/>
      <c r="EP24" s="134"/>
      <c r="EQ24" s="134"/>
      <c r="ER24" s="134"/>
      <c r="ES24" s="134"/>
      <c r="ET24" s="134"/>
      <c r="EU24" s="133"/>
      <c r="EV24" s="134"/>
      <c r="EW24" s="133"/>
      <c r="EX24" s="134"/>
      <c r="EY24" s="154"/>
      <c r="EZ24" s="132"/>
      <c r="FA24" s="130"/>
      <c r="FB24" s="201"/>
      <c r="FC24" s="201"/>
      <c r="FD24" s="201"/>
      <c r="FE24" s="201"/>
      <c r="FF24" s="201"/>
      <c r="FG24" s="201"/>
      <c r="FH24" s="201"/>
      <c r="FI24" s="201"/>
      <c r="FJ24" s="201"/>
      <c r="FK24" s="201"/>
      <c r="FL24" s="201"/>
      <c r="FM24" s="201"/>
      <c r="FN24" s="201"/>
      <c r="FO24" s="201"/>
      <c r="FP24" s="201"/>
      <c r="FQ24" s="201"/>
      <c r="FR24" s="201"/>
      <c r="FS24" s="201"/>
      <c r="FT24" s="201"/>
      <c r="FU24" s="201"/>
      <c r="FV24" s="201"/>
      <c r="FW24" s="201"/>
      <c r="FX24" s="201"/>
      <c r="FY24" s="201"/>
      <c r="FZ24" s="201"/>
      <c r="GA24" s="201"/>
      <c r="GB24" s="201"/>
      <c r="GC24" s="201"/>
      <c r="GD24" s="201"/>
      <c r="GE24" s="201"/>
      <c r="GF24" s="201"/>
      <c r="GG24" s="201"/>
      <c r="GH24" s="201"/>
      <c r="GI24" s="201"/>
      <c r="GJ24" s="201"/>
      <c r="GK24" s="201"/>
      <c r="GL24" s="201"/>
      <c r="GM24" s="201"/>
      <c r="GN24" s="201"/>
      <c r="GO24" s="201"/>
      <c r="GP24" s="201"/>
      <c r="GQ24" s="201"/>
    </row>
    <row r="25" spans="1:204" s="68" customFormat="1" ht="14.45" customHeight="1" x14ac:dyDescent="0.25">
      <c r="A25" s="68" t="s">
        <v>693</v>
      </c>
      <c r="B25" s="82" t="s">
        <v>154</v>
      </c>
      <c r="C25" s="82" t="s">
        <v>172</v>
      </c>
      <c r="D25" s="82" t="s">
        <v>196</v>
      </c>
      <c r="E25" s="82" t="s">
        <v>309</v>
      </c>
      <c r="F25" s="82" t="s">
        <v>549</v>
      </c>
      <c r="G25" s="82" t="s">
        <v>137</v>
      </c>
      <c r="H25" s="82" t="s">
        <v>137</v>
      </c>
      <c r="I25" s="82" t="s">
        <v>66</v>
      </c>
      <c r="J25" s="82" t="s">
        <v>29</v>
      </c>
      <c r="K25" s="92" t="s">
        <v>137</v>
      </c>
      <c r="L25" s="92" t="s">
        <v>137</v>
      </c>
      <c r="M25" s="92" t="s">
        <v>137</v>
      </c>
      <c r="N25" s="92" t="s">
        <v>137</v>
      </c>
      <c r="O25" s="92" t="s">
        <v>137</v>
      </c>
      <c r="P25" s="92" t="s">
        <v>137</v>
      </c>
      <c r="Q25" s="82" t="s">
        <v>87</v>
      </c>
      <c r="R25" s="82" t="s">
        <v>714</v>
      </c>
      <c r="S25" s="82" t="s">
        <v>40</v>
      </c>
      <c r="T25" s="82" t="s">
        <v>2</v>
      </c>
      <c r="U25" s="83"/>
      <c r="V25" s="83">
        <v>0.05</v>
      </c>
      <c r="W25" s="83">
        <v>0.08</v>
      </c>
      <c r="X25" s="83">
        <v>0.15</v>
      </c>
      <c r="Y25" s="83">
        <v>0.2</v>
      </c>
      <c r="Z25" s="83">
        <v>0.25</v>
      </c>
      <c r="AA25" s="83">
        <v>0.37</v>
      </c>
      <c r="AB25" s="83">
        <v>0.42</v>
      </c>
      <c r="AC25" s="83">
        <v>0.57999999999999996</v>
      </c>
      <c r="AD25" s="83">
        <v>0.67</v>
      </c>
      <c r="AE25" s="83">
        <v>0.83</v>
      </c>
      <c r="AF25" s="83">
        <v>1</v>
      </c>
      <c r="AG25" s="82" t="s">
        <v>532</v>
      </c>
      <c r="AH25" s="82" t="s">
        <v>529</v>
      </c>
      <c r="AI25" s="88" t="s">
        <v>538</v>
      </c>
      <c r="AJ25" s="89" t="s">
        <v>538</v>
      </c>
      <c r="AK25" s="90">
        <v>46023</v>
      </c>
      <c r="AL25" s="90">
        <v>46387</v>
      </c>
      <c r="AM25" s="89"/>
      <c r="AN25" s="89"/>
      <c r="AO25" s="89"/>
      <c r="AP25" s="91" t="s">
        <v>539</v>
      </c>
      <c r="AQ25" s="90" t="str" cm="1">
        <f t="array" ref="AQ25">IFERROR(DATE(2026, _xlfn.AGGREGATE(15, 6, (COLUMN(BY25:CJ25)-COLUMN(BY25)+1)/(BY25:CJ25&lt;&gt;0), 1), 1),"N/A")</f>
        <v>N/A</v>
      </c>
      <c r="AR25" s="90" t="str" cm="1">
        <f t="array" ref="AR25">IFERROR(EOMONTH(DATE(2026, _xlfn.AGGREGATE(14, 6, (COLUMN(BY25:CJ25)-COLUMN(BY25)+1)/(BY25:CJ25&lt;&gt;0), 1), 1), 0),"N/A")</f>
        <v>N/A</v>
      </c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2" t="s">
        <v>608</v>
      </c>
      <c r="BF25" s="82" t="s">
        <v>1008</v>
      </c>
      <c r="BG25" s="82" t="str">
        <f t="shared" si="0"/>
        <v>000</v>
      </c>
      <c r="BH25" s="88">
        <v>840107</v>
      </c>
      <c r="BI25" s="92" t="s">
        <v>74</v>
      </c>
      <c r="BJ25" s="93">
        <v>3000</v>
      </c>
      <c r="BK25" s="74">
        <v>0</v>
      </c>
      <c r="BL25" s="74">
        <v>0</v>
      </c>
      <c r="BM25" s="74">
        <v>0</v>
      </c>
      <c r="BN25" s="72">
        <v>3000</v>
      </c>
      <c r="BO25" s="74">
        <v>0</v>
      </c>
      <c r="BP25" s="74">
        <v>0</v>
      </c>
      <c r="BQ25" s="74">
        <v>0</v>
      </c>
      <c r="BR25" s="74">
        <v>0</v>
      </c>
      <c r="BS25" s="74">
        <v>0</v>
      </c>
      <c r="BT25" s="74">
        <v>0</v>
      </c>
      <c r="BU25" s="74">
        <v>0</v>
      </c>
      <c r="BV25" s="143">
        <v>0</v>
      </c>
      <c r="BW25" s="143">
        <v>-3000</v>
      </c>
      <c r="BX25" s="143">
        <f t="shared" si="5"/>
        <v>0</v>
      </c>
      <c r="BY25" s="74">
        <v>0</v>
      </c>
      <c r="BZ25" s="74">
        <v>0</v>
      </c>
      <c r="CA25" s="74">
        <v>0</v>
      </c>
      <c r="CB25" s="171">
        <v>0</v>
      </c>
      <c r="CC25" s="74">
        <v>0</v>
      </c>
      <c r="CD25" s="74">
        <v>0</v>
      </c>
      <c r="CE25" s="74">
        <v>0</v>
      </c>
      <c r="CF25" s="74">
        <v>0</v>
      </c>
      <c r="CG25" s="74">
        <v>0</v>
      </c>
      <c r="CH25" s="74">
        <v>0</v>
      </c>
      <c r="CI25" s="74">
        <v>0</v>
      </c>
      <c r="CJ25" s="143">
        <v>0</v>
      </c>
      <c r="CK25" s="143"/>
      <c r="CL25" s="142">
        <f t="shared" si="1"/>
        <v>0</v>
      </c>
      <c r="CM25" s="171">
        <v>0</v>
      </c>
      <c r="CN25" s="171">
        <v>0</v>
      </c>
      <c r="CO25" s="171">
        <v>0</v>
      </c>
      <c r="CP25" s="171">
        <v>0</v>
      </c>
      <c r="CQ25" s="171">
        <v>0</v>
      </c>
      <c r="CR25" s="171">
        <v>0</v>
      </c>
      <c r="CS25" s="171">
        <f t="shared" si="2"/>
        <v>0</v>
      </c>
      <c r="CT25" s="171">
        <f t="shared" si="3"/>
        <v>0</v>
      </c>
      <c r="CU25" s="171">
        <f t="shared" si="4"/>
        <v>0</v>
      </c>
      <c r="CV25" s="149">
        <v>3000</v>
      </c>
      <c r="CW25" s="149">
        <v>0</v>
      </c>
      <c r="CX25" s="130">
        <v>2</v>
      </c>
      <c r="CY25" s="130">
        <v>0</v>
      </c>
      <c r="CZ25" s="130"/>
      <c r="DA25" s="130"/>
      <c r="DB25" s="130"/>
      <c r="DC25" s="130"/>
      <c r="DD25" s="130"/>
      <c r="DE25" s="131">
        <v>46178</v>
      </c>
      <c r="DF25" s="131">
        <v>46178</v>
      </c>
      <c r="DG25" s="132">
        <v>2</v>
      </c>
      <c r="DH25" s="131">
        <v>46181</v>
      </c>
      <c r="DI25" s="131">
        <v>46181</v>
      </c>
      <c r="DJ25" s="131">
        <v>46181</v>
      </c>
      <c r="DK25" s="131">
        <v>46182</v>
      </c>
      <c r="DL25" s="131">
        <v>46183</v>
      </c>
      <c r="DM25" s="131">
        <v>46184</v>
      </c>
      <c r="DN25" s="131">
        <v>46185</v>
      </c>
      <c r="DO25" s="131">
        <v>46188</v>
      </c>
      <c r="DP25" s="131">
        <v>46189</v>
      </c>
      <c r="DQ25" s="131">
        <v>46189</v>
      </c>
      <c r="DR25" s="132">
        <v>2</v>
      </c>
      <c r="DS25" s="131">
        <v>46190</v>
      </c>
      <c r="DT25" s="131">
        <v>46191</v>
      </c>
      <c r="DU25" s="131">
        <v>46192</v>
      </c>
      <c r="DV25" s="131">
        <v>46195</v>
      </c>
      <c r="DW25" s="131">
        <v>46195</v>
      </c>
      <c r="DX25" s="131">
        <v>46196</v>
      </c>
      <c r="DY25" s="131">
        <v>46196</v>
      </c>
      <c r="DZ25" s="132"/>
      <c r="EA25" s="132"/>
      <c r="EB25" s="132"/>
      <c r="EC25" s="132"/>
      <c r="ED25" s="131">
        <v>46197</v>
      </c>
      <c r="EE25" s="131">
        <v>46198</v>
      </c>
      <c r="EF25" s="131">
        <v>46198</v>
      </c>
      <c r="EG25" s="131"/>
      <c r="EH25" s="131"/>
      <c r="EI25" s="131"/>
      <c r="EJ25" s="131">
        <v>46198</v>
      </c>
      <c r="EK25" s="131">
        <v>46204</v>
      </c>
      <c r="EL25" s="132">
        <v>18</v>
      </c>
      <c r="EM25" s="133"/>
      <c r="EN25" s="133"/>
      <c r="EO25" s="133"/>
      <c r="EP25" s="133"/>
      <c r="EQ25" s="133"/>
      <c r="ER25" s="133"/>
      <c r="ES25" s="133"/>
      <c r="ET25" s="133"/>
      <c r="EU25" s="133"/>
      <c r="EV25" s="134"/>
      <c r="EW25" s="133">
        <v>46204</v>
      </c>
      <c r="EX25" s="133"/>
      <c r="EY25" s="135" t="s">
        <v>854</v>
      </c>
      <c r="EZ25" s="137" t="s">
        <v>874</v>
      </c>
      <c r="FA25" s="130"/>
      <c r="FB25" s="202" t="e">
        <v>#NUM!</v>
      </c>
      <c r="FC25" s="202" t="e">
        <v>#NUM!</v>
      </c>
      <c r="FD25" s="202" t="e">
        <v>#NUM!</v>
      </c>
      <c r="FE25" s="202" t="e">
        <v>#NUM!</v>
      </c>
      <c r="FF25" s="202" t="e">
        <v>#NUM!</v>
      </c>
      <c r="FG25" s="202" t="e">
        <v>#NUM!</v>
      </c>
      <c r="FH25" s="202" t="e">
        <v>#NUM!</v>
      </c>
      <c r="FI25" s="202" t="e">
        <v>#NUM!</v>
      </c>
      <c r="FJ25" s="202" t="e">
        <v>#NUM!</v>
      </c>
      <c r="FK25" s="202" t="e">
        <v>#NUM!</v>
      </c>
      <c r="FL25" s="202" t="e">
        <v>#NUM!</v>
      </c>
      <c r="FM25" s="202" t="e">
        <v>#NUM!</v>
      </c>
      <c r="FN25" s="202" t="e">
        <v>#NUM!</v>
      </c>
      <c r="FO25" s="202" t="e">
        <v>#NUM!</v>
      </c>
      <c r="FP25" s="202" t="e">
        <v>#NUM!</v>
      </c>
      <c r="FQ25" s="202" t="e">
        <v>#NUM!</v>
      </c>
      <c r="FR25" s="202" t="e">
        <v>#NUM!</v>
      </c>
      <c r="FS25" s="202" t="e">
        <v>#NUM!</v>
      </c>
      <c r="FT25" s="202" t="e">
        <v>#NUM!</v>
      </c>
      <c r="FU25" s="202"/>
      <c r="FV25" s="202"/>
      <c r="FW25" s="202"/>
      <c r="FX25" s="202"/>
      <c r="FY25" s="202" t="e">
        <v>#NUM!</v>
      </c>
      <c r="FZ25" s="202" t="e">
        <v>#NUM!</v>
      </c>
      <c r="GA25" s="202" t="e">
        <v>#NUM!</v>
      </c>
      <c r="GB25" s="202"/>
      <c r="GC25" s="202"/>
      <c r="GD25" s="202"/>
      <c r="GE25" s="202" t="e">
        <v>#NUM!</v>
      </c>
      <c r="GF25" s="202"/>
      <c r="GG25" s="202">
        <v>18</v>
      </c>
      <c r="GH25" s="202"/>
      <c r="GI25" s="202"/>
      <c r="GJ25" s="202"/>
      <c r="GK25" s="202"/>
      <c r="GL25" s="202"/>
      <c r="GM25" s="202"/>
      <c r="GN25" s="202"/>
      <c r="GO25" s="202"/>
      <c r="GP25" s="202"/>
      <c r="GQ25" s="202"/>
      <c r="GR25" s="189"/>
      <c r="GS25" s="189"/>
      <c r="GT25" s="189"/>
      <c r="GU25" s="189"/>
      <c r="GV25" s="189" t="s">
        <v>1160</v>
      </c>
    </row>
    <row r="26" spans="1:204" s="68" customFormat="1" ht="14.45" customHeight="1" x14ac:dyDescent="0.25">
      <c r="A26" s="68" t="s">
        <v>692</v>
      </c>
      <c r="B26" s="82" t="s">
        <v>154</v>
      </c>
      <c r="C26" s="82" t="s">
        <v>172</v>
      </c>
      <c r="D26" s="82" t="s">
        <v>196</v>
      </c>
      <c r="E26" s="82" t="s">
        <v>309</v>
      </c>
      <c r="F26" s="82" t="s">
        <v>549</v>
      </c>
      <c r="G26" s="82" t="s">
        <v>137</v>
      </c>
      <c r="H26" s="82" t="s">
        <v>137</v>
      </c>
      <c r="I26" s="82" t="s">
        <v>66</v>
      </c>
      <c r="J26" s="82" t="s">
        <v>29</v>
      </c>
      <c r="K26" s="92" t="s">
        <v>137</v>
      </c>
      <c r="L26" s="92" t="s">
        <v>137</v>
      </c>
      <c r="M26" s="92" t="s">
        <v>137</v>
      </c>
      <c r="N26" s="92" t="s">
        <v>137</v>
      </c>
      <c r="O26" s="92" t="s">
        <v>137</v>
      </c>
      <c r="P26" s="92" t="s">
        <v>137</v>
      </c>
      <c r="Q26" s="82" t="s">
        <v>87</v>
      </c>
      <c r="R26" s="82" t="s">
        <v>714</v>
      </c>
      <c r="S26" s="82" t="s">
        <v>40</v>
      </c>
      <c r="T26" s="82" t="s">
        <v>2</v>
      </c>
      <c r="U26" s="83"/>
      <c r="V26" s="83">
        <v>0.05</v>
      </c>
      <c r="W26" s="83">
        <v>0.08</v>
      </c>
      <c r="X26" s="83">
        <v>0.15</v>
      </c>
      <c r="Y26" s="83">
        <v>0.2</v>
      </c>
      <c r="Z26" s="83">
        <v>0.25</v>
      </c>
      <c r="AA26" s="83">
        <v>0.37</v>
      </c>
      <c r="AB26" s="83">
        <v>0.42</v>
      </c>
      <c r="AC26" s="83">
        <v>0.57999999999999996</v>
      </c>
      <c r="AD26" s="83">
        <v>0.67</v>
      </c>
      <c r="AE26" s="83">
        <v>0.83</v>
      </c>
      <c r="AF26" s="83">
        <v>1</v>
      </c>
      <c r="AG26" s="82" t="s">
        <v>532</v>
      </c>
      <c r="AH26" s="82" t="s">
        <v>529</v>
      </c>
      <c r="AI26" s="88" t="s">
        <v>538</v>
      </c>
      <c r="AJ26" s="89" t="s">
        <v>538</v>
      </c>
      <c r="AK26" s="90">
        <v>46023</v>
      </c>
      <c r="AL26" s="90">
        <v>46387</v>
      </c>
      <c r="AM26" s="89"/>
      <c r="AN26" s="89"/>
      <c r="AO26" s="89"/>
      <c r="AP26" s="91" t="s">
        <v>539</v>
      </c>
      <c r="AQ26" s="90" t="str" cm="1">
        <f t="array" ref="AQ26">IFERROR(DATE(2026, _xlfn.AGGREGATE(15, 6, (COLUMN(BY26:CJ26)-COLUMN(BY26)+1)/(BY26:CJ26&lt;&gt;0), 1), 1),"N/A")</f>
        <v>N/A</v>
      </c>
      <c r="AR26" s="90" t="str" cm="1">
        <f t="array" ref="AR26">IFERROR(EOMONTH(DATE(2026, _xlfn.AGGREGATE(14, 6, (COLUMN(BY26:CJ26)-COLUMN(BY26)+1)/(BY26:CJ26&lt;&gt;0), 1), 1), 0),"N/A")</f>
        <v>N/A</v>
      </c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2" t="s">
        <v>577</v>
      </c>
      <c r="BF26" s="82" t="s">
        <v>931</v>
      </c>
      <c r="BG26" s="82" t="str">
        <f t="shared" si="0"/>
        <v>000</v>
      </c>
      <c r="BH26" s="88">
        <v>530813</v>
      </c>
      <c r="BI26" s="92" t="s">
        <v>74</v>
      </c>
      <c r="BJ26" s="93">
        <v>500</v>
      </c>
      <c r="BK26" s="74">
        <v>0</v>
      </c>
      <c r="BL26" s="74">
        <v>0</v>
      </c>
      <c r="BM26" s="74">
        <v>0</v>
      </c>
      <c r="BN26" s="74">
        <v>0</v>
      </c>
      <c r="BO26" s="74">
        <v>0</v>
      </c>
      <c r="BP26" s="74">
        <v>0</v>
      </c>
      <c r="BQ26" s="74">
        <v>0</v>
      </c>
      <c r="BR26" s="74">
        <v>0</v>
      </c>
      <c r="BS26" s="74">
        <v>0</v>
      </c>
      <c r="BT26" s="94">
        <v>500</v>
      </c>
      <c r="BU26" s="74">
        <v>0</v>
      </c>
      <c r="BV26" s="143">
        <v>0</v>
      </c>
      <c r="BW26" s="143">
        <v>-500</v>
      </c>
      <c r="BX26" s="143">
        <f t="shared" si="5"/>
        <v>0</v>
      </c>
      <c r="BY26" s="74">
        <v>0</v>
      </c>
      <c r="BZ26" s="74">
        <v>0</v>
      </c>
      <c r="CA26" s="74">
        <v>0</v>
      </c>
      <c r="CB26" s="74">
        <v>0</v>
      </c>
      <c r="CC26" s="74">
        <v>0</v>
      </c>
      <c r="CD26" s="74">
        <v>0</v>
      </c>
      <c r="CE26" s="74">
        <v>0</v>
      </c>
      <c r="CF26" s="74">
        <v>0</v>
      </c>
      <c r="CG26" s="74">
        <v>0</v>
      </c>
      <c r="CH26" s="94">
        <v>0</v>
      </c>
      <c r="CI26" s="74">
        <v>0</v>
      </c>
      <c r="CJ26" s="143">
        <v>0</v>
      </c>
      <c r="CK26" s="143"/>
      <c r="CL26" s="142">
        <f t="shared" si="1"/>
        <v>0</v>
      </c>
      <c r="CM26" s="171">
        <v>0</v>
      </c>
      <c r="CN26" s="171">
        <v>0</v>
      </c>
      <c r="CO26" s="171">
        <v>0</v>
      </c>
      <c r="CP26" s="171">
        <v>0</v>
      </c>
      <c r="CQ26" s="171">
        <v>0</v>
      </c>
      <c r="CR26" s="171">
        <v>0</v>
      </c>
      <c r="CS26" s="171">
        <f t="shared" si="2"/>
        <v>0</v>
      </c>
      <c r="CT26" s="171">
        <f t="shared" si="3"/>
        <v>0</v>
      </c>
      <c r="CU26" s="171">
        <f t="shared" si="4"/>
        <v>0</v>
      </c>
      <c r="CV26" s="150">
        <v>500</v>
      </c>
      <c r="CW26" s="150">
        <v>0</v>
      </c>
      <c r="CX26" s="130">
        <v>1</v>
      </c>
      <c r="CY26" s="130">
        <v>0</v>
      </c>
      <c r="CZ26" s="130"/>
      <c r="DA26" s="130"/>
      <c r="DB26" s="130"/>
      <c r="DC26" s="130"/>
      <c r="DD26" s="130"/>
      <c r="DE26" s="131">
        <v>46272</v>
      </c>
      <c r="DF26" s="131">
        <v>46272</v>
      </c>
      <c r="DG26" s="132">
        <v>3</v>
      </c>
      <c r="DH26" s="131">
        <v>46273</v>
      </c>
      <c r="DI26" s="131">
        <v>46273</v>
      </c>
      <c r="DJ26" s="131">
        <v>46273</v>
      </c>
      <c r="DK26" s="131">
        <v>46274</v>
      </c>
      <c r="DL26" s="131">
        <v>46275</v>
      </c>
      <c r="DM26" s="131">
        <v>46276</v>
      </c>
      <c r="DN26" s="131">
        <v>46279</v>
      </c>
      <c r="DO26" s="131">
        <v>46280</v>
      </c>
      <c r="DP26" s="131">
        <v>46281</v>
      </c>
      <c r="DQ26" s="131">
        <v>46281</v>
      </c>
      <c r="DR26" s="132">
        <v>3</v>
      </c>
      <c r="DS26" s="131">
        <v>46282</v>
      </c>
      <c r="DT26" s="131">
        <v>46283</v>
      </c>
      <c r="DU26" s="131">
        <v>46286</v>
      </c>
      <c r="DV26" s="131">
        <v>46287</v>
      </c>
      <c r="DW26" s="131">
        <v>46287</v>
      </c>
      <c r="DX26" s="131">
        <v>46288</v>
      </c>
      <c r="DY26" s="131">
        <v>46288</v>
      </c>
      <c r="DZ26" s="132"/>
      <c r="EA26" s="132"/>
      <c r="EB26" s="132"/>
      <c r="EC26" s="132"/>
      <c r="ED26" s="131">
        <v>46289</v>
      </c>
      <c r="EE26" s="131">
        <v>46290</v>
      </c>
      <c r="EF26" s="131">
        <v>46290</v>
      </c>
      <c r="EG26" s="131"/>
      <c r="EH26" s="131"/>
      <c r="EI26" s="131"/>
      <c r="EJ26" s="131">
        <v>46290</v>
      </c>
      <c r="EK26" s="131">
        <v>46296</v>
      </c>
      <c r="EL26" s="132">
        <v>18</v>
      </c>
      <c r="EM26" s="133"/>
      <c r="EN26" s="133"/>
      <c r="EO26" s="133"/>
      <c r="EP26" s="133"/>
      <c r="EQ26" s="133"/>
      <c r="ER26" s="133"/>
      <c r="ES26" s="133"/>
      <c r="ET26" s="133"/>
      <c r="EU26" s="133"/>
      <c r="EV26" s="134"/>
      <c r="EW26" s="133">
        <v>46296</v>
      </c>
      <c r="EX26" s="133"/>
      <c r="EY26" s="135" t="s">
        <v>854</v>
      </c>
      <c r="EZ26" s="132" t="s">
        <v>857</v>
      </c>
      <c r="FA26" s="136"/>
      <c r="FB26" s="202" t="e">
        <v>#NUM!</v>
      </c>
      <c r="FC26" s="202" t="e">
        <v>#NUM!</v>
      </c>
      <c r="FD26" s="202" t="e">
        <v>#NUM!</v>
      </c>
      <c r="FE26" s="202" t="e">
        <v>#NUM!</v>
      </c>
      <c r="FF26" s="202" t="e">
        <v>#NUM!</v>
      </c>
      <c r="FG26" s="202" t="e">
        <v>#NUM!</v>
      </c>
      <c r="FH26" s="202" t="e">
        <v>#NUM!</v>
      </c>
      <c r="FI26" s="202" t="e">
        <v>#NUM!</v>
      </c>
      <c r="FJ26" s="202" t="e">
        <v>#NUM!</v>
      </c>
      <c r="FK26" s="202" t="e">
        <v>#NUM!</v>
      </c>
      <c r="FL26" s="202" t="e">
        <v>#NUM!</v>
      </c>
      <c r="FM26" s="202" t="e">
        <v>#NUM!</v>
      </c>
      <c r="FN26" s="202" t="e">
        <v>#NUM!</v>
      </c>
      <c r="FO26" s="202" t="e">
        <v>#NUM!</v>
      </c>
      <c r="FP26" s="202" t="e">
        <v>#NUM!</v>
      </c>
      <c r="FQ26" s="202" t="e">
        <v>#NUM!</v>
      </c>
      <c r="FR26" s="202" t="e">
        <v>#NUM!</v>
      </c>
      <c r="FS26" s="202" t="e">
        <v>#NUM!</v>
      </c>
      <c r="FT26" s="202" t="e">
        <v>#NUM!</v>
      </c>
      <c r="FU26" s="202"/>
      <c r="FV26" s="202"/>
      <c r="FW26" s="202"/>
      <c r="FX26" s="202"/>
      <c r="FY26" s="202" t="e">
        <v>#NUM!</v>
      </c>
      <c r="FZ26" s="202" t="e">
        <v>#NUM!</v>
      </c>
      <c r="GA26" s="202" t="e">
        <v>#NUM!</v>
      </c>
      <c r="GB26" s="202"/>
      <c r="GC26" s="202"/>
      <c r="GD26" s="202"/>
      <c r="GE26" s="202" t="e">
        <v>#NUM!</v>
      </c>
      <c r="GF26" s="202"/>
      <c r="GG26" s="202">
        <v>18</v>
      </c>
      <c r="GH26" s="202"/>
      <c r="GI26" s="202"/>
      <c r="GJ26" s="202"/>
      <c r="GK26" s="202"/>
      <c r="GL26" s="202"/>
      <c r="GM26" s="202"/>
      <c r="GN26" s="202"/>
      <c r="GO26" s="202"/>
      <c r="GP26" s="202"/>
      <c r="GQ26" s="202"/>
      <c r="GR26" s="189"/>
      <c r="GS26" s="189"/>
      <c r="GT26" s="189"/>
      <c r="GU26" s="189"/>
      <c r="GV26" s="189" t="s">
        <v>1160</v>
      </c>
    </row>
    <row r="27" spans="1:204" s="68" customFormat="1" ht="14.45" customHeight="1" x14ac:dyDescent="0.25">
      <c r="A27" s="68" t="s">
        <v>691</v>
      </c>
      <c r="B27" s="82" t="s">
        <v>154</v>
      </c>
      <c r="C27" s="82" t="s">
        <v>172</v>
      </c>
      <c r="D27" s="82" t="s">
        <v>196</v>
      </c>
      <c r="E27" s="82" t="s">
        <v>309</v>
      </c>
      <c r="F27" s="82" t="s">
        <v>549</v>
      </c>
      <c r="G27" s="82" t="s">
        <v>137</v>
      </c>
      <c r="H27" s="82" t="s">
        <v>137</v>
      </c>
      <c r="I27" s="82" t="s">
        <v>66</v>
      </c>
      <c r="J27" s="82" t="s">
        <v>29</v>
      </c>
      <c r="K27" s="92" t="s">
        <v>137</v>
      </c>
      <c r="L27" s="92" t="s">
        <v>137</v>
      </c>
      <c r="M27" s="92" t="s">
        <v>137</v>
      </c>
      <c r="N27" s="92" t="s">
        <v>137</v>
      </c>
      <c r="O27" s="92" t="s">
        <v>137</v>
      </c>
      <c r="P27" s="92" t="s">
        <v>137</v>
      </c>
      <c r="Q27" s="82" t="s">
        <v>87</v>
      </c>
      <c r="R27" s="82" t="s">
        <v>714</v>
      </c>
      <c r="S27" s="82" t="s">
        <v>40</v>
      </c>
      <c r="T27" s="82" t="s">
        <v>2</v>
      </c>
      <c r="U27" s="83"/>
      <c r="V27" s="83">
        <v>0.05</v>
      </c>
      <c r="W27" s="83">
        <v>0.08</v>
      </c>
      <c r="X27" s="83">
        <v>0.15</v>
      </c>
      <c r="Y27" s="83">
        <v>0.2</v>
      </c>
      <c r="Z27" s="83">
        <v>0.25</v>
      </c>
      <c r="AA27" s="83">
        <v>0.37</v>
      </c>
      <c r="AB27" s="83">
        <v>0.42</v>
      </c>
      <c r="AC27" s="83">
        <v>0.57999999999999996</v>
      </c>
      <c r="AD27" s="83">
        <v>0.67</v>
      </c>
      <c r="AE27" s="83">
        <v>0.83</v>
      </c>
      <c r="AF27" s="83">
        <v>1</v>
      </c>
      <c r="AG27" s="82" t="s">
        <v>532</v>
      </c>
      <c r="AH27" s="82" t="s">
        <v>529</v>
      </c>
      <c r="AI27" s="88" t="s">
        <v>538</v>
      </c>
      <c r="AJ27" s="89" t="s">
        <v>538</v>
      </c>
      <c r="AK27" s="90">
        <v>46023</v>
      </c>
      <c r="AL27" s="90">
        <v>46387</v>
      </c>
      <c r="AM27" s="89"/>
      <c r="AN27" s="89"/>
      <c r="AO27" s="89"/>
      <c r="AP27" s="91" t="s">
        <v>539</v>
      </c>
      <c r="AQ27" s="90" cm="1">
        <f t="array" ref="AQ27">IFERROR(DATE(2026, _xlfn.AGGREGATE(15, 6, (COLUMN(BY27:CJ27)-COLUMN(BY27)+1)/(BY27:CJ27&lt;&gt;0), 1), 1),"N/A")</f>
        <v>46296</v>
      </c>
      <c r="AR27" s="90" cm="1">
        <f t="array" ref="AR27">IFERROR(EOMONTH(DATE(2026, _xlfn.AGGREGATE(14, 6, (COLUMN(BY27:CJ27)-COLUMN(BY27)+1)/(BY27:CJ27&lt;&gt;0), 1), 1), 0),"N/A")</f>
        <v>46326</v>
      </c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2" t="s">
        <v>579</v>
      </c>
      <c r="BF27" s="82" t="s">
        <v>932</v>
      </c>
      <c r="BG27" s="82" t="str">
        <f t="shared" si="0"/>
        <v>000</v>
      </c>
      <c r="BH27" s="88">
        <v>530802</v>
      </c>
      <c r="BI27" s="92" t="s">
        <v>74</v>
      </c>
      <c r="BJ27" s="93">
        <v>676</v>
      </c>
      <c r="BK27" s="74">
        <v>0</v>
      </c>
      <c r="BL27" s="74">
        <v>0</v>
      </c>
      <c r="BM27" s="74">
        <v>0</v>
      </c>
      <c r="BN27" s="74">
        <v>0</v>
      </c>
      <c r="BO27" s="74">
        <v>0</v>
      </c>
      <c r="BP27" s="74">
        <v>0</v>
      </c>
      <c r="BQ27" s="74">
        <v>0</v>
      </c>
      <c r="BR27" s="74">
        <v>0</v>
      </c>
      <c r="BS27" s="74">
        <v>0</v>
      </c>
      <c r="BT27" s="94">
        <v>676</v>
      </c>
      <c r="BU27" s="74">
        <v>0</v>
      </c>
      <c r="BV27" s="143">
        <v>0</v>
      </c>
      <c r="BW27" s="143"/>
      <c r="BX27" s="143">
        <f t="shared" si="5"/>
        <v>676</v>
      </c>
      <c r="BY27" s="74">
        <v>0</v>
      </c>
      <c r="BZ27" s="74">
        <v>0</v>
      </c>
      <c r="CA27" s="74">
        <v>0</v>
      </c>
      <c r="CB27" s="74">
        <v>0</v>
      </c>
      <c r="CC27" s="74">
        <v>0</v>
      </c>
      <c r="CD27" s="74">
        <v>0</v>
      </c>
      <c r="CE27" s="74">
        <v>0</v>
      </c>
      <c r="CF27" s="74">
        <v>0</v>
      </c>
      <c r="CG27" s="74">
        <v>0</v>
      </c>
      <c r="CH27" s="94">
        <v>676</v>
      </c>
      <c r="CI27" s="74">
        <v>0</v>
      </c>
      <c r="CJ27" s="143">
        <v>0</v>
      </c>
      <c r="CK27" s="143"/>
      <c r="CL27" s="142">
        <f t="shared" si="1"/>
        <v>0</v>
      </c>
      <c r="CM27" s="171">
        <v>0</v>
      </c>
      <c r="CN27" s="171">
        <v>0</v>
      </c>
      <c r="CO27" s="171">
        <v>0</v>
      </c>
      <c r="CP27" s="171">
        <v>0</v>
      </c>
      <c r="CQ27" s="171">
        <v>0</v>
      </c>
      <c r="CR27" s="171">
        <v>0</v>
      </c>
      <c r="CS27" s="171">
        <f t="shared" si="2"/>
        <v>0</v>
      </c>
      <c r="CT27" s="171">
        <f t="shared" si="3"/>
        <v>0</v>
      </c>
      <c r="CU27" s="171">
        <f t="shared" si="4"/>
        <v>0</v>
      </c>
      <c r="CV27" s="152">
        <v>676</v>
      </c>
      <c r="CW27" s="152">
        <v>676</v>
      </c>
      <c r="CX27" s="130">
        <v>3</v>
      </c>
      <c r="CY27" s="130">
        <v>3</v>
      </c>
      <c r="CZ27" s="130" t="s">
        <v>322</v>
      </c>
      <c r="DA27" s="130" t="s">
        <v>865</v>
      </c>
      <c r="DB27" s="130" t="s">
        <v>850</v>
      </c>
      <c r="DC27" s="130" t="s">
        <v>851</v>
      </c>
      <c r="DD27" s="130"/>
      <c r="DE27" s="131">
        <v>46240</v>
      </c>
      <c r="DF27" s="131">
        <v>46240</v>
      </c>
      <c r="DG27" s="132">
        <v>2</v>
      </c>
      <c r="DH27" s="131">
        <v>46241</v>
      </c>
      <c r="DI27" s="131">
        <v>46241</v>
      </c>
      <c r="DJ27" s="131">
        <v>46241</v>
      </c>
      <c r="DK27" s="131">
        <v>46244</v>
      </c>
      <c r="DL27" s="131">
        <v>46245</v>
      </c>
      <c r="DM27" s="131">
        <v>46246</v>
      </c>
      <c r="DN27" s="131">
        <v>46247</v>
      </c>
      <c r="DO27" s="131">
        <v>46248</v>
      </c>
      <c r="DP27" s="131">
        <v>46251</v>
      </c>
      <c r="DQ27" s="131">
        <v>46251</v>
      </c>
      <c r="DR27" s="132">
        <v>2</v>
      </c>
      <c r="DS27" s="131">
        <v>46252</v>
      </c>
      <c r="DT27" s="131">
        <v>46253</v>
      </c>
      <c r="DU27" s="131">
        <v>46254</v>
      </c>
      <c r="DV27" s="131">
        <v>46255</v>
      </c>
      <c r="DW27" s="131">
        <v>46255</v>
      </c>
      <c r="DX27" s="131">
        <v>46258</v>
      </c>
      <c r="DY27" s="131">
        <v>46258</v>
      </c>
      <c r="DZ27" s="132"/>
      <c r="EA27" s="132"/>
      <c r="EB27" s="132"/>
      <c r="EC27" s="132"/>
      <c r="ED27" s="131">
        <v>46259</v>
      </c>
      <c r="EE27" s="131">
        <v>46260</v>
      </c>
      <c r="EF27" s="131">
        <v>46260</v>
      </c>
      <c r="EG27" s="131">
        <v>46261</v>
      </c>
      <c r="EH27" s="131">
        <v>46262</v>
      </c>
      <c r="EI27" s="131">
        <v>46265</v>
      </c>
      <c r="EJ27" s="131">
        <v>46266</v>
      </c>
      <c r="EK27" s="131">
        <v>46266</v>
      </c>
      <c r="EL27" s="132">
        <v>18</v>
      </c>
      <c r="EM27" s="133"/>
      <c r="EN27" s="133"/>
      <c r="EO27" s="133"/>
      <c r="EP27" s="133"/>
      <c r="EQ27" s="133"/>
      <c r="ER27" s="133"/>
      <c r="ES27" s="133"/>
      <c r="ET27" s="133"/>
      <c r="EU27" s="133">
        <v>46268</v>
      </c>
      <c r="EV27" s="134">
        <v>3</v>
      </c>
      <c r="EW27" s="133"/>
      <c r="EX27" s="133"/>
      <c r="EY27" s="154" t="s">
        <v>866</v>
      </c>
      <c r="EZ27" s="132" t="s">
        <v>894</v>
      </c>
      <c r="FA27" s="136"/>
      <c r="FB27" s="203">
        <v>46239</v>
      </c>
      <c r="FC27" s="203">
        <v>46239</v>
      </c>
      <c r="FD27" s="203">
        <v>46240</v>
      </c>
      <c r="FE27" s="203">
        <v>46240</v>
      </c>
      <c r="FF27" s="203">
        <v>46240</v>
      </c>
      <c r="FG27" s="203">
        <v>46241</v>
      </c>
      <c r="FH27" s="203">
        <v>46245</v>
      </c>
      <c r="FI27" s="203">
        <v>46246</v>
      </c>
      <c r="FJ27" s="203">
        <v>46247</v>
      </c>
      <c r="FK27" s="203">
        <v>46248</v>
      </c>
      <c r="FL27" s="203">
        <v>46251</v>
      </c>
      <c r="FM27" s="203">
        <v>46251</v>
      </c>
      <c r="FN27" s="203">
        <v>46252</v>
      </c>
      <c r="FO27" s="203">
        <v>46253</v>
      </c>
      <c r="FP27" s="203">
        <v>46254</v>
      </c>
      <c r="FQ27" s="203">
        <v>46255</v>
      </c>
      <c r="FR27" s="203">
        <v>46255</v>
      </c>
      <c r="FS27" s="203">
        <v>46258</v>
      </c>
      <c r="FT27" s="203">
        <v>46258</v>
      </c>
      <c r="FU27" s="203"/>
      <c r="FV27" s="203"/>
      <c r="FW27" s="203"/>
      <c r="FX27" s="203"/>
      <c r="FY27" s="203">
        <v>46259</v>
      </c>
      <c r="FZ27" s="203">
        <v>46260</v>
      </c>
      <c r="GA27" s="203">
        <v>46260</v>
      </c>
      <c r="GB27" s="203">
        <v>46261</v>
      </c>
      <c r="GC27" s="203">
        <v>46262</v>
      </c>
      <c r="GD27" s="203">
        <v>46265</v>
      </c>
      <c r="GE27" s="203">
        <v>46266</v>
      </c>
      <c r="GF27" s="203">
        <v>46266</v>
      </c>
      <c r="GG27" s="203">
        <v>18</v>
      </c>
      <c r="GH27" s="203"/>
      <c r="GI27" s="203"/>
      <c r="GJ27" s="203"/>
      <c r="GK27" s="203"/>
      <c r="GL27" s="203"/>
      <c r="GM27" s="203"/>
      <c r="GN27" s="203"/>
      <c r="GO27" s="203"/>
      <c r="GP27" s="203">
        <v>46268</v>
      </c>
      <c r="GQ27" s="203"/>
      <c r="GR27" s="187"/>
      <c r="GS27" s="187" t="s">
        <v>1180</v>
      </c>
      <c r="GT27" s="187" t="s">
        <v>866</v>
      </c>
      <c r="GU27" s="187" t="s">
        <v>894</v>
      </c>
      <c r="GV27" s="187"/>
    </row>
    <row r="28" spans="1:204" s="68" customFormat="1" ht="14.45" customHeight="1" x14ac:dyDescent="0.25">
      <c r="A28" s="68" t="s">
        <v>692</v>
      </c>
      <c r="B28" s="82" t="s">
        <v>154</v>
      </c>
      <c r="C28" s="82" t="s">
        <v>172</v>
      </c>
      <c r="D28" s="82" t="s">
        <v>196</v>
      </c>
      <c r="E28" s="82" t="s">
        <v>309</v>
      </c>
      <c r="F28" s="82" t="s">
        <v>549</v>
      </c>
      <c r="G28" s="82" t="s">
        <v>137</v>
      </c>
      <c r="H28" s="82" t="s">
        <v>137</v>
      </c>
      <c r="I28" s="82" t="s">
        <v>66</v>
      </c>
      <c r="J28" s="82" t="s">
        <v>29</v>
      </c>
      <c r="K28" s="92" t="s">
        <v>137</v>
      </c>
      <c r="L28" s="92" t="s">
        <v>137</v>
      </c>
      <c r="M28" s="92" t="s">
        <v>137</v>
      </c>
      <c r="N28" s="92" t="s">
        <v>137</v>
      </c>
      <c r="O28" s="92" t="s">
        <v>137</v>
      </c>
      <c r="P28" s="92" t="s">
        <v>137</v>
      </c>
      <c r="Q28" s="82" t="s">
        <v>87</v>
      </c>
      <c r="R28" s="82" t="s">
        <v>714</v>
      </c>
      <c r="S28" s="82" t="s">
        <v>40</v>
      </c>
      <c r="T28" s="82" t="s">
        <v>2</v>
      </c>
      <c r="U28" s="83"/>
      <c r="V28" s="83">
        <v>0.05</v>
      </c>
      <c r="W28" s="83">
        <v>0.08</v>
      </c>
      <c r="X28" s="83">
        <v>0.15</v>
      </c>
      <c r="Y28" s="83">
        <v>0.2</v>
      </c>
      <c r="Z28" s="83">
        <v>0.25</v>
      </c>
      <c r="AA28" s="83">
        <v>0.37</v>
      </c>
      <c r="AB28" s="83">
        <v>0.42</v>
      </c>
      <c r="AC28" s="83">
        <v>0.57999999999999996</v>
      </c>
      <c r="AD28" s="83">
        <v>0.67</v>
      </c>
      <c r="AE28" s="83">
        <v>0.83</v>
      </c>
      <c r="AF28" s="83">
        <v>1</v>
      </c>
      <c r="AG28" s="82" t="s">
        <v>532</v>
      </c>
      <c r="AH28" s="82" t="s">
        <v>529</v>
      </c>
      <c r="AI28" s="88" t="s">
        <v>538</v>
      </c>
      <c r="AJ28" s="89" t="s">
        <v>538</v>
      </c>
      <c r="AK28" s="90">
        <v>46023</v>
      </c>
      <c r="AL28" s="90">
        <v>46387</v>
      </c>
      <c r="AM28" s="89"/>
      <c r="AN28" s="89"/>
      <c r="AO28" s="89"/>
      <c r="AP28" s="91" t="s">
        <v>539</v>
      </c>
      <c r="AQ28" s="90" cm="1">
        <f t="array" ref="AQ28">IFERROR(DATE(2026, _xlfn.AGGREGATE(15, 6, (COLUMN(BY28:CJ28)-COLUMN(BY28)+1)/(BY28:CJ28&lt;&gt;0), 1), 1),"N/A")</f>
        <v>46143</v>
      </c>
      <c r="AR28" s="90" cm="1">
        <f t="array" ref="AR28">IFERROR(EOMONTH(DATE(2026, _xlfn.AGGREGATE(14, 6, (COLUMN(BY28:CJ28)-COLUMN(BY28)+1)/(BY28:CJ28&lt;&gt;0), 1), 1), 0),"N/A")</f>
        <v>46173</v>
      </c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2" t="s">
        <v>655</v>
      </c>
      <c r="BF28" s="82" t="s">
        <v>933</v>
      </c>
      <c r="BG28" s="82" t="str">
        <f t="shared" si="0"/>
        <v>000</v>
      </c>
      <c r="BH28" s="88">
        <v>530807</v>
      </c>
      <c r="BI28" s="92" t="s">
        <v>74</v>
      </c>
      <c r="BJ28" s="93">
        <v>20000</v>
      </c>
      <c r="BK28" s="74">
        <v>0</v>
      </c>
      <c r="BL28" s="74">
        <v>0</v>
      </c>
      <c r="BM28" s="74">
        <v>0</v>
      </c>
      <c r="BN28" s="74">
        <v>0</v>
      </c>
      <c r="BO28" s="74">
        <v>0</v>
      </c>
      <c r="BP28" s="74">
        <v>0</v>
      </c>
      <c r="BQ28" s="74">
        <v>0</v>
      </c>
      <c r="BR28" s="94">
        <v>20000</v>
      </c>
      <c r="BS28" s="74">
        <v>0</v>
      </c>
      <c r="BT28" s="74">
        <v>0</v>
      </c>
      <c r="BU28" s="74">
        <v>0</v>
      </c>
      <c r="BV28" s="143">
        <v>0</v>
      </c>
      <c r="BW28" s="143">
        <v>-1188</v>
      </c>
      <c r="BX28" s="143">
        <f t="shared" si="5"/>
        <v>18812</v>
      </c>
      <c r="BY28" s="74">
        <v>0</v>
      </c>
      <c r="BZ28" s="74">
        <v>0</v>
      </c>
      <c r="CA28" s="74">
        <v>0</v>
      </c>
      <c r="CB28" s="74">
        <v>0</v>
      </c>
      <c r="CC28" s="74">
        <v>18812</v>
      </c>
      <c r="CD28" s="74">
        <v>0</v>
      </c>
      <c r="CE28" s="74">
        <v>0</v>
      </c>
      <c r="CF28" s="94"/>
      <c r="CG28" s="74">
        <v>0</v>
      </c>
      <c r="CH28" s="74">
        <v>0</v>
      </c>
      <c r="CI28" s="74">
        <v>0</v>
      </c>
      <c r="CJ28" s="143">
        <v>0</v>
      </c>
      <c r="CK28" s="143"/>
      <c r="CL28" s="142">
        <f t="shared" si="1"/>
        <v>0</v>
      </c>
      <c r="CM28" s="171">
        <v>0</v>
      </c>
      <c r="CN28" s="171">
        <v>0</v>
      </c>
      <c r="CO28" s="171">
        <v>0</v>
      </c>
      <c r="CP28" s="171">
        <v>0</v>
      </c>
      <c r="CQ28" s="171">
        <v>0</v>
      </c>
      <c r="CR28" s="171">
        <v>0</v>
      </c>
      <c r="CS28" s="171">
        <f t="shared" si="2"/>
        <v>0</v>
      </c>
      <c r="CT28" s="171">
        <f t="shared" si="3"/>
        <v>0</v>
      </c>
      <c r="CU28" s="171">
        <f t="shared" si="4"/>
        <v>0</v>
      </c>
      <c r="CV28" s="152">
        <v>20000</v>
      </c>
      <c r="CW28" s="149">
        <v>18812</v>
      </c>
      <c r="CX28" s="130">
        <v>2</v>
      </c>
      <c r="CY28" s="130">
        <v>2</v>
      </c>
      <c r="CZ28" s="130" t="s">
        <v>322</v>
      </c>
      <c r="DA28" s="138" t="s">
        <v>865</v>
      </c>
      <c r="DB28" s="130" t="s">
        <v>850</v>
      </c>
      <c r="DC28" s="130" t="s">
        <v>851</v>
      </c>
      <c r="DD28" s="130"/>
      <c r="DE28" s="131">
        <v>46111</v>
      </c>
      <c r="DF28" s="131">
        <v>46111</v>
      </c>
      <c r="DG28" s="132">
        <v>1</v>
      </c>
      <c r="DH28" s="131">
        <v>46112</v>
      </c>
      <c r="DI28" s="131">
        <v>46112</v>
      </c>
      <c r="DJ28" s="131">
        <v>46112</v>
      </c>
      <c r="DK28" s="131">
        <v>46113</v>
      </c>
      <c r="DL28" s="131">
        <v>46114</v>
      </c>
      <c r="DM28" s="131">
        <v>46115</v>
      </c>
      <c r="DN28" s="131">
        <v>46118</v>
      </c>
      <c r="DO28" s="131">
        <v>46119</v>
      </c>
      <c r="DP28" s="131">
        <v>46120</v>
      </c>
      <c r="DQ28" s="131">
        <v>46120</v>
      </c>
      <c r="DR28" s="132">
        <v>1</v>
      </c>
      <c r="DS28" s="131">
        <v>46121</v>
      </c>
      <c r="DT28" s="131">
        <v>46122</v>
      </c>
      <c r="DU28" s="131">
        <v>46125</v>
      </c>
      <c r="DV28" s="131">
        <v>46126</v>
      </c>
      <c r="DW28" s="131">
        <v>46126</v>
      </c>
      <c r="DX28" s="131">
        <v>46127</v>
      </c>
      <c r="DY28" s="131">
        <v>46127</v>
      </c>
      <c r="DZ28" s="132"/>
      <c r="EA28" s="132"/>
      <c r="EB28" s="132"/>
      <c r="EC28" s="132"/>
      <c r="ED28" s="131">
        <v>46128</v>
      </c>
      <c r="EE28" s="131">
        <v>46129</v>
      </c>
      <c r="EF28" s="131">
        <v>46129</v>
      </c>
      <c r="EG28" s="131">
        <v>46132</v>
      </c>
      <c r="EH28" s="131">
        <v>0</v>
      </c>
      <c r="EI28" s="131">
        <v>2</v>
      </c>
      <c r="EJ28" s="131">
        <v>3</v>
      </c>
      <c r="EK28" s="131">
        <v>46135</v>
      </c>
      <c r="EL28" s="132">
        <v>18</v>
      </c>
      <c r="EM28" s="139"/>
      <c r="EN28" s="133"/>
      <c r="EO28" s="133"/>
      <c r="EP28" s="133"/>
      <c r="EQ28" s="133"/>
      <c r="ER28" s="133"/>
      <c r="ES28" s="133"/>
      <c r="ET28" s="133"/>
      <c r="EU28" s="133">
        <v>46139</v>
      </c>
      <c r="EV28" s="134">
        <v>1</v>
      </c>
      <c r="EW28" s="133"/>
      <c r="EX28" s="133"/>
      <c r="EY28" s="154" t="s">
        <v>866</v>
      </c>
      <c r="EZ28" s="132" t="s">
        <v>857</v>
      </c>
      <c r="FA28" s="136"/>
      <c r="FB28" s="203">
        <v>46108</v>
      </c>
      <c r="FC28" s="203">
        <v>46108</v>
      </c>
      <c r="FD28" s="203">
        <v>46111</v>
      </c>
      <c r="FE28" s="203">
        <v>46111</v>
      </c>
      <c r="FF28" s="203">
        <v>46111</v>
      </c>
      <c r="FG28" s="203">
        <v>46112</v>
      </c>
      <c r="FH28" s="203">
        <v>46113</v>
      </c>
      <c r="FI28" s="203">
        <v>46114</v>
      </c>
      <c r="FJ28" s="203">
        <v>46118</v>
      </c>
      <c r="FK28" s="203">
        <v>46119</v>
      </c>
      <c r="FL28" s="203">
        <v>46120</v>
      </c>
      <c r="FM28" s="203">
        <v>46120</v>
      </c>
      <c r="FN28" s="203">
        <v>46121</v>
      </c>
      <c r="FO28" s="203">
        <v>46122</v>
      </c>
      <c r="FP28" s="203">
        <v>46125</v>
      </c>
      <c r="FQ28" s="203">
        <v>46126</v>
      </c>
      <c r="FR28" s="203">
        <v>46126</v>
      </c>
      <c r="FS28" s="203">
        <v>46127</v>
      </c>
      <c r="FT28" s="203">
        <v>46127</v>
      </c>
      <c r="FU28" s="203"/>
      <c r="FV28" s="203"/>
      <c r="FW28" s="203"/>
      <c r="FX28" s="203"/>
      <c r="FY28" s="203">
        <v>46128</v>
      </c>
      <c r="FZ28" s="203">
        <v>46129</v>
      </c>
      <c r="GA28" s="203">
        <v>46129</v>
      </c>
      <c r="GB28" s="203">
        <v>46132</v>
      </c>
      <c r="GC28" s="203">
        <v>0</v>
      </c>
      <c r="GD28" s="203">
        <v>2</v>
      </c>
      <c r="GE28" s="203">
        <v>3</v>
      </c>
      <c r="GF28" s="203">
        <v>46135</v>
      </c>
      <c r="GG28" s="203">
        <v>18</v>
      </c>
      <c r="GH28" s="203"/>
      <c r="GI28" s="203"/>
      <c r="GJ28" s="203"/>
      <c r="GK28" s="203"/>
      <c r="GL28" s="203"/>
      <c r="GM28" s="203"/>
      <c r="GN28" s="203"/>
      <c r="GO28" s="203"/>
      <c r="GP28" s="203">
        <v>46139</v>
      </c>
      <c r="GQ28" s="203"/>
      <c r="GR28" s="187"/>
      <c r="GS28" s="187" t="s">
        <v>1180</v>
      </c>
      <c r="GT28" s="187" t="s">
        <v>866</v>
      </c>
      <c r="GU28" s="187" t="s">
        <v>857</v>
      </c>
      <c r="GV28" s="187" t="s">
        <v>1153</v>
      </c>
    </row>
    <row r="29" spans="1:204" s="68" customFormat="1" ht="14.45" customHeight="1" x14ac:dyDescent="0.25">
      <c r="A29" s="68" t="s">
        <v>692</v>
      </c>
      <c r="B29" s="82" t="s">
        <v>154</v>
      </c>
      <c r="C29" s="82" t="s">
        <v>172</v>
      </c>
      <c r="D29" s="82" t="s">
        <v>196</v>
      </c>
      <c r="E29" s="82" t="s">
        <v>309</v>
      </c>
      <c r="F29" s="82" t="s">
        <v>549</v>
      </c>
      <c r="G29" s="82" t="s">
        <v>137</v>
      </c>
      <c r="H29" s="82" t="s">
        <v>137</v>
      </c>
      <c r="I29" s="82" t="s">
        <v>66</v>
      </c>
      <c r="J29" s="82" t="s">
        <v>29</v>
      </c>
      <c r="K29" s="92" t="s">
        <v>137</v>
      </c>
      <c r="L29" s="92" t="s">
        <v>137</v>
      </c>
      <c r="M29" s="92" t="s">
        <v>137</v>
      </c>
      <c r="N29" s="92" t="s">
        <v>137</v>
      </c>
      <c r="O29" s="92" t="s">
        <v>137</v>
      </c>
      <c r="P29" s="92" t="s">
        <v>137</v>
      </c>
      <c r="Q29" s="82" t="s">
        <v>87</v>
      </c>
      <c r="R29" s="82" t="s">
        <v>714</v>
      </c>
      <c r="S29" s="82" t="s">
        <v>40</v>
      </c>
      <c r="T29" s="82" t="s">
        <v>2</v>
      </c>
      <c r="U29" s="83"/>
      <c r="V29" s="83">
        <v>0.05</v>
      </c>
      <c r="W29" s="83">
        <v>0.08</v>
      </c>
      <c r="X29" s="83">
        <v>0.15</v>
      </c>
      <c r="Y29" s="83">
        <v>0.2</v>
      </c>
      <c r="Z29" s="83">
        <v>0.25</v>
      </c>
      <c r="AA29" s="83">
        <v>0.37</v>
      </c>
      <c r="AB29" s="83">
        <v>0.42</v>
      </c>
      <c r="AC29" s="83">
        <v>0.57999999999999996</v>
      </c>
      <c r="AD29" s="83">
        <v>0.67</v>
      </c>
      <c r="AE29" s="83">
        <v>0.83</v>
      </c>
      <c r="AF29" s="83">
        <v>1</v>
      </c>
      <c r="AG29" s="82" t="s">
        <v>532</v>
      </c>
      <c r="AH29" s="82" t="s">
        <v>794</v>
      </c>
      <c r="AI29" s="88" t="s">
        <v>538</v>
      </c>
      <c r="AJ29" s="89" t="s">
        <v>538</v>
      </c>
      <c r="AK29" s="90">
        <v>46023</v>
      </c>
      <c r="AL29" s="90">
        <v>46387</v>
      </c>
      <c r="AM29" s="89"/>
      <c r="AN29" s="89"/>
      <c r="AO29" s="89"/>
      <c r="AP29" s="91" t="s">
        <v>539</v>
      </c>
      <c r="AQ29" s="90" cm="1">
        <f t="array" ref="AQ29">IFERROR(DATE(2026, _xlfn.AGGREGATE(15, 6, (COLUMN(BY29:CJ29)-COLUMN(BY29)+1)/(BY29:CJ29&lt;&gt;0), 1), 1),"N/A")</f>
        <v>46082</v>
      </c>
      <c r="AR29" s="90" cm="1">
        <f t="array" ref="AR29">IFERROR(EOMONTH(DATE(2026, _xlfn.AGGREGATE(14, 6, (COLUMN(BY29:CJ29)-COLUMN(BY29)+1)/(BY29:CJ29&lt;&gt;0), 1), 1), 0),"N/A")</f>
        <v>46112</v>
      </c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2" t="s">
        <v>1112</v>
      </c>
      <c r="BF29" s="82" t="s">
        <v>1113</v>
      </c>
      <c r="BG29" s="82" t="str">
        <f t="shared" si="0"/>
        <v>000</v>
      </c>
      <c r="BH29" s="88">
        <v>530807</v>
      </c>
      <c r="BI29" s="92" t="s">
        <v>74</v>
      </c>
      <c r="BJ29" s="93">
        <v>0</v>
      </c>
      <c r="BK29" s="74"/>
      <c r="BL29" s="74"/>
      <c r="BM29" s="74"/>
      <c r="BN29" s="74"/>
      <c r="BO29" s="74"/>
      <c r="BP29" s="74"/>
      <c r="BQ29" s="74"/>
      <c r="BR29" s="94"/>
      <c r="BS29" s="74"/>
      <c r="BT29" s="74"/>
      <c r="BU29" s="74"/>
      <c r="BV29" s="143"/>
      <c r="BW29" s="143">
        <v>1188</v>
      </c>
      <c r="BX29" s="143">
        <f t="shared" si="5"/>
        <v>1188</v>
      </c>
      <c r="BY29" s="74"/>
      <c r="BZ29" s="74"/>
      <c r="CA29" s="74">
        <v>1188</v>
      </c>
      <c r="CB29" s="74"/>
      <c r="CC29" s="74"/>
      <c r="CD29" s="74"/>
      <c r="CE29" s="74"/>
      <c r="CF29" s="94"/>
      <c r="CG29" s="74"/>
      <c r="CH29" s="74"/>
      <c r="CI29" s="74"/>
      <c r="CJ29" s="143"/>
      <c r="CK29" s="143"/>
      <c r="CL29" s="142">
        <f t="shared" si="1"/>
        <v>0</v>
      </c>
      <c r="CM29" s="171">
        <v>0</v>
      </c>
      <c r="CN29" s="171">
        <v>0</v>
      </c>
      <c r="CO29" s="171">
        <v>0</v>
      </c>
      <c r="CP29" s="171">
        <v>0</v>
      </c>
      <c r="CQ29" s="171">
        <v>0</v>
      </c>
      <c r="CR29" s="171">
        <v>0</v>
      </c>
      <c r="CS29" s="171">
        <f t="shared" si="2"/>
        <v>0</v>
      </c>
      <c r="CT29" s="171">
        <f t="shared" si="3"/>
        <v>0</v>
      </c>
      <c r="CU29" s="171">
        <f t="shared" si="4"/>
        <v>0</v>
      </c>
      <c r="CV29" s="152"/>
      <c r="CW29" s="149"/>
      <c r="CX29" s="130"/>
      <c r="CY29" s="130"/>
      <c r="CZ29" s="130"/>
      <c r="DA29" s="138"/>
      <c r="DB29" s="130"/>
      <c r="DC29" s="130"/>
      <c r="DD29" s="130"/>
      <c r="DE29" s="131"/>
      <c r="DF29" s="131"/>
      <c r="DG29" s="132"/>
      <c r="DH29" s="131"/>
      <c r="DI29" s="131"/>
      <c r="DJ29" s="131"/>
      <c r="DK29" s="131"/>
      <c r="DL29" s="131"/>
      <c r="DM29" s="131"/>
      <c r="DN29" s="131"/>
      <c r="DO29" s="131"/>
      <c r="DP29" s="131"/>
      <c r="DQ29" s="131"/>
      <c r="DR29" s="132"/>
      <c r="DS29" s="131"/>
      <c r="DT29" s="131"/>
      <c r="DU29" s="131"/>
      <c r="DV29" s="131"/>
      <c r="DW29" s="131"/>
      <c r="DX29" s="131"/>
      <c r="DY29" s="131"/>
      <c r="DZ29" s="132"/>
      <c r="EA29" s="132"/>
      <c r="EB29" s="132"/>
      <c r="EC29" s="132"/>
      <c r="ED29" s="131"/>
      <c r="EE29" s="131"/>
      <c r="EF29" s="131"/>
      <c r="EG29" s="131"/>
      <c r="EH29" s="131"/>
      <c r="EI29" s="131"/>
      <c r="EJ29" s="131"/>
      <c r="EK29" s="131"/>
      <c r="EL29" s="132"/>
      <c r="EM29" s="139"/>
      <c r="EN29" s="133"/>
      <c r="EO29" s="133"/>
      <c r="EP29" s="133"/>
      <c r="EQ29" s="133"/>
      <c r="ER29" s="133"/>
      <c r="ES29" s="133"/>
      <c r="ET29" s="133"/>
      <c r="EU29" s="133"/>
      <c r="EV29" s="134"/>
      <c r="EW29" s="133"/>
      <c r="EX29" s="133"/>
      <c r="EY29" s="154"/>
      <c r="EZ29" s="132"/>
      <c r="FA29" s="136"/>
      <c r="FB29" s="201"/>
      <c r="FC29" s="201"/>
      <c r="FD29" s="201"/>
      <c r="FE29" s="201"/>
      <c r="FF29" s="201"/>
      <c r="FG29" s="201"/>
      <c r="FH29" s="201"/>
      <c r="FI29" s="201"/>
      <c r="FJ29" s="201"/>
      <c r="FK29" s="201"/>
      <c r="FL29" s="201"/>
      <c r="FM29" s="201"/>
      <c r="FN29" s="201"/>
      <c r="FO29" s="201"/>
      <c r="FP29" s="201"/>
      <c r="FQ29" s="201"/>
      <c r="FR29" s="201"/>
      <c r="FS29" s="201"/>
      <c r="FT29" s="201"/>
      <c r="FU29" s="201"/>
      <c r="FV29" s="201"/>
      <c r="FW29" s="201"/>
      <c r="FX29" s="201"/>
      <c r="FY29" s="201"/>
      <c r="FZ29" s="201"/>
      <c r="GA29" s="201"/>
      <c r="GB29" s="201"/>
      <c r="GC29" s="201"/>
      <c r="GD29" s="201"/>
      <c r="GE29" s="201"/>
      <c r="GF29" s="201"/>
      <c r="GG29" s="201"/>
      <c r="GH29" s="201"/>
      <c r="GI29" s="201"/>
      <c r="GJ29" s="201"/>
      <c r="GK29" s="201"/>
      <c r="GL29" s="201"/>
      <c r="GM29" s="201"/>
      <c r="GN29" s="201"/>
      <c r="GO29" s="201"/>
      <c r="GP29" s="201"/>
      <c r="GQ29" s="201"/>
    </row>
    <row r="30" spans="1:204" s="68" customFormat="1" ht="14.45" customHeight="1" x14ac:dyDescent="0.25">
      <c r="A30" s="68" t="s">
        <v>693</v>
      </c>
      <c r="B30" s="82" t="s">
        <v>154</v>
      </c>
      <c r="C30" s="82" t="s">
        <v>172</v>
      </c>
      <c r="D30" s="82" t="s">
        <v>196</v>
      </c>
      <c r="E30" s="82" t="s">
        <v>309</v>
      </c>
      <c r="F30" s="82" t="s">
        <v>549</v>
      </c>
      <c r="G30" s="82" t="s">
        <v>137</v>
      </c>
      <c r="H30" s="82" t="s">
        <v>137</v>
      </c>
      <c r="I30" s="82" t="s">
        <v>66</v>
      </c>
      <c r="J30" s="82" t="s">
        <v>29</v>
      </c>
      <c r="K30" s="92" t="s">
        <v>137</v>
      </c>
      <c r="L30" s="92" t="s">
        <v>137</v>
      </c>
      <c r="M30" s="92" t="s">
        <v>137</v>
      </c>
      <c r="N30" s="92" t="s">
        <v>137</v>
      </c>
      <c r="O30" s="92" t="s">
        <v>137</v>
      </c>
      <c r="P30" s="92" t="s">
        <v>137</v>
      </c>
      <c r="Q30" s="82" t="s">
        <v>87</v>
      </c>
      <c r="R30" s="82" t="s">
        <v>714</v>
      </c>
      <c r="S30" s="82" t="s">
        <v>40</v>
      </c>
      <c r="T30" s="82" t="s">
        <v>2</v>
      </c>
      <c r="U30" s="83"/>
      <c r="V30" s="83">
        <v>0.05</v>
      </c>
      <c r="W30" s="83">
        <v>0.08</v>
      </c>
      <c r="X30" s="83">
        <v>0.15</v>
      </c>
      <c r="Y30" s="83">
        <v>0.2</v>
      </c>
      <c r="Z30" s="83">
        <v>0.25</v>
      </c>
      <c r="AA30" s="83">
        <v>0.37</v>
      </c>
      <c r="AB30" s="83">
        <v>0.42</v>
      </c>
      <c r="AC30" s="83">
        <v>0.57999999999999996</v>
      </c>
      <c r="AD30" s="83">
        <v>0.67</v>
      </c>
      <c r="AE30" s="83">
        <v>0.83</v>
      </c>
      <c r="AF30" s="83">
        <v>1</v>
      </c>
      <c r="AG30" s="82" t="s">
        <v>778</v>
      </c>
      <c r="AH30" s="82" t="s">
        <v>530</v>
      </c>
      <c r="AI30" s="88" t="s">
        <v>538</v>
      </c>
      <c r="AJ30" s="89" t="s">
        <v>538</v>
      </c>
      <c r="AK30" s="90">
        <v>46023</v>
      </c>
      <c r="AL30" s="90">
        <v>46387</v>
      </c>
      <c r="AM30" s="89"/>
      <c r="AN30" s="89"/>
      <c r="AO30" s="89"/>
      <c r="AP30" s="91" t="s">
        <v>539</v>
      </c>
      <c r="AQ30" s="90" t="str" cm="1">
        <f t="array" ref="AQ30">IFERROR(DATE(2026, _xlfn.AGGREGATE(15, 6, (COLUMN(BY30:CJ30)-COLUMN(BY30)+1)/(BY30:CJ30&lt;&gt;0), 1), 1),"N/A")</f>
        <v>N/A</v>
      </c>
      <c r="AR30" s="90" t="str" cm="1">
        <f t="array" ref="AR30">IFERROR(EOMONTH(DATE(2026, _xlfn.AGGREGATE(14, 6, (COLUMN(BY30:CJ30)-COLUMN(BY30)+1)/(BY30:CJ30&lt;&gt;0), 1), 1), 0),"N/A")</f>
        <v>N/A</v>
      </c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2" t="s">
        <v>793</v>
      </c>
      <c r="BF30" s="82" t="s">
        <v>749</v>
      </c>
      <c r="BG30" s="82" t="str">
        <f t="shared" si="0"/>
        <v>000</v>
      </c>
      <c r="BH30" s="88">
        <v>530701</v>
      </c>
      <c r="BI30" s="92" t="s">
        <v>74</v>
      </c>
      <c r="BJ30" s="93">
        <v>7000</v>
      </c>
      <c r="BK30" s="74">
        <v>0</v>
      </c>
      <c r="BL30" s="74">
        <v>0</v>
      </c>
      <c r="BM30" s="94">
        <v>7000</v>
      </c>
      <c r="BN30" s="74">
        <v>0</v>
      </c>
      <c r="BO30" s="74">
        <v>0</v>
      </c>
      <c r="BP30" s="74">
        <v>0</v>
      </c>
      <c r="BQ30" s="74">
        <v>0</v>
      </c>
      <c r="BR30" s="74">
        <v>0</v>
      </c>
      <c r="BS30" s="74">
        <v>0</v>
      </c>
      <c r="BT30" s="74">
        <v>0</v>
      </c>
      <c r="BU30" s="74">
        <v>0</v>
      </c>
      <c r="BV30" s="143">
        <v>0</v>
      </c>
      <c r="BW30" s="143">
        <v>-7000</v>
      </c>
      <c r="BX30" s="143">
        <f t="shared" si="5"/>
        <v>0</v>
      </c>
      <c r="BY30" s="74">
        <v>0</v>
      </c>
      <c r="BZ30" s="74">
        <v>0</v>
      </c>
      <c r="CA30" s="94">
        <v>0</v>
      </c>
      <c r="CB30" s="74">
        <v>0</v>
      </c>
      <c r="CC30" s="74">
        <v>0</v>
      </c>
      <c r="CD30" s="74">
        <v>0</v>
      </c>
      <c r="CE30" s="74">
        <v>0</v>
      </c>
      <c r="CF30" s="74">
        <v>0</v>
      </c>
      <c r="CG30" s="74">
        <v>0</v>
      </c>
      <c r="CH30" s="74">
        <v>0</v>
      </c>
      <c r="CI30" s="74">
        <v>0</v>
      </c>
      <c r="CJ30" s="143">
        <v>0</v>
      </c>
      <c r="CK30" s="143"/>
      <c r="CL30" s="142">
        <f t="shared" si="1"/>
        <v>0</v>
      </c>
      <c r="CM30" s="171">
        <v>0</v>
      </c>
      <c r="CN30" s="171">
        <v>0</v>
      </c>
      <c r="CO30" s="171">
        <v>0</v>
      </c>
      <c r="CP30" s="171">
        <v>0</v>
      </c>
      <c r="CQ30" s="171">
        <v>0</v>
      </c>
      <c r="CR30" s="171">
        <v>0</v>
      </c>
      <c r="CS30" s="171">
        <f t="shared" si="2"/>
        <v>0</v>
      </c>
      <c r="CT30" s="171">
        <f t="shared" si="3"/>
        <v>0</v>
      </c>
      <c r="CU30" s="171">
        <f t="shared" si="4"/>
        <v>0</v>
      </c>
      <c r="CV30" s="149"/>
      <c r="CW30" s="149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201"/>
      <c r="FC30" s="201"/>
      <c r="FD30" s="201"/>
      <c r="FE30" s="201"/>
      <c r="FF30" s="201"/>
      <c r="FG30" s="201"/>
      <c r="FH30" s="201"/>
      <c r="FI30" s="201"/>
      <c r="FJ30" s="201"/>
      <c r="FK30" s="201"/>
      <c r="FL30" s="201"/>
      <c r="FM30" s="201"/>
      <c r="FN30" s="201"/>
      <c r="FO30" s="201"/>
      <c r="FP30" s="201"/>
      <c r="FQ30" s="201"/>
      <c r="FR30" s="201"/>
      <c r="FS30" s="201"/>
      <c r="FT30" s="201"/>
      <c r="FU30" s="201"/>
      <c r="FV30" s="201"/>
      <c r="FW30" s="201"/>
      <c r="FX30" s="201"/>
      <c r="FY30" s="201"/>
      <c r="FZ30" s="201"/>
      <c r="GA30" s="201"/>
      <c r="GB30" s="201"/>
      <c r="GC30" s="201"/>
      <c r="GD30" s="201"/>
      <c r="GE30" s="201"/>
      <c r="GF30" s="201"/>
      <c r="GG30" s="201"/>
      <c r="GH30" s="201"/>
      <c r="GI30" s="201"/>
      <c r="GJ30" s="201"/>
      <c r="GK30" s="201"/>
      <c r="GL30" s="201"/>
      <c r="GM30" s="201"/>
      <c r="GN30" s="201"/>
      <c r="GO30" s="201"/>
      <c r="GP30" s="201"/>
      <c r="GQ30" s="201"/>
    </row>
    <row r="31" spans="1:204" s="68" customFormat="1" ht="14.45" customHeight="1" x14ac:dyDescent="0.25">
      <c r="A31" s="68" t="s">
        <v>693</v>
      </c>
      <c r="B31" s="82" t="s">
        <v>154</v>
      </c>
      <c r="C31" s="82" t="s">
        <v>172</v>
      </c>
      <c r="D31" s="82" t="s">
        <v>196</v>
      </c>
      <c r="E31" s="82" t="s">
        <v>309</v>
      </c>
      <c r="F31" s="82" t="s">
        <v>549</v>
      </c>
      <c r="G31" s="82" t="s">
        <v>137</v>
      </c>
      <c r="H31" s="82" t="s">
        <v>137</v>
      </c>
      <c r="I31" s="82" t="s">
        <v>66</v>
      </c>
      <c r="J31" s="82" t="s">
        <v>29</v>
      </c>
      <c r="K31" s="92" t="s">
        <v>137</v>
      </c>
      <c r="L31" s="92" t="s">
        <v>137</v>
      </c>
      <c r="M31" s="92" t="s">
        <v>137</v>
      </c>
      <c r="N31" s="92" t="s">
        <v>137</v>
      </c>
      <c r="O31" s="92" t="s">
        <v>137</v>
      </c>
      <c r="P31" s="92" t="s">
        <v>137</v>
      </c>
      <c r="Q31" s="82" t="s">
        <v>87</v>
      </c>
      <c r="R31" s="82" t="s">
        <v>714</v>
      </c>
      <c r="S31" s="82" t="s">
        <v>40</v>
      </c>
      <c r="T31" s="82" t="s">
        <v>2</v>
      </c>
      <c r="U31" s="83"/>
      <c r="V31" s="83">
        <v>0.05</v>
      </c>
      <c r="W31" s="83">
        <v>0.08</v>
      </c>
      <c r="X31" s="83">
        <v>0.15</v>
      </c>
      <c r="Y31" s="83">
        <v>0.2</v>
      </c>
      <c r="Z31" s="83">
        <v>0.25</v>
      </c>
      <c r="AA31" s="83">
        <v>0.37</v>
      </c>
      <c r="AB31" s="83">
        <v>0.42</v>
      </c>
      <c r="AC31" s="83">
        <v>0.57999999999999996</v>
      </c>
      <c r="AD31" s="83">
        <v>0.67</v>
      </c>
      <c r="AE31" s="83">
        <v>0.83</v>
      </c>
      <c r="AF31" s="83">
        <v>1</v>
      </c>
      <c r="AG31" s="82" t="s">
        <v>778</v>
      </c>
      <c r="AH31" s="82" t="s">
        <v>530</v>
      </c>
      <c r="AI31" s="88" t="s">
        <v>538</v>
      </c>
      <c r="AJ31" s="89" t="s">
        <v>538</v>
      </c>
      <c r="AK31" s="90">
        <v>46023</v>
      </c>
      <c r="AL31" s="90">
        <v>46387</v>
      </c>
      <c r="AM31" s="89"/>
      <c r="AN31" s="89"/>
      <c r="AO31" s="89"/>
      <c r="AP31" s="91" t="s">
        <v>539</v>
      </c>
      <c r="AQ31" s="90" t="str" cm="1">
        <f t="array" ref="AQ31">IFERROR(DATE(2026, _xlfn.AGGREGATE(15, 6, (COLUMN(BY31:CJ31)-COLUMN(BY31)+1)/(BY31:CJ31&lt;&gt;0), 1), 1),"N/A")</f>
        <v>N/A</v>
      </c>
      <c r="AR31" s="90" t="str" cm="1">
        <f t="array" ref="AR31">IFERROR(EOMONTH(DATE(2026, _xlfn.AGGREGATE(14, 6, (COLUMN(BY31:CJ31)-COLUMN(BY31)+1)/(BY31:CJ31&lt;&gt;0), 1), 1), 0),"N/A")</f>
        <v>N/A</v>
      </c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2" t="s">
        <v>793</v>
      </c>
      <c r="BF31" s="82" t="s">
        <v>751</v>
      </c>
      <c r="BG31" s="82" t="str">
        <f t="shared" si="0"/>
        <v>000</v>
      </c>
      <c r="BH31" s="88">
        <v>530702</v>
      </c>
      <c r="BI31" s="92" t="s">
        <v>74</v>
      </c>
      <c r="BJ31" s="93">
        <v>40000</v>
      </c>
      <c r="BK31" s="74">
        <v>0</v>
      </c>
      <c r="BL31" s="74">
        <v>0</v>
      </c>
      <c r="BM31" s="94">
        <v>40000</v>
      </c>
      <c r="BN31" s="74">
        <v>0</v>
      </c>
      <c r="BO31" s="74">
        <v>0</v>
      </c>
      <c r="BP31" s="74">
        <v>0</v>
      </c>
      <c r="BQ31" s="74">
        <v>0</v>
      </c>
      <c r="BR31" s="74">
        <v>0</v>
      </c>
      <c r="BS31" s="74">
        <v>0</v>
      </c>
      <c r="BT31" s="74">
        <v>0</v>
      </c>
      <c r="BU31" s="74">
        <v>0</v>
      </c>
      <c r="BV31" s="143">
        <v>0</v>
      </c>
      <c r="BW31" s="143">
        <v>-40000</v>
      </c>
      <c r="BX31" s="143">
        <f t="shared" si="5"/>
        <v>0</v>
      </c>
      <c r="BY31" s="74">
        <v>0</v>
      </c>
      <c r="BZ31" s="74">
        <v>0</v>
      </c>
      <c r="CA31" s="94">
        <v>0</v>
      </c>
      <c r="CB31" s="74">
        <v>0</v>
      </c>
      <c r="CC31" s="74">
        <v>0</v>
      </c>
      <c r="CD31" s="74">
        <v>0</v>
      </c>
      <c r="CE31" s="74">
        <v>0</v>
      </c>
      <c r="CF31" s="74">
        <v>0</v>
      </c>
      <c r="CG31" s="74">
        <v>0</v>
      </c>
      <c r="CH31" s="74">
        <v>0</v>
      </c>
      <c r="CI31" s="74">
        <v>0</v>
      </c>
      <c r="CJ31" s="143">
        <v>0</v>
      </c>
      <c r="CK31" s="143"/>
      <c r="CL31" s="142">
        <f t="shared" si="1"/>
        <v>0</v>
      </c>
      <c r="CM31" s="171">
        <v>0</v>
      </c>
      <c r="CN31" s="171">
        <v>0</v>
      </c>
      <c r="CO31" s="171">
        <v>0</v>
      </c>
      <c r="CP31" s="171">
        <v>0</v>
      </c>
      <c r="CQ31" s="171">
        <v>0</v>
      </c>
      <c r="CR31" s="171">
        <v>0</v>
      </c>
      <c r="CS31" s="171">
        <f t="shared" si="2"/>
        <v>0</v>
      </c>
      <c r="CT31" s="171">
        <f t="shared" si="3"/>
        <v>0</v>
      </c>
      <c r="CU31" s="171">
        <f t="shared" si="4"/>
        <v>0</v>
      </c>
      <c r="CV31" s="149"/>
      <c r="CW31" s="149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201"/>
      <c r="FC31" s="201"/>
      <c r="FD31" s="201"/>
      <c r="FE31" s="201"/>
      <c r="FF31" s="201"/>
      <c r="FG31" s="201"/>
      <c r="FH31" s="201"/>
      <c r="FI31" s="201"/>
      <c r="FJ31" s="201"/>
      <c r="FK31" s="201"/>
      <c r="FL31" s="201"/>
      <c r="FM31" s="201"/>
      <c r="FN31" s="201"/>
      <c r="FO31" s="201"/>
      <c r="FP31" s="201"/>
      <c r="FQ31" s="201"/>
      <c r="FR31" s="201"/>
      <c r="FS31" s="201"/>
      <c r="FT31" s="201"/>
      <c r="FU31" s="201"/>
      <c r="FV31" s="201"/>
      <c r="FW31" s="201"/>
      <c r="FX31" s="201"/>
      <c r="FY31" s="201"/>
      <c r="FZ31" s="201"/>
      <c r="GA31" s="201"/>
      <c r="GB31" s="201"/>
      <c r="GC31" s="201"/>
      <c r="GD31" s="201"/>
      <c r="GE31" s="201"/>
      <c r="GF31" s="201"/>
      <c r="GG31" s="201"/>
      <c r="GH31" s="201"/>
      <c r="GI31" s="201"/>
      <c r="GJ31" s="201"/>
      <c r="GK31" s="201"/>
      <c r="GL31" s="201"/>
      <c r="GM31" s="201"/>
      <c r="GN31" s="201"/>
      <c r="GO31" s="201"/>
      <c r="GP31" s="201"/>
      <c r="GQ31" s="201"/>
    </row>
    <row r="32" spans="1:204" s="68" customFormat="1" ht="14.45" customHeight="1" x14ac:dyDescent="0.25">
      <c r="A32" s="68" t="s">
        <v>693</v>
      </c>
      <c r="B32" s="82" t="s">
        <v>154</v>
      </c>
      <c r="C32" s="82" t="s">
        <v>172</v>
      </c>
      <c r="D32" s="82" t="s">
        <v>196</v>
      </c>
      <c r="E32" s="82" t="s">
        <v>309</v>
      </c>
      <c r="F32" s="82" t="s">
        <v>549</v>
      </c>
      <c r="G32" s="82" t="s">
        <v>137</v>
      </c>
      <c r="H32" s="82" t="s">
        <v>137</v>
      </c>
      <c r="I32" s="82" t="s">
        <v>66</v>
      </c>
      <c r="J32" s="82" t="s">
        <v>29</v>
      </c>
      <c r="K32" s="92" t="s">
        <v>137</v>
      </c>
      <c r="L32" s="92" t="s">
        <v>137</v>
      </c>
      <c r="M32" s="92" t="s">
        <v>137</v>
      </c>
      <c r="N32" s="92" t="s">
        <v>137</v>
      </c>
      <c r="O32" s="92" t="s">
        <v>137</v>
      </c>
      <c r="P32" s="92" t="s">
        <v>137</v>
      </c>
      <c r="Q32" s="82" t="s">
        <v>87</v>
      </c>
      <c r="R32" s="82" t="s">
        <v>714</v>
      </c>
      <c r="S32" s="82" t="s">
        <v>40</v>
      </c>
      <c r="T32" s="82" t="s">
        <v>2</v>
      </c>
      <c r="U32" s="83"/>
      <c r="V32" s="83">
        <v>0.05</v>
      </c>
      <c r="W32" s="83">
        <v>0.08</v>
      </c>
      <c r="X32" s="83">
        <v>0.15</v>
      </c>
      <c r="Y32" s="83">
        <v>0.2</v>
      </c>
      <c r="Z32" s="83">
        <v>0.25</v>
      </c>
      <c r="AA32" s="83">
        <v>0.37</v>
      </c>
      <c r="AB32" s="83">
        <v>0.42</v>
      </c>
      <c r="AC32" s="83">
        <v>0.57999999999999996</v>
      </c>
      <c r="AD32" s="83">
        <v>0.67</v>
      </c>
      <c r="AE32" s="83">
        <v>0.83</v>
      </c>
      <c r="AF32" s="83">
        <v>1</v>
      </c>
      <c r="AG32" s="82" t="s">
        <v>778</v>
      </c>
      <c r="AH32" s="82" t="s">
        <v>530</v>
      </c>
      <c r="AI32" s="88" t="s">
        <v>538</v>
      </c>
      <c r="AJ32" s="89" t="s">
        <v>538</v>
      </c>
      <c r="AK32" s="90">
        <v>46023</v>
      </c>
      <c r="AL32" s="90">
        <v>46387</v>
      </c>
      <c r="AM32" s="89"/>
      <c r="AN32" s="89"/>
      <c r="AO32" s="89"/>
      <c r="AP32" s="91" t="s">
        <v>539</v>
      </c>
      <c r="AQ32" s="90" t="str" cm="1">
        <f t="array" ref="AQ32">IFERROR(DATE(2026, _xlfn.AGGREGATE(15, 6, (COLUMN(BY32:CJ32)-COLUMN(BY32)+1)/(BY32:CJ32&lt;&gt;0), 1), 1),"N/A")</f>
        <v>N/A</v>
      </c>
      <c r="AR32" s="90" t="str" cm="1">
        <f t="array" ref="AR32">IFERROR(EOMONTH(DATE(2026, _xlfn.AGGREGATE(14, 6, (COLUMN(BY32:CJ32)-COLUMN(BY32)+1)/(BY32:CJ32&lt;&gt;0), 1), 1), 0),"N/A")</f>
        <v>N/A</v>
      </c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2" t="s">
        <v>793</v>
      </c>
      <c r="BF32" s="82" t="s">
        <v>750</v>
      </c>
      <c r="BG32" s="82" t="str">
        <f t="shared" si="0"/>
        <v>000</v>
      </c>
      <c r="BH32" s="88">
        <v>840107</v>
      </c>
      <c r="BI32" s="92" t="s">
        <v>74</v>
      </c>
      <c r="BJ32" s="93">
        <v>60000</v>
      </c>
      <c r="BK32" s="74">
        <v>0</v>
      </c>
      <c r="BL32" s="74">
        <v>0</v>
      </c>
      <c r="BM32" s="94">
        <v>60000</v>
      </c>
      <c r="BN32" s="74">
        <v>0</v>
      </c>
      <c r="BO32" s="74">
        <v>0</v>
      </c>
      <c r="BP32" s="74">
        <v>0</v>
      </c>
      <c r="BQ32" s="74">
        <v>0</v>
      </c>
      <c r="BR32" s="74">
        <v>0</v>
      </c>
      <c r="BS32" s="74">
        <v>0</v>
      </c>
      <c r="BT32" s="74">
        <v>0</v>
      </c>
      <c r="BU32" s="74">
        <v>0</v>
      </c>
      <c r="BV32" s="143">
        <v>0</v>
      </c>
      <c r="BW32" s="143">
        <v>-60000</v>
      </c>
      <c r="BX32" s="143">
        <f t="shared" si="5"/>
        <v>0</v>
      </c>
      <c r="BY32" s="74">
        <v>0</v>
      </c>
      <c r="BZ32" s="74">
        <v>0</v>
      </c>
      <c r="CA32" s="94">
        <v>0</v>
      </c>
      <c r="CB32" s="74">
        <v>0</v>
      </c>
      <c r="CC32" s="74">
        <v>0</v>
      </c>
      <c r="CD32" s="74">
        <v>0</v>
      </c>
      <c r="CE32" s="74">
        <v>0</v>
      </c>
      <c r="CF32" s="74">
        <v>0</v>
      </c>
      <c r="CG32" s="74">
        <v>0</v>
      </c>
      <c r="CH32" s="74">
        <v>0</v>
      </c>
      <c r="CI32" s="74">
        <v>0</v>
      </c>
      <c r="CJ32" s="143">
        <v>0</v>
      </c>
      <c r="CK32" s="143"/>
      <c r="CL32" s="142">
        <f t="shared" si="1"/>
        <v>0</v>
      </c>
      <c r="CM32" s="171">
        <v>0</v>
      </c>
      <c r="CN32" s="171">
        <v>0</v>
      </c>
      <c r="CO32" s="171">
        <v>0</v>
      </c>
      <c r="CP32" s="171">
        <v>0</v>
      </c>
      <c r="CQ32" s="171">
        <v>0</v>
      </c>
      <c r="CR32" s="171">
        <v>0</v>
      </c>
      <c r="CS32" s="171">
        <f t="shared" si="2"/>
        <v>0</v>
      </c>
      <c r="CT32" s="171">
        <f t="shared" si="3"/>
        <v>0</v>
      </c>
      <c r="CU32" s="171">
        <f t="shared" si="4"/>
        <v>0</v>
      </c>
      <c r="CV32" s="149"/>
      <c r="CW32" s="149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201"/>
      <c r="FC32" s="201"/>
      <c r="FD32" s="201"/>
      <c r="FE32" s="201"/>
      <c r="FF32" s="201"/>
      <c r="FG32" s="201"/>
      <c r="FH32" s="201"/>
      <c r="FI32" s="201"/>
      <c r="FJ32" s="201"/>
      <c r="FK32" s="201"/>
      <c r="FL32" s="201"/>
      <c r="FM32" s="201"/>
      <c r="FN32" s="201"/>
      <c r="FO32" s="201"/>
      <c r="FP32" s="201"/>
      <c r="FQ32" s="201"/>
      <c r="FR32" s="201"/>
      <c r="FS32" s="201"/>
      <c r="FT32" s="201"/>
      <c r="FU32" s="201"/>
      <c r="FV32" s="201"/>
      <c r="FW32" s="201"/>
      <c r="FX32" s="201"/>
      <c r="FY32" s="201"/>
      <c r="FZ32" s="201"/>
      <c r="GA32" s="201"/>
      <c r="GB32" s="201"/>
      <c r="GC32" s="201"/>
      <c r="GD32" s="201"/>
      <c r="GE32" s="201"/>
      <c r="GF32" s="201"/>
      <c r="GG32" s="201"/>
      <c r="GH32" s="201"/>
      <c r="GI32" s="201"/>
      <c r="GJ32" s="201"/>
      <c r="GK32" s="201"/>
      <c r="GL32" s="201"/>
      <c r="GM32" s="201"/>
      <c r="GN32" s="201"/>
      <c r="GO32" s="201"/>
      <c r="GP32" s="201"/>
      <c r="GQ32" s="201"/>
    </row>
    <row r="33" spans="1:204" s="68" customFormat="1" ht="14.45" customHeight="1" x14ac:dyDescent="0.25">
      <c r="A33" s="68" t="s">
        <v>693</v>
      </c>
      <c r="B33" s="82" t="s">
        <v>154</v>
      </c>
      <c r="C33" s="82" t="s">
        <v>172</v>
      </c>
      <c r="D33" s="82" t="s">
        <v>196</v>
      </c>
      <c r="E33" s="82" t="s">
        <v>309</v>
      </c>
      <c r="F33" s="82" t="s">
        <v>549</v>
      </c>
      <c r="G33" s="82" t="s">
        <v>137</v>
      </c>
      <c r="H33" s="82" t="s">
        <v>137</v>
      </c>
      <c r="I33" s="82" t="s">
        <v>66</v>
      </c>
      <c r="J33" s="82" t="s">
        <v>29</v>
      </c>
      <c r="K33" s="92" t="s">
        <v>137</v>
      </c>
      <c r="L33" s="92" t="s">
        <v>137</v>
      </c>
      <c r="M33" s="92" t="s">
        <v>137</v>
      </c>
      <c r="N33" s="92" t="s">
        <v>137</v>
      </c>
      <c r="O33" s="92" t="s">
        <v>137</v>
      </c>
      <c r="P33" s="92" t="s">
        <v>137</v>
      </c>
      <c r="Q33" s="82" t="s">
        <v>87</v>
      </c>
      <c r="R33" s="82" t="s">
        <v>714</v>
      </c>
      <c r="S33" s="82" t="s">
        <v>40</v>
      </c>
      <c r="T33" s="82" t="s">
        <v>2</v>
      </c>
      <c r="U33" s="83"/>
      <c r="V33" s="83">
        <v>0.05</v>
      </c>
      <c r="W33" s="83">
        <v>0.08</v>
      </c>
      <c r="X33" s="83">
        <v>0.15</v>
      </c>
      <c r="Y33" s="83">
        <v>0.2</v>
      </c>
      <c r="Z33" s="83">
        <v>0.25</v>
      </c>
      <c r="AA33" s="83">
        <v>0.37</v>
      </c>
      <c r="AB33" s="83">
        <v>0.42</v>
      </c>
      <c r="AC33" s="83">
        <v>0.57999999999999996</v>
      </c>
      <c r="AD33" s="83">
        <v>0.67</v>
      </c>
      <c r="AE33" s="83">
        <v>0.83</v>
      </c>
      <c r="AF33" s="83">
        <v>1</v>
      </c>
      <c r="AG33" s="82" t="s">
        <v>532</v>
      </c>
      <c r="AH33" s="82" t="s">
        <v>529</v>
      </c>
      <c r="AI33" s="88" t="s">
        <v>538</v>
      </c>
      <c r="AJ33" s="89" t="s">
        <v>538</v>
      </c>
      <c r="AK33" s="90">
        <v>46023</v>
      </c>
      <c r="AL33" s="90">
        <v>46387</v>
      </c>
      <c r="AM33" s="89"/>
      <c r="AN33" s="89"/>
      <c r="AO33" s="89"/>
      <c r="AP33" s="91" t="s">
        <v>539</v>
      </c>
      <c r="AQ33" s="90" t="str" cm="1">
        <f t="array" ref="AQ33">IFERROR(DATE(2026, _xlfn.AGGREGATE(15, 6, (COLUMN(BY33:CJ33)-COLUMN(BY33)+1)/(BY33:CJ33&lt;&gt;0), 1), 1),"N/A")</f>
        <v>N/A</v>
      </c>
      <c r="AR33" s="90" t="str" cm="1">
        <f t="array" ref="AR33">IFERROR(EOMONTH(DATE(2026, _xlfn.AGGREGATE(14, 6, (COLUMN(BY33:CJ33)-COLUMN(BY33)+1)/(BY33:CJ33&lt;&gt;0), 1), 1), 0),"N/A")</f>
        <v>N/A</v>
      </c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2" t="s">
        <v>790</v>
      </c>
      <c r="BF33" s="82" t="s">
        <v>1009</v>
      </c>
      <c r="BG33" s="82" t="str">
        <f t="shared" si="0"/>
        <v>000</v>
      </c>
      <c r="BH33" s="88">
        <v>530702</v>
      </c>
      <c r="BI33" s="92" t="s">
        <v>74</v>
      </c>
      <c r="BJ33" s="93">
        <v>30000</v>
      </c>
      <c r="BK33" s="74">
        <v>0</v>
      </c>
      <c r="BL33" s="74">
        <v>0</v>
      </c>
      <c r="BM33" s="74">
        <v>0</v>
      </c>
      <c r="BN33" s="74">
        <v>0</v>
      </c>
      <c r="BO33" s="74">
        <v>0</v>
      </c>
      <c r="BP33" s="74">
        <v>0</v>
      </c>
      <c r="BQ33" s="74">
        <v>0</v>
      </c>
      <c r="BR33" s="74">
        <v>0</v>
      </c>
      <c r="BS33" s="74">
        <v>0</v>
      </c>
      <c r="BT33" s="94">
        <v>30000</v>
      </c>
      <c r="BU33" s="74">
        <v>0</v>
      </c>
      <c r="BV33" s="143">
        <v>0</v>
      </c>
      <c r="BW33" s="143">
        <v>-30000</v>
      </c>
      <c r="BX33" s="143">
        <f t="shared" si="5"/>
        <v>0</v>
      </c>
      <c r="BY33" s="74">
        <v>0</v>
      </c>
      <c r="BZ33" s="74">
        <v>0</v>
      </c>
      <c r="CA33" s="74">
        <v>0</v>
      </c>
      <c r="CB33" s="74">
        <v>0</v>
      </c>
      <c r="CC33" s="74">
        <v>0</v>
      </c>
      <c r="CD33" s="74">
        <v>0</v>
      </c>
      <c r="CE33" s="74">
        <v>0</v>
      </c>
      <c r="CF33" s="74">
        <v>0</v>
      </c>
      <c r="CG33" s="74">
        <v>0</v>
      </c>
      <c r="CH33" s="94">
        <v>0</v>
      </c>
      <c r="CI33" s="74">
        <v>0</v>
      </c>
      <c r="CJ33" s="143">
        <v>0</v>
      </c>
      <c r="CK33" s="143"/>
      <c r="CL33" s="142">
        <f t="shared" si="1"/>
        <v>0</v>
      </c>
      <c r="CM33" s="171">
        <v>0</v>
      </c>
      <c r="CN33" s="171">
        <v>0</v>
      </c>
      <c r="CO33" s="171">
        <v>0</v>
      </c>
      <c r="CP33" s="171">
        <v>0</v>
      </c>
      <c r="CQ33" s="171">
        <v>0</v>
      </c>
      <c r="CR33" s="171">
        <v>0</v>
      </c>
      <c r="CS33" s="171">
        <f t="shared" si="2"/>
        <v>0</v>
      </c>
      <c r="CT33" s="171">
        <f t="shared" si="3"/>
        <v>0</v>
      </c>
      <c r="CU33" s="171">
        <f t="shared" si="4"/>
        <v>0</v>
      </c>
      <c r="CV33" s="152">
        <v>30000</v>
      </c>
      <c r="CW33" s="149">
        <v>0</v>
      </c>
      <c r="CX33" s="130">
        <v>2</v>
      </c>
      <c r="CY33" s="130">
        <v>0</v>
      </c>
      <c r="CZ33" s="130" t="s">
        <v>321</v>
      </c>
      <c r="DA33" s="130" t="s">
        <v>849</v>
      </c>
      <c r="DB33" s="130" t="s">
        <v>850</v>
      </c>
      <c r="DC33" s="130" t="s">
        <v>851</v>
      </c>
      <c r="DD33" s="130"/>
      <c r="DE33" s="131">
        <v>46178</v>
      </c>
      <c r="DF33" s="131">
        <v>46178</v>
      </c>
      <c r="DG33" s="132">
        <v>2</v>
      </c>
      <c r="DH33" s="131">
        <v>46181</v>
      </c>
      <c r="DI33" s="131">
        <v>46181</v>
      </c>
      <c r="DJ33" s="131">
        <v>46181</v>
      </c>
      <c r="DK33" s="131">
        <v>46182</v>
      </c>
      <c r="DL33" s="131">
        <v>46183</v>
      </c>
      <c r="DM33" s="131">
        <v>46184</v>
      </c>
      <c r="DN33" s="131">
        <v>46185</v>
      </c>
      <c r="DO33" s="131">
        <v>46188</v>
      </c>
      <c r="DP33" s="131">
        <v>46189</v>
      </c>
      <c r="DQ33" s="131">
        <v>46189</v>
      </c>
      <c r="DR33" s="132">
        <v>2</v>
      </c>
      <c r="DS33" s="131">
        <v>46190</v>
      </c>
      <c r="DT33" s="131">
        <v>46191</v>
      </c>
      <c r="DU33" s="131">
        <v>46192</v>
      </c>
      <c r="DV33" s="131">
        <v>46195</v>
      </c>
      <c r="DW33" s="131">
        <v>46195</v>
      </c>
      <c r="DX33" s="131">
        <v>46196</v>
      </c>
      <c r="DY33" s="131">
        <v>46196</v>
      </c>
      <c r="DZ33" s="132"/>
      <c r="EA33" s="132"/>
      <c r="EB33" s="132"/>
      <c r="EC33" s="132"/>
      <c r="ED33" s="131">
        <v>46197</v>
      </c>
      <c r="EE33" s="131">
        <v>46198</v>
      </c>
      <c r="EF33" s="131">
        <v>46198</v>
      </c>
      <c r="EG33" s="131">
        <v>46199</v>
      </c>
      <c r="EH33" s="131">
        <v>46202</v>
      </c>
      <c r="EI33" s="131">
        <v>46203</v>
      </c>
      <c r="EJ33" s="131">
        <v>46204</v>
      </c>
      <c r="EK33" s="131">
        <v>46204</v>
      </c>
      <c r="EL33" s="132">
        <v>18</v>
      </c>
      <c r="EM33" s="131">
        <v>46206</v>
      </c>
      <c r="EN33" s="131">
        <v>46210</v>
      </c>
      <c r="EO33" s="133">
        <v>46212</v>
      </c>
      <c r="EP33" s="133">
        <v>46213</v>
      </c>
      <c r="EQ33" s="133">
        <v>46216</v>
      </c>
      <c r="ER33" s="133">
        <v>46218</v>
      </c>
      <c r="ES33" s="133">
        <v>46219</v>
      </c>
      <c r="ET33" s="133">
        <v>46223</v>
      </c>
      <c r="EU33" s="133">
        <v>46226</v>
      </c>
      <c r="EV33" s="134">
        <v>2</v>
      </c>
      <c r="EW33" s="133">
        <v>46231</v>
      </c>
      <c r="EX33" s="133"/>
      <c r="EY33" s="154" t="s">
        <v>852</v>
      </c>
      <c r="EZ33" s="132" t="s">
        <v>874</v>
      </c>
      <c r="FA33" s="136"/>
      <c r="FB33" s="202" t="e">
        <v>#NUM!</v>
      </c>
      <c r="FC33" s="202" t="e">
        <v>#NUM!</v>
      </c>
      <c r="FD33" s="202" t="e">
        <v>#NUM!</v>
      </c>
      <c r="FE33" s="202" t="e">
        <v>#NUM!</v>
      </c>
      <c r="FF33" s="202" t="e">
        <v>#NUM!</v>
      </c>
      <c r="FG33" s="202" t="e">
        <v>#NUM!</v>
      </c>
      <c r="FH33" s="202" t="e">
        <v>#NUM!</v>
      </c>
      <c r="FI33" s="202" t="e">
        <v>#NUM!</v>
      </c>
      <c r="FJ33" s="202" t="e">
        <v>#NUM!</v>
      </c>
      <c r="FK33" s="202" t="e">
        <v>#NUM!</v>
      </c>
      <c r="FL33" s="202" t="e">
        <v>#NUM!</v>
      </c>
      <c r="FM33" s="202" t="e">
        <v>#NUM!</v>
      </c>
      <c r="FN33" s="202" t="e">
        <v>#NUM!</v>
      </c>
      <c r="FO33" s="202" t="e">
        <v>#NUM!</v>
      </c>
      <c r="FP33" s="202" t="e">
        <v>#NUM!</v>
      </c>
      <c r="FQ33" s="202" t="e">
        <v>#NUM!</v>
      </c>
      <c r="FR33" s="202" t="e">
        <v>#NUM!</v>
      </c>
      <c r="FS33" s="202" t="e">
        <v>#NUM!</v>
      </c>
      <c r="FT33" s="202" t="e">
        <v>#NUM!</v>
      </c>
      <c r="FU33" s="202"/>
      <c r="FV33" s="202"/>
      <c r="FW33" s="202"/>
      <c r="FX33" s="202"/>
      <c r="FY33" s="202" t="e">
        <v>#NUM!</v>
      </c>
      <c r="FZ33" s="202" t="e">
        <v>#NUM!</v>
      </c>
      <c r="GA33" s="202" t="e">
        <v>#NUM!</v>
      </c>
      <c r="GB33" s="202" t="e">
        <v>#NUM!</v>
      </c>
      <c r="GC33" s="202" t="e">
        <v>#NUM!</v>
      </c>
      <c r="GD33" s="202" t="e">
        <v>#NUM!</v>
      </c>
      <c r="GE33" s="202" t="e">
        <v>#NUM!</v>
      </c>
      <c r="GF33" s="202"/>
      <c r="GG33" s="202">
        <v>18</v>
      </c>
      <c r="GH33" s="202">
        <v>3</v>
      </c>
      <c r="GI33" s="202">
        <v>5</v>
      </c>
      <c r="GJ33" s="202">
        <v>9</v>
      </c>
      <c r="GK33" s="202">
        <v>10</v>
      </c>
      <c r="GL33" s="202">
        <v>11</v>
      </c>
      <c r="GM33" s="202">
        <v>13</v>
      </c>
      <c r="GN33" s="202">
        <v>16</v>
      </c>
      <c r="GO33" s="202">
        <v>18</v>
      </c>
      <c r="GP33" s="202">
        <v>23</v>
      </c>
      <c r="GQ33" s="202"/>
      <c r="GR33" s="189"/>
      <c r="GS33" s="189"/>
      <c r="GT33" s="189"/>
      <c r="GU33" s="189"/>
      <c r="GV33" s="189" t="s">
        <v>1165</v>
      </c>
    </row>
    <row r="34" spans="1:204" s="68" customFormat="1" ht="14.45" customHeight="1" x14ac:dyDescent="0.25">
      <c r="A34" s="68" t="s">
        <v>693</v>
      </c>
      <c r="B34" s="82" t="s">
        <v>154</v>
      </c>
      <c r="C34" s="82" t="s">
        <v>172</v>
      </c>
      <c r="D34" s="82" t="s">
        <v>196</v>
      </c>
      <c r="E34" s="82" t="s">
        <v>309</v>
      </c>
      <c r="F34" s="82" t="s">
        <v>549</v>
      </c>
      <c r="G34" s="82" t="s">
        <v>137</v>
      </c>
      <c r="H34" s="82" t="s">
        <v>137</v>
      </c>
      <c r="I34" s="82" t="s">
        <v>66</v>
      </c>
      <c r="J34" s="82" t="s">
        <v>29</v>
      </c>
      <c r="K34" s="92" t="s">
        <v>137</v>
      </c>
      <c r="L34" s="92" t="s">
        <v>137</v>
      </c>
      <c r="M34" s="92" t="s">
        <v>137</v>
      </c>
      <c r="N34" s="92" t="s">
        <v>137</v>
      </c>
      <c r="O34" s="92" t="s">
        <v>137</v>
      </c>
      <c r="P34" s="92" t="s">
        <v>137</v>
      </c>
      <c r="Q34" s="82" t="s">
        <v>87</v>
      </c>
      <c r="R34" s="82" t="s">
        <v>714</v>
      </c>
      <c r="S34" s="82" t="s">
        <v>40</v>
      </c>
      <c r="T34" s="82" t="s">
        <v>2</v>
      </c>
      <c r="U34" s="83"/>
      <c r="V34" s="83">
        <v>0.05</v>
      </c>
      <c r="W34" s="83">
        <v>0.08</v>
      </c>
      <c r="X34" s="83">
        <v>0.15</v>
      </c>
      <c r="Y34" s="83">
        <v>0.2</v>
      </c>
      <c r="Z34" s="83">
        <v>0.25</v>
      </c>
      <c r="AA34" s="83">
        <v>0.37</v>
      </c>
      <c r="AB34" s="83">
        <v>0.42</v>
      </c>
      <c r="AC34" s="83">
        <v>0.57999999999999996</v>
      </c>
      <c r="AD34" s="83">
        <v>0.67</v>
      </c>
      <c r="AE34" s="83">
        <v>0.83</v>
      </c>
      <c r="AF34" s="83">
        <v>1</v>
      </c>
      <c r="AG34" s="82" t="s">
        <v>532</v>
      </c>
      <c r="AH34" s="82" t="s">
        <v>529</v>
      </c>
      <c r="AI34" s="88" t="s">
        <v>538</v>
      </c>
      <c r="AJ34" s="89" t="s">
        <v>538</v>
      </c>
      <c r="AK34" s="90">
        <v>46023</v>
      </c>
      <c r="AL34" s="90">
        <v>46387</v>
      </c>
      <c r="AM34" s="89"/>
      <c r="AN34" s="89"/>
      <c r="AO34" s="89"/>
      <c r="AP34" s="91" t="s">
        <v>539</v>
      </c>
      <c r="AQ34" s="90" t="str" cm="1">
        <f t="array" ref="AQ34">IFERROR(DATE(2026, _xlfn.AGGREGATE(15, 6, (COLUMN(BY34:CJ34)-COLUMN(BY34)+1)/(BY34:CJ34&lt;&gt;0), 1), 1),"N/A")</f>
        <v>N/A</v>
      </c>
      <c r="AR34" s="90" t="str" cm="1">
        <f t="array" ref="AR34">IFERROR(EOMONTH(DATE(2026, _xlfn.AGGREGATE(14, 6, (COLUMN(BY34:CJ34)-COLUMN(BY34)+1)/(BY34:CJ34&lt;&gt;0), 1), 1), 0),"N/A")</f>
        <v>N/A</v>
      </c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2" t="s">
        <v>790</v>
      </c>
      <c r="BF34" s="82" t="s">
        <v>1010</v>
      </c>
      <c r="BG34" s="82" t="str">
        <f t="shared" si="0"/>
        <v>000</v>
      </c>
      <c r="BH34" s="88">
        <v>840107</v>
      </c>
      <c r="BI34" s="92" t="s">
        <v>74</v>
      </c>
      <c r="BJ34" s="93">
        <v>8492.18</v>
      </c>
      <c r="BK34" s="74">
        <v>0</v>
      </c>
      <c r="BL34" s="74">
        <v>0</v>
      </c>
      <c r="BM34" s="74">
        <v>0</v>
      </c>
      <c r="BN34" s="74">
        <v>0</v>
      </c>
      <c r="BO34" s="74">
        <v>0</v>
      </c>
      <c r="BP34" s="74">
        <v>0</v>
      </c>
      <c r="BQ34" s="74">
        <v>0</v>
      </c>
      <c r="BR34" s="74">
        <v>0</v>
      </c>
      <c r="BS34" s="74">
        <v>0</v>
      </c>
      <c r="BT34" s="94">
        <v>8492.18</v>
      </c>
      <c r="BU34" s="74">
        <v>0</v>
      </c>
      <c r="BV34" s="143">
        <v>0</v>
      </c>
      <c r="BW34" s="143">
        <v>-8492.18</v>
      </c>
      <c r="BX34" s="143">
        <f t="shared" si="5"/>
        <v>0</v>
      </c>
      <c r="BY34" s="74">
        <v>0</v>
      </c>
      <c r="BZ34" s="74">
        <v>0</v>
      </c>
      <c r="CA34" s="74">
        <v>0</v>
      </c>
      <c r="CB34" s="74">
        <v>0</v>
      </c>
      <c r="CC34" s="74">
        <v>0</v>
      </c>
      <c r="CD34" s="74">
        <v>0</v>
      </c>
      <c r="CE34" s="74">
        <v>0</v>
      </c>
      <c r="CF34" s="74">
        <v>0</v>
      </c>
      <c r="CG34" s="74">
        <v>0</v>
      </c>
      <c r="CH34" s="94">
        <v>0</v>
      </c>
      <c r="CI34" s="74">
        <v>0</v>
      </c>
      <c r="CJ34" s="143">
        <v>0</v>
      </c>
      <c r="CK34" s="143"/>
      <c r="CL34" s="142">
        <f t="shared" si="1"/>
        <v>0</v>
      </c>
      <c r="CM34" s="171">
        <v>0</v>
      </c>
      <c r="CN34" s="171">
        <v>0</v>
      </c>
      <c r="CO34" s="171">
        <v>0</v>
      </c>
      <c r="CP34" s="171">
        <v>0</v>
      </c>
      <c r="CQ34" s="171">
        <v>0</v>
      </c>
      <c r="CR34" s="171">
        <v>0</v>
      </c>
      <c r="CS34" s="171">
        <f t="shared" si="2"/>
        <v>0</v>
      </c>
      <c r="CT34" s="171">
        <f t="shared" si="3"/>
        <v>0</v>
      </c>
      <c r="CU34" s="171">
        <f t="shared" si="4"/>
        <v>0</v>
      </c>
      <c r="CV34" s="152">
        <v>8492.18</v>
      </c>
      <c r="CW34" s="149">
        <v>0</v>
      </c>
      <c r="CX34" s="130">
        <v>2</v>
      </c>
      <c r="CY34" s="130">
        <v>0</v>
      </c>
      <c r="CZ34" s="130" t="s">
        <v>321</v>
      </c>
      <c r="DA34" s="130" t="s">
        <v>849</v>
      </c>
      <c r="DB34" s="130" t="s">
        <v>850</v>
      </c>
      <c r="DC34" s="130" t="s">
        <v>851</v>
      </c>
      <c r="DD34" s="130"/>
      <c r="DE34" s="131">
        <v>46178</v>
      </c>
      <c r="DF34" s="131">
        <v>46178</v>
      </c>
      <c r="DG34" s="132">
        <v>2</v>
      </c>
      <c r="DH34" s="131">
        <v>46181</v>
      </c>
      <c r="DI34" s="131">
        <v>46181</v>
      </c>
      <c r="DJ34" s="131">
        <v>46181</v>
      </c>
      <c r="DK34" s="131">
        <v>46182</v>
      </c>
      <c r="DL34" s="131">
        <v>46183</v>
      </c>
      <c r="DM34" s="131">
        <v>46184</v>
      </c>
      <c r="DN34" s="131">
        <v>46185</v>
      </c>
      <c r="DO34" s="131">
        <v>46188</v>
      </c>
      <c r="DP34" s="131">
        <v>46189</v>
      </c>
      <c r="DQ34" s="131">
        <v>46189</v>
      </c>
      <c r="DR34" s="132">
        <v>2</v>
      </c>
      <c r="DS34" s="131">
        <v>46190</v>
      </c>
      <c r="DT34" s="131">
        <v>46191</v>
      </c>
      <c r="DU34" s="131">
        <v>46192</v>
      </c>
      <c r="DV34" s="131">
        <v>46195</v>
      </c>
      <c r="DW34" s="131">
        <v>46195</v>
      </c>
      <c r="DX34" s="131">
        <v>46196</v>
      </c>
      <c r="DY34" s="131">
        <v>46196</v>
      </c>
      <c r="DZ34" s="132"/>
      <c r="EA34" s="132"/>
      <c r="EB34" s="132"/>
      <c r="EC34" s="132"/>
      <c r="ED34" s="131">
        <v>46197</v>
      </c>
      <c r="EE34" s="131">
        <v>46198</v>
      </c>
      <c r="EF34" s="131">
        <v>46198</v>
      </c>
      <c r="EG34" s="131">
        <v>46199</v>
      </c>
      <c r="EH34" s="131">
        <v>46202</v>
      </c>
      <c r="EI34" s="131">
        <v>46203</v>
      </c>
      <c r="EJ34" s="131">
        <v>46204</v>
      </c>
      <c r="EK34" s="131">
        <v>46204</v>
      </c>
      <c r="EL34" s="132">
        <v>18</v>
      </c>
      <c r="EM34" s="131">
        <v>46206</v>
      </c>
      <c r="EN34" s="131">
        <v>46210</v>
      </c>
      <c r="EO34" s="133">
        <v>46212</v>
      </c>
      <c r="EP34" s="133">
        <v>46213</v>
      </c>
      <c r="EQ34" s="133">
        <v>46216</v>
      </c>
      <c r="ER34" s="133">
        <v>46218</v>
      </c>
      <c r="ES34" s="133">
        <v>46219</v>
      </c>
      <c r="ET34" s="133">
        <v>46223</v>
      </c>
      <c r="EU34" s="133">
        <v>46226</v>
      </c>
      <c r="EV34" s="134">
        <v>2</v>
      </c>
      <c r="EW34" s="133">
        <v>46231</v>
      </c>
      <c r="EX34" s="133"/>
      <c r="EY34" s="154" t="s">
        <v>852</v>
      </c>
      <c r="EZ34" s="132" t="s">
        <v>874</v>
      </c>
      <c r="FA34" s="136"/>
      <c r="FB34" s="202" t="e">
        <v>#NUM!</v>
      </c>
      <c r="FC34" s="202" t="e">
        <v>#NUM!</v>
      </c>
      <c r="FD34" s="202" t="e">
        <v>#NUM!</v>
      </c>
      <c r="FE34" s="202" t="e">
        <v>#NUM!</v>
      </c>
      <c r="FF34" s="202" t="e">
        <v>#NUM!</v>
      </c>
      <c r="FG34" s="202" t="e">
        <v>#NUM!</v>
      </c>
      <c r="FH34" s="202" t="e">
        <v>#NUM!</v>
      </c>
      <c r="FI34" s="202" t="e">
        <v>#NUM!</v>
      </c>
      <c r="FJ34" s="202" t="e">
        <v>#NUM!</v>
      </c>
      <c r="FK34" s="202" t="e">
        <v>#NUM!</v>
      </c>
      <c r="FL34" s="202" t="e">
        <v>#NUM!</v>
      </c>
      <c r="FM34" s="202" t="e">
        <v>#NUM!</v>
      </c>
      <c r="FN34" s="202" t="e">
        <v>#NUM!</v>
      </c>
      <c r="FO34" s="202" t="e">
        <v>#NUM!</v>
      </c>
      <c r="FP34" s="202" t="e">
        <v>#NUM!</v>
      </c>
      <c r="FQ34" s="202" t="e">
        <v>#NUM!</v>
      </c>
      <c r="FR34" s="202" t="e">
        <v>#NUM!</v>
      </c>
      <c r="FS34" s="202" t="e">
        <v>#NUM!</v>
      </c>
      <c r="FT34" s="202" t="e">
        <v>#NUM!</v>
      </c>
      <c r="FU34" s="202"/>
      <c r="FV34" s="202"/>
      <c r="FW34" s="202"/>
      <c r="FX34" s="202"/>
      <c r="FY34" s="202" t="e">
        <v>#NUM!</v>
      </c>
      <c r="FZ34" s="202" t="e">
        <v>#NUM!</v>
      </c>
      <c r="GA34" s="202" t="e">
        <v>#NUM!</v>
      </c>
      <c r="GB34" s="202" t="e">
        <v>#NUM!</v>
      </c>
      <c r="GC34" s="202" t="e">
        <v>#NUM!</v>
      </c>
      <c r="GD34" s="202" t="e">
        <v>#NUM!</v>
      </c>
      <c r="GE34" s="202" t="e">
        <v>#NUM!</v>
      </c>
      <c r="GF34" s="202"/>
      <c r="GG34" s="202">
        <v>18</v>
      </c>
      <c r="GH34" s="202">
        <v>3</v>
      </c>
      <c r="GI34" s="202">
        <v>5</v>
      </c>
      <c r="GJ34" s="202">
        <v>9</v>
      </c>
      <c r="GK34" s="202">
        <v>10</v>
      </c>
      <c r="GL34" s="202">
        <v>11</v>
      </c>
      <c r="GM34" s="202">
        <v>13</v>
      </c>
      <c r="GN34" s="202">
        <v>16</v>
      </c>
      <c r="GO34" s="202">
        <v>18</v>
      </c>
      <c r="GP34" s="202">
        <v>23</v>
      </c>
      <c r="GQ34" s="202"/>
      <c r="GR34" s="189"/>
      <c r="GS34" s="189"/>
      <c r="GT34" s="189"/>
      <c r="GU34" s="189"/>
      <c r="GV34" s="189" t="s">
        <v>1165</v>
      </c>
    </row>
    <row r="35" spans="1:204" s="68" customFormat="1" ht="14.45" customHeight="1" x14ac:dyDescent="0.25">
      <c r="A35" s="68" t="s">
        <v>693</v>
      </c>
      <c r="B35" s="82" t="s">
        <v>154</v>
      </c>
      <c r="C35" s="82" t="s">
        <v>172</v>
      </c>
      <c r="D35" s="82" t="s">
        <v>196</v>
      </c>
      <c r="E35" s="82" t="s">
        <v>309</v>
      </c>
      <c r="F35" s="82" t="s">
        <v>549</v>
      </c>
      <c r="G35" s="82" t="s">
        <v>137</v>
      </c>
      <c r="H35" s="82" t="s">
        <v>137</v>
      </c>
      <c r="I35" s="82" t="s">
        <v>66</v>
      </c>
      <c r="J35" s="82" t="s">
        <v>29</v>
      </c>
      <c r="K35" s="92" t="s">
        <v>137</v>
      </c>
      <c r="L35" s="92" t="s">
        <v>137</v>
      </c>
      <c r="M35" s="92" t="s">
        <v>137</v>
      </c>
      <c r="N35" s="92" t="s">
        <v>137</v>
      </c>
      <c r="O35" s="92" t="s">
        <v>137</v>
      </c>
      <c r="P35" s="92" t="s">
        <v>137</v>
      </c>
      <c r="Q35" s="82" t="s">
        <v>87</v>
      </c>
      <c r="R35" s="82" t="s">
        <v>714</v>
      </c>
      <c r="S35" s="82" t="s">
        <v>40</v>
      </c>
      <c r="T35" s="82" t="s">
        <v>2</v>
      </c>
      <c r="U35" s="83"/>
      <c r="V35" s="83">
        <v>0.05</v>
      </c>
      <c r="W35" s="83">
        <v>0.08</v>
      </c>
      <c r="X35" s="83">
        <v>0.15</v>
      </c>
      <c r="Y35" s="83">
        <v>0.2</v>
      </c>
      <c r="Z35" s="83">
        <v>0.25</v>
      </c>
      <c r="AA35" s="83">
        <v>0.37</v>
      </c>
      <c r="AB35" s="83">
        <v>0.42</v>
      </c>
      <c r="AC35" s="83">
        <v>0.57999999999999996</v>
      </c>
      <c r="AD35" s="83">
        <v>0.67</v>
      </c>
      <c r="AE35" s="83">
        <v>0.83</v>
      </c>
      <c r="AF35" s="83">
        <v>1</v>
      </c>
      <c r="AG35" s="82" t="s">
        <v>532</v>
      </c>
      <c r="AH35" s="82" t="s">
        <v>529</v>
      </c>
      <c r="AI35" s="88" t="s">
        <v>538</v>
      </c>
      <c r="AJ35" s="89" t="s">
        <v>538</v>
      </c>
      <c r="AK35" s="90">
        <v>46023</v>
      </c>
      <c r="AL35" s="90">
        <v>46387</v>
      </c>
      <c r="AM35" s="89"/>
      <c r="AN35" s="89"/>
      <c r="AO35" s="89"/>
      <c r="AP35" s="91" t="s">
        <v>539</v>
      </c>
      <c r="AQ35" s="90" cm="1">
        <f t="array" ref="AQ35">IFERROR(DATE(2026, _xlfn.AGGREGATE(15, 6, (COLUMN(BY35:CJ35)-COLUMN(BY35)+1)/(BY35:CJ35&lt;&gt;0), 1), 1),"N/A")</f>
        <v>46204</v>
      </c>
      <c r="AR35" s="90" cm="1">
        <f t="array" ref="AR35">IFERROR(EOMONTH(DATE(2026, _xlfn.AGGREGATE(14, 6, (COLUMN(BY35:CJ35)-COLUMN(BY35)+1)/(BY35:CJ35&lt;&gt;0), 1), 1), 0),"N/A")</f>
        <v>46234</v>
      </c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2" t="s">
        <v>652</v>
      </c>
      <c r="BF35" s="82" t="s">
        <v>1011</v>
      </c>
      <c r="BG35" s="82" t="str">
        <f t="shared" si="0"/>
        <v>000</v>
      </c>
      <c r="BH35" s="88">
        <v>840107</v>
      </c>
      <c r="BI35" s="92" t="s">
        <v>74</v>
      </c>
      <c r="BJ35" s="93">
        <v>17000</v>
      </c>
      <c r="BK35" s="74">
        <v>0</v>
      </c>
      <c r="BL35" s="74">
        <v>0</v>
      </c>
      <c r="BM35" s="74">
        <v>0</v>
      </c>
      <c r="BN35" s="74">
        <v>0</v>
      </c>
      <c r="BO35" s="74">
        <v>0</v>
      </c>
      <c r="BP35" s="74">
        <v>0</v>
      </c>
      <c r="BQ35" s="94">
        <v>17000</v>
      </c>
      <c r="BR35" s="74">
        <v>0</v>
      </c>
      <c r="BS35" s="74">
        <v>0</v>
      </c>
      <c r="BT35" s="74">
        <v>0</v>
      </c>
      <c r="BU35" s="74">
        <v>0</v>
      </c>
      <c r="BV35" s="143">
        <v>0</v>
      </c>
      <c r="BW35" s="143"/>
      <c r="BX35" s="143">
        <f t="shared" si="5"/>
        <v>17000</v>
      </c>
      <c r="BY35" s="74">
        <v>0</v>
      </c>
      <c r="BZ35" s="74">
        <v>0</v>
      </c>
      <c r="CA35" s="74">
        <v>0</v>
      </c>
      <c r="CB35" s="74">
        <v>0</v>
      </c>
      <c r="CC35" s="74">
        <v>0</v>
      </c>
      <c r="CD35" s="74">
        <v>0</v>
      </c>
      <c r="CE35" s="94">
        <v>17000</v>
      </c>
      <c r="CF35" s="74">
        <v>0</v>
      </c>
      <c r="CG35" s="74">
        <v>0</v>
      </c>
      <c r="CH35" s="74">
        <v>0</v>
      </c>
      <c r="CI35" s="74">
        <v>0</v>
      </c>
      <c r="CJ35" s="143">
        <v>0</v>
      </c>
      <c r="CK35" s="143"/>
      <c r="CL35" s="142">
        <f t="shared" si="1"/>
        <v>0</v>
      </c>
      <c r="CM35" s="171">
        <v>0</v>
      </c>
      <c r="CN35" s="171">
        <v>0</v>
      </c>
      <c r="CO35" s="171">
        <v>0</v>
      </c>
      <c r="CP35" s="171">
        <v>0</v>
      </c>
      <c r="CQ35" s="171">
        <v>0</v>
      </c>
      <c r="CR35" s="171">
        <v>0</v>
      </c>
      <c r="CS35" s="171">
        <f t="shared" si="2"/>
        <v>0</v>
      </c>
      <c r="CT35" s="171">
        <f t="shared" si="3"/>
        <v>0</v>
      </c>
      <c r="CU35" s="171">
        <f t="shared" si="4"/>
        <v>0</v>
      </c>
      <c r="CV35" s="152">
        <v>17000</v>
      </c>
      <c r="CW35" s="198">
        <v>17000</v>
      </c>
      <c r="CX35" s="130">
        <v>1</v>
      </c>
      <c r="CY35" s="130">
        <v>1</v>
      </c>
      <c r="CZ35" s="130" t="s">
        <v>321</v>
      </c>
      <c r="DA35" s="130" t="s">
        <v>849</v>
      </c>
      <c r="DB35" s="130" t="s">
        <v>850</v>
      </c>
      <c r="DC35" s="130" t="s">
        <v>851</v>
      </c>
      <c r="DD35" s="130"/>
      <c r="DE35" s="131">
        <v>46091</v>
      </c>
      <c r="DF35" s="131">
        <v>46091</v>
      </c>
      <c r="DG35" s="132">
        <v>1</v>
      </c>
      <c r="DH35" s="131">
        <v>46092</v>
      </c>
      <c r="DI35" s="131">
        <v>46092</v>
      </c>
      <c r="DJ35" s="131">
        <v>46092</v>
      </c>
      <c r="DK35" s="131">
        <v>46093</v>
      </c>
      <c r="DL35" s="131">
        <v>46094</v>
      </c>
      <c r="DM35" s="131">
        <v>46097</v>
      </c>
      <c r="DN35" s="131">
        <v>46098</v>
      </c>
      <c r="DO35" s="131">
        <v>46099</v>
      </c>
      <c r="DP35" s="131">
        <v>46100</v>
      </c>
      <c r="DQ35" s="131">
        <v>46100</v>
      </c>
      <c r="DR35" s="132">
        <v>1</v>
      </c>
      <c r="DS35" s="131">
        <v>46101</v>
      </c>
      <c r="DT35" s="131">
        <v>46104</v>
      </c>
      <c r="DU35" s="131">
        <v>46105</v>
      </c>
      <c r="DV35" s="131">
        <v>46106</v>
      </c>
      <c r="DW35" s="131">
        <v>46106</v>
      </c>
      <c r="DX35" s="131">
        <v>46107</v>
      </c>
      <c r="DY35" s="131">
        <v>46107</v>
      </c>
      <c r="DZ35" s="132"/>
      <c r="EA35" s="132"/>
      <c r="EB35" s="132"/>
      <c r="EC35" s="132"/>
      <c r="ED35" s="131">
        <v>46108</v>
      </c>
      <c r="EE35" s="131">
        <v>46111</v>
      </c>
      <c r="EF35" s="131">
        <v>46111</v>
      </c>
      <c r="EG35" s="131">
        <v>46112</v>
      </c>
      <c r="EH35" s="131">
        <v>46113</v>
      </c>
      <c r="EI35" s="131">
        <v>46114</v>
      </c>
      <c r="EJ35" s="131">
        <v>46115</v>
      </c>
      <c r="EK35" s="131">
        <v>46115</v>
      </c>
      <c r="EL35" s="132">
        <v>18</v>
      </c>
      <c r="EM35" s="131">
        <v>46119</v>
      </c>
      <c r="EN35" s="131">
        <v>46121</v>
      </c>
      <c r="EO35" s="133">
        <v>46125</v>
      </c>
      <c r="EP35" s="133">
        <v>46126</v>
      </c>
      <c r="EQ35" s="133">
        <v>46127</v>
      </c>
      <c r="ER35" s="133">
        <v>46129</v>
      </c>
      <c r="ES35" s="133">
        <v>46132</v>
      </c>
      <c r="ET35" s="133">
        <v>46134</v>
      </c>
      <c r="EU35" s="133">
        <v>46139</v>
      </c>
      <c r="EV35" s="134">
        <v>1</v>
      </c>
      <c r="EW35" s="133">
        <v>46142</v>
      </c>
      <c r="EX35" s="133"/>
      <c r="EY35" s="154" t="s">
        <v>852</v>
      </c>
      <c r="EZ35" s="132" t="s">
        <v>874</v>
      </c>
      <c r="FA35" s="136"/>
      <c r="FB35" s="203">
        <v>46091</v>
      </c>
      <c r="FC35" s="203">
        <v>46091</v>
      </c>
      <c r="FD35" s="203">
        <v>46092</v>
      </c>
      <c r="FE35" s="203">
        <v>46092</v>
      </c>
      <c r="FF35" s="203">
        <v>46092</v>
      </c>
      <c r="FG35" s="203">
        <v>46093</v>
      </c>
      <c r="FH35" s="203">
        <v>46094</v>
      </c>
      <c r="FI35" s="203">
        <v>46097</v>
      </c>
      <c r="FJ35" s="203">
        <v>46098</v>
      </c>
      <c r="FK35" s="203">
        <v>46099</v>
      </c>
      <c r="FL35" s="203">
        <v>46100</v>
      </c>
      <c r="FM35" s="203">
        <v>46100</v>
      </c>
      <c r="FN35" s="203">
        <v>46101</v>
      </c>
      <c r="FO35" s="203">
        <v>46104</v>
      </c>
      <c r="FP35" s="203">
        <v>46105</v>
      </c>
      <c r="FQ35" s="203">
        <v>46106</v>
      </c>
      <c r="FR35" s="203">
        <v>46106</v>
      </c>
      <c r="FS35" s="203">
        <v>46107</v>
      </c>
      <c r="FT35" s="203">
        <v>46107</v>
      </c>
      <c r="FU35" s="203"/>
      <c r="FV35" s="203"/>
      <c r="FW35" s="203"/>
      <c r="FX35" s="203"/>
      <c r="FY35" s="203">
        <v>46108</v>
      </c>
      <c r="FZ35" s="203">
        <v>46111</v>
      </c>
      <c r="GA35" s="203">
        <v>46111</v>
      </c>
      <c r="GB35" s="203">
        <v>46112</v>
      </c>
      <c r="GC35" s="203">
        <v>46113</v>
      </c>
      <c r="GD35" s="203">
        <v>46114</v>
      </c>
      <c r="GE35" s="203">
        <v>46115</v>
      </c>
      <c r="GF35" s="203">
        <v>46115</v>
      </c>
      <c r="GG35" s="203">
        <v>18</v>
      </c>
      <c r="GH35" s="203">
        <v>46119</v>
      </c>
      <c r="GI35" s="203">
        <v>46121</v>
      </c>
      <c r="GJ35" s="203">
        <v>46125</v>
      </c>
      <c r="GK35" s="203">
        <v>46126</v>
      </c>
      <c r="GL35" s="203">
        <v>46127</v>
      </c>
      <c r="GM35" s="203">
        <v>46129</v>
      </c>
      <c r="GN35" s="203">
        <v>46132</v>
      </c>
      <c r="GO35" s="203">
        <v>46134</v>
      </c>
      <c r="GP35" s="203">
        <v>46139</v>
      </c>
      <c r="GQ35" s="203">
        <v>46142</v>
      </c>
      <c r="GR35" s="187"/>
      <c r="GS35" s="187" t="s">
        <v>1180</v>
      </c>
      <c r="GT35" s="187" t="s">
        <v>852</v>
      </c>
      <c r="GU35" s="187" t="s">
        <v>874</v>
      </c>
      <c r="GV35" s="187" t="s">
        <v>1161</v>
      </c>
    </row>
    <row r="36" spans="1:204" s="68" customFormat="1" ht="14.45" customHeight="1" x14ac:dyDescent="0.25">
      <c r="A36" s="68" t="s">
        <v>692</v>
      </c>
      <c r="B36" s="82" t="s">
        <v>154</v>
      </c>
      <c r="C36" s="82" t="s">
        <v>172</v>
      </c>
      <c r="D36" s="82" t="s">
        <v>196</v>
      </c>
      <c r="E36" s="82" t="s">
        <v>309</v>
      </c>
      <c r="F36" s="82" t="s">
        <v>549</v>
      </c>
      <c r="G36" s="82" t="s">
        <v>137</v>
      </c>
      <c r="H36" s="82" t="s">
        <v>137</v>
      </c>
      <c r="I36" s="82" t="s">
        <v>66</v>
      </c>
      <c r="J36" s="82" t="s">
        <v>29</v>
      </c>
      <c r="K36" s="92" t="s">
        <v>137</v>
      </c>
      <c r="L36" s="92" t="s">
        <v>137</v>
      </c>
      <c r="M36" s="92" t="s">
        <v>137</v>
      </c>
      <c r="N36" s="92" t="s">
        <v>137</v>
      </c>
      <c r="O36" s="92" t="s">
        <v>137</v>
      </c>
      <c r="P36" s="92" t="s">
        <v>137</v>
      </c>
      <c r="Q36" s="82" t="s">
        <v>87</v>
      </c>
      <c r="R36" s="82" t="s">
        <v>714</v>
      </c>
      <c r="S36" s="82" t="s">
        <v>40</v>
      </c>
      <c r="T36" s="82" t="s">
        <v>2</v>
      </c>
      <c r="U36" s="83"/>
      <c r="V36" s="83">
        <v>0.05</v>
      </c>
      <c r="W36" s="83">
        <v>0.08</v>
      </c>
      <c r="X36" s="83">
        <v>0.15</v>
      </c>
      <c r="Y36" s="83">
        <v>0.2</v>
      </c>
      <c r="Z36" s="83">
        <v>0.25</v>
      </c>
      <c r="AA36" s="83">
        <v>0.37</v>
      </c>
      <c r="AB36" s="83">
        <v>0.42</v>
      </c>
      <c r="AC36" s="83">
        <v>0.57999999999999996</v>
      </c>
      <c r="AD36" s="83">
        <v>0.67</v>
      </c>
      <c r="AE36" s="83">
        <v>0.83</v>
      </c>
      <c r="AF36" s="83">
        <v>1</v>
      </c>
      <c r="AG36" s="82" t="s">
        <v>532</v>
      </c>
      <c r="AH36" s="82" t="s">
        <v>529</v>
      </c>
      <c r="AI36" s="88" t="s">
        <v>538</v>
      </c>
      <c r="AJ36" s="89" t="s">
        <v>538</v>
      </c>
      <c r="AK36" s="90">
        <v>46023</v>
      </c>
      <c r="AL36" s="90">
        <v>46387</v>
      </c>
      <c r="AM36" s="89"/>
      <c r="AN36" s="89"/>
      <c r="AO36" s="89"/>
      <c r="AP36" s="91" t="s">
        <v>539</v>
      </c>
      <c r="AQ36" s="90" cm="1">
        <f t="array" ref="AQ36">IFERROR(DATE(2026, _xlfn.AGGREGATE(15, 6, (COLUMN(BY36:CJ36)-COLUMN(BY36)+1)/(BY36:CJ36&lt;&gt;0), 1), 1),"N/A")</f>
        <v>46296</v>
      </c>
      <c r="AR36" s="90" cm="1">
        <f t="array" ref="AR36">IFERROR(EOMONTH(DATE(2026, _xlfn.AGGREGATE(14, 6, (COLUMN(BY36:CJ36)-COLUMN(BY36)+1)/(BY36:CJ36&lt;&gt;0), 1), 1), 0),"N/A")</f>
        <v>46326</v>
      </c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2" t="s">
        <v>640</v>
      </c>
      <c r="BF36" s="82" t="s">
        <v>935</v>
      </c>
      <c r="BG36" s="82" t="str">
        <f t="shared" si="0"/>
        <v>000</v>
      </c>
      <c r="BH36" s="88">
        <v>530804</v>
      </c>
      <c r="BI36" s="92" t="s">
        <v>74</v>
      </c>
      <c r="BJ36" s="93">
        <v>10000</v>
      </c>
      <c r="BK36" s="74">
        <v>0</v>
      </c>
      <c r="BL36" s="74">
        <v>0</v>
      </c>
      <c r="BM36" s="74">
        <v>0</v>
      </c>
      <c r="BN36" s="74">
        <v>0</v>
      </c>
      <c r="BO36" s="74">
        <v>0</v>
      </c>
      <c r="BP36" s="74">
        <v>0</v>
      </c>
      <c r="BQ36" s="74">
        <v>0</v>
      </c>
      <c r="BR36" s="74">
        <v>0</v>
      </c>
      <c r="BS36" s="74">
        <v>0</v>
      </c>
      <c r="BT36" s="94">
        <v>10000</v>
      </c>
      <c r="BU36" s="74">
        <v>0</v>
      </c>
      <c r="BV36" s="143">
        <v>0</v>
      </c>
      <c r="BW36" s="143"/>
      <c r="BX36" s="143">
        <f t="shared" si="5"/>
        <v>10000</v>
      </c>
      <c r="BY36" s="74">
        <v>0</v>
      </c>
      <c r="BZ36" s="74">
        <v>0</v>
      </c>
      <c r="CA36" s="74">
        <v>0</v>
      </c>
      <c r="CB36" s="74">
        <v>0</v>
      </c>
      <c r="CC36" s="74">
        <v>0</v>
      </c>
      <c r="CD36" s="74">
        <v>0</v>
      </c>
      <c r="CE36" s="74">
        <v>0</v>
      </c>
      <c r="CF36" s="74">
        <v>0</v>
      </c>
      <c r="CG36" s="74">
        <v>0</v>
      </c>
      <c r="CH36" s="94">
        <v>10000</v>
      </c>
      <c r="CI36" s="74">
        <v>0</v>
      </c>
      <c r="CJ36" s="143">
        <v>0</v>
      </c>
      <c r="CK36" s="143"/>
      <c r="CL36" s="142">
        <f t="shared" si="1"/>
        <v>0</v>
      </c>
      <c r="CM36" s="171">
        <v>0</v>
      </c>
      <c r="CN36" s="171">
        <v>0</v>
      </c>
      <c r="CO36" s="171">
        <v>0</v>
      </c>
      <c r="CP36" s="171">
        <v>0</v>
      </c>
      <c r="CQ36" s="171">
        <v>0</v>
      </c>
      <c r="CR36" s="171">
        <v>0</v>
      </c>
      <c r="CS36" s="171">
        <f t="shared" si="2"/>
        <v>0</v>
      </c>
      <c r="CT36" s="171">
        <f t="shared" si="3"/>
        <v>0</v>
      </c>
      <c r="CU36" s="171">
        <f t="shared" si="4"/>
        <v>0</v>
      </c>
      <c r="CV36" s="152">
        <v>10000</v>
      </c>
      <c r="CW36" s="152">
        <v>10000</v>
      </c>
      <c r="CX36" s="130">
        <v>3</v>
      </c>
      <c r="CY36" s="130">
        <v>3</v>
      </c>
      <c r="CZ36" s="130" t="s">
        <v>322</v>
      </c>
      <c r="DA36" s="130" t="s">
        <v>865</v>
      </c>
      <c r="DB36" s="130" t="s">
        <v>850</v>
      </c>
      <c r="DC36" s="130" t="s">
        <v>851</v>
      </c>
      <c r="DD36" s="130"/>
      <c r="DE36" s="131">
        <v>46219</v>
      </c>
      <c r="DF36" s="131">
        <v>46219</v>
      </c>
      <c r="DG36" s="132">
        <v>2</v>
      </c>
      <c r="DH36" s="131">
        <v>46220</v>
      </c>
      <c r="DI36" s="131">
        <v>46220</v>
      </c>
      <c r="DJ36" s="131">
        <v>46220</v>
      </c>
      <c r="DK36" s="131">
        <v>46223</v>
      </c>
      <c r="DL36" s="131">
        <v>46224</v>
      </c>
      <c r="DM36" s="131">
        <v>46225</v>
      </c>
      <c r="DN36" s="131">
        <v>46226</v>
      </c>
      <c r="DO36" s="131">
        <v>46227</v>
      </c>
      <c r="DP36" s="131">
        <v>46230</v>
      </c>
      <c r="DQ36" s="131">
        <v>46230</v>
      </c>
      <c r="DR36" s="132">
        <v>2</v>
      </c>
      <c r="DS36" s="131">
        <v>46231</v>
      </c>
      <c r="DT36" s="131">
        <v>46232</v>
      </c>
      <c r="DU36" s="131">
        <v>46233</v>
      </c>
      <c r="DV36" s="131">
        <v>46234</v>
      </c>
      <c r="DW36" s="131">
        <v>46234</v>
      </c>
      <c r="DX36" s="131">
        <v>46237</v>
      </c>
      <c r="DY36" s="131">
        <v>46237</v>
      </c>
      <c r="DZ36" s="131"/>
      <c r="EA36" s="131"/>
      <c r="EB36" s="131"/>
      <c r="EC36" s="131"/>
      <c r="ED36" s="131">
        <v>46238</v>
      </c>
      <c r="EE36" s="131">
        <v>46239</v>
      </c>
      <c r="EF36" s="131">
        <v>46239</v>
      </c>
      <c r="EG36" s="131">
        <v>46240</v>
      </c>
      <c r="EH36" s="131">
        <v>46241</v>
      </c>
      <c r="EI36" s="131">
        <v>46244</v>
      </c>
      <c r="EJ36" s="131">
        <v>46245</v>
      </c>
      <c r="EK36" s="131">
        <v>46245</v>
      </c>
      <c r="EL36" s="132">
        <v>18</v>
      </c>
      <c r="EM36" s="133"/>
      <c r="EN36" s="133"/>
      <c r="EO36" s="133"/>
      <c r="EP36" s="133"/>
      <c r="EQ36" s="133"/>
      <c r="ER36" s="133"/>
      <c r="ES36" s="133"/>
      <c r="ET36" s="133"/>
      <c r="EU36" s="133">
        <v>46247</v>
      </c>
      <c r="EV36" s="134">
        <v>2</v>
      </c>
      <c r="EW36" s="133"/>
      <c r="EX36" s="133"/>
      <c r="EY36" s="154" t="s">
        <v>866</v>
      </c>
      <c r="EZ36" s="132" t="s">
        <v>871</v>
      </c>
      <c r="FA36" s="136"/>
      <c r="FB36" s="203">
        <v>46218</v>
      </c>
      <c r="FC36" s="203">
        <v>46218</v>
      </c>
      <c r="FD36" s="203">
        <v>46219</v>
      </c>
      <c r="FE36" s="203">
        <v>46219</v>
      </c>
      <c r="FF36" s="203">
        <v>46219</v>
      </c>
      <c r="FG36" s="203">
        <v>46220</v>
      </c>
      <c r="FH36" s="203">
        <v>46223</v>
      </c>
      <c r="FI36" s="203">
        <v>46224</v>
      </c>
      <c r="FJ36" s="203">
        <v>46225</v>
      </c>
      <c r="FK36" s="203">
        <v>46226</v>
      </c>
      <c r="FL36" s="203">
        <v>46227</v>
      </c>
      <c r="FM36" s="203">
        <v>46227</v>
      </c>
      <c r="FN36" s="203">
        <v>46230</v>
      </c>
      <c r="FO36" s="203">
        <v>46231</v>
      </c>
      <c r="FP36" s="203">
        <v>46232</v>
      </c>
      <c r="FQ36" s="203">
        <v>46233</v>
      </c>
      <c r="FR36" s="203">
        <v>46233</v>
      </c>
      <c r="FS36" s="203">
        <v>46234</v>
      </c>
      <c r="FT36" s="203">
        <v>46234</v>
      </c>
      <c r="FU36" s="203"/>
      <c r="FV36" s="203"/>
      <c r="FW36" s="203"/>
      <c r="FX36" s="203"/>
      <c r="FY36" s="203">
        <v>46237</v>
      </c>
      <c r="FZ36" s="203">
        <v>46238</v>
      </c>
      <c r="GA36" s="203">
        <v>46238</v>
      </c>
      <c r="GB36" s="203">
        <v>46239</v>
      </c>
      <c r="GC36" s="203">
        <v>46240</v>
      </c>
      <c r="GD36" s="203">
        <v>46241</v>
      </c>
      <c r="GE36" s="203">
        <v>46245</v>
      </c>
      <c r="GF36" s="203">
        <v>46245</v>
      </c>
      <c r="GG36" s="203">
        <v>18</v>
      </c>
      <c r="GH36" s="203"/>
      <c r="GI36" s="203"/>
      <c r="GJ36" s="203"/>
      <c r="GK36" s="203"/>
      <c r="GL36" s="203"/>
      <c r="GM36" s="203"/>
      <c r="GN36" s="203"/>
      <c r="GO36" s="203"/>
      <c r="GP36" s="203">
        <v>46247</v>
      </c>
      <c r="GQ36" s="203"/>
      <c r="GR36" s="187"/>
      <c r="GS36" s="187" t="s">
        <v>1180</v>
      </c>
      <c r="GT36" s="187" t="s">
        <v>866</v>
      </c>
      <c r="GU36" s="187" t="s">
        <v>871</v>
      </c>
      <c r="GV36" s="187"/>
    </row>
    <row r="37" spans="1:204" s="68" customFormat="1" ht="14.45" customHeight="1" x14ac:dyDescent="0.25">
      <c r="A37" s="68" t="s">
        <v>691</v>
      </c>
      <c r="B37" s="82" t="s">
        <v>154</v>
      </c>
      <c r="C37" s="82" t="s">
        <v>172</v>
      </c>
      <c r="D37" s="82" t="s">
        <v>196</v>
      </c>
      <c r="E37" s="82" t="s">
        <v>309</v>
      </c>
      <c r="F37" s="82" t="s">
        <v>549</v>
      </c>
      <c r="G37" s="82" t="s">
        <v>137</v>
      </c>
      <c r="H37" s="82" t="s">
        <v>137</v>
      </c>
      <c r="I37" s="82" t="s">
        <v>66</v>
      </c>
      <c r="J37" s="82" t="s">
        <v>29</v>
      </c>
      <c r="K37" s="92" t="s">
        <v>137</v>
      </c>
      <c r="L37" s="92" t="s">
        <v>137</v>
      </c>
      <c r="M37" s="92" t="s">
        <v>137</v>
      </c>
      <c r="N37" s="92" t="s">
        <v>137</v>
      </c>
      <c r="O37" s="92" t="s">
        <v>137</v>
      </c>
      <c r="P37" s="92" t="s">
        <v>137</v>
      </c>
      <c r="Q37" s="82" t="s">
        <v>87</v>
      </c>
      <c r="R37" s="82" t="s">
        <v>714</v>
      </c>
      <c r="S37" s="82" t="s">
        <v>40</v>
      </c>
      <c r="T37" s="82" t="s">
        <v>2</v>
      </c>
      <c r="U37" s="83"/>
      <c r="V37" s="83">
        <v>0.05</v>
      </c>
      <c r="W37" s="83">
        <v>0.08</v>
      </c>
      <c r="X37" s="83">
        <v>0.15</v>
      </c>
      <c r="Y37" s="83">
        <v>0.2</v>
      </c>
      <c r="Z37" s="83">
        <v>0.25</v>
      </c>
      <c r="AA37" s="83">
        <v>0.37</v>
      </c>
      <c r="AB37" s="83">
        <v>0.42</v>
      </c>
      <c r="AC37" s="83">
        <v>0.57999999999999996</v>
      </c>
      <c r="AD37" s="83">
        <v>0.67</v>
      </c>
      <c r="AE37" s="83">
        <v>0.83</v>
      </c>
      <c r="AF37" s="83">
        <v>1</v>
      </c>
      <c r="AG37" s="82" t="s">
        <v>532</v>
      </c>
      <c r="AH37" s="82" t="s">
        <v>529</v>
      </c>
      <c r="AI37" s="88" t="s">
        <v>538</v>
      </c>
      <c r="AJ37" s="89" t="s">
        <v>538</v>
      </c>
      <c r="AK37" s="90">
        <v>46023</v>
      </c>
      <c r="AL37" s="90">
        <v>46387</v>
      </c>
      <c r="AM37" s="89"/>
      <c r="AN37" s="89"/>
      <c r="AO37" s="89"/>
      <c r="AP37" s="91" t="s">
        <v>539</v>
      </c>
      <c r="AQ37" s="90" cm="1">
        <f t="array" ref="AQ37">IFERROR(DATE(2026, _xlfn.AGGREGATE(15, 6, (COLUMN(BY37:CJ37)-COLUMN(BY37)+1)/(BY37:CJ37&lt;&gt;0), 1), 1),"N/A")</f>
        <v>46023</v>
      </c>
      <c r="AR37" s="90" cm="1">
        <f t="array" ref="AR37">IFERROR(EOMONTH(DATE(2026, _xlfn.AGGREGATE(14, 6, (COLUMN(BY37:CJ37)-COLUMN(BY37)+1)/(BY37:CJ37&lt;&gt;0), 1), 1), 0),"N/A")</f>
        <v>46387</v>
      </c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2" t="s">
        <v>635</v>
      </c>
      <c r="BF37" s="82" t="s">
        <v>985</v>
      </c>
      <c r="BG37" s="82" t="str">
        <f t="shared" si="0"/>
        <v>000</v>
      </c>
      <c r="BH37" s="88">
        <v>530210</v>
      </c>
      <c r="BI37" s="92" t="s">
        <v>74</v>
      </c>
      <c r="BJ37" s="93">
        <v>7800</v>
      </c>
      <c r="BK37" s="94">
        <v>650</v>
      </c>
      <c r="BL37" s="94">
        <v>650</v>
      </c>
      <c r="BM37" s="94">
        <v>650</v>
      </c>
      <c r="BN37" s="72">
        <v>650</v>
      </c>
      <c r="BO37" s="94">
        <v>650</v>
      </c>
      <c r="BP37" s="94">
        <v>650</v>
      </c>
      <c r="BQ37" s="94">
        <v>650</v>
      </c>
      <c r="BR37" s="94">
        <v>650</v>
      </c>
      <c r="BS37" s="94">
        <v>650</v>
      </c>
      <c r="BT37" s="94">
        <v>650</v>
      </c>
      <c r="BU37" s="94">
        <v>650</v>
      </c>
      <c r="BV37" s="142">
        <v>650</v>
      </c>
      <c r="BW37" s="142"/>
      <c r="BX37" s="143">
        <f t="shared" si="5"/>
        <v>7800</v>
      </c>
      <c r="BY37" s="94">
        <v>650</v>
      </c>
      <c r="BZ37" s="94">
        <v>650</v>
      </c>
      <c r="CA37" s="94">
        <v>650</v>
      </c>
      <c r="CB37" s="72">
        <v>650</v>
      </c>
      <c r="CC37" s="94">
        <v>650</v>
      </c>
      <c r="CD37" s="94">
        <v>650</v>
      </c>
      <c r="CE37" s="94">
        <v>650</v>
      </c>
      <c r="CF37" s="94">
        <v>650</v>
      </c>
      <c r="CG37" s="94">
        <v>650</v>
      </c>
      <c r="CH37" s="94">
        <v>650</v>
      </c>
      <c r="CI37" s="94">
        <v>650</v>
      </c>
      <c r="CJ37" s="142">
        <v>650</v>
      </c>
      <c r="CK37" s="142"/>
      <c r="CL37" s="142">
        <f t="shared" si="1"/>
        <v>0</v>
      </c>
      <c r="CM37" s="171">
        <v>431.16</v>
      </c>
      <c r="CN37" s="171">
        <v>7368.84</v>
      </c>
      <c r="CO37" s="171">
        <v>431.16</v>
      </c>
      <c r="CP37" s="171">
        <v>0</v>
      </c>
      <c r="CQ37" s="171">
        <v>7368.84</v>
      </c>
      <c r="CR37" s="171">
        <v>0</v>
      </c>
      <c r="CS37" s="171">
        <f t="shared" si="2"/>
        <v>431.16</v>
      </c>
      <c r="CT37" s="171">
        <f t="shared" si="3"/>
        <v>14737.68</v>
      </c>
      <c r="CU37" s="171">
        <f t="shared" si="4"/>
        <v>431.16</v>
      </c>
      <c r="CV37" s="149"/>
      <c r="CW37" s="149"/>
      <c r="CX37" s="130"/>
      <c r="CY37" s="130"/>
      <c r="CZ37" s="130"/>
      <c r="DA37" s="130"/>
      <c r="DB37" s="130"/>
      <c r="DC37" s="130"/>
      <c r="DD37" s="130"/>
      <c r="DE37" s="130"/>
      <c r="DF37" s="130"/>
      <c r="DG37" s="130"/>
      <c r="DH37" s="130"/>
      <c r="DI37" s="130"/>
      <c r="DJ37" s="130"/>
      <c r="DK37" s="130"/>
      <c r="DL37" s="130"/>
      <c r="DM37" s="130"/>
      <c r="DN37" s="130"/>
      <c r="DO37" s="130"/>
      <c r="DP37" s="130"/>
      <c r="DQ37" s="130"/>
      <c r="DR37" s="130"/>
      <c r="DS37" s="130"/>
      <c r="DT37" s="130"/>
      <c r="DU37" s="130"/>
      <c r="DV37" s="130"/>
      <c r="DW37" s="130"/>
      <c r="DX37" s="130"/>
      <c r="DY37" s="130"/>
      <c r="DZ37" s="130"/>
      <c r="EA37" s="130"/>
      <c r="EB37" s="130"/>
      <c r="EC37" s="130"/>
      <c r="ED37" s="130"/>
      <c r="EE37" s="130"/>
      <c r="EF37" s="130"/>
      <c r="EG37" s="130"/>
      <c r="EH37" s="130"/>
      <c r="EI37" s="130"/>
      <c r="EJ37" s="130"/>
      <c r="EK37" s="130"/>
      <c r="EL37" s="130"/>
      <c r="EM37" s="130"/>
      <c r="EN37" s="130"/>
      <c r="EO37" s="130"/>
      <c r="EP37" s="130"/>
      <c r="EQ37" s="130"/>
      <c r="ER37" s="130"/>
      <c r="ES37" s="130"/>
      <c r="ET37" s="130"/>
      <c r="EU37" s="130"/>
      <c r="EV37" s="130"/>
      <c r="EW37" s="130"/>
      <c r="EX37" s="130"/>
      <c r="EY37" s="130"/>
      <c r="EZ37" s="130"/>
      <c r="FA37" s="130"/>
      <c r="FB37" s="201"/>
      <c r="FC37" s="201"/>
      <c r="FD37" s="201"/>
      <c r="FE37" s="201"/>
      <c r="FF37" s="201"/>
      <c r="FG37" s="201"/>
      <c r="FH37" s="201"/>
      <c r="FI37" s="201"/>
      <c r="FJ37" s="201"/>
      <c r="FK37" s="201"/>
      <c r="FL37" s="201"/>
      <c r="FM37" s="201"/>
      <c r="FN37" s="201"/>
      <c r="FO37" s="201"/>
      <c r="FP37" s="201"/>
      <c r="FQ37" s="201"/>
      <c r="FR37" s="201"/>
      <c r="FS37" s="201"/>
      <c r="FT37" s="201"/>
      <c r="FU37" s="201"/>
      <c r="FV37" s="201"/>
      <c r="FW37" s="201"/>
      <c r="FX37" s="201"/>
      <c r="FY37" s="201"/>
      <c r="FZ37" s="201"/>
      <c r="GA37" s="201"/>
      <c r="GB37" s="201"/>
      <c r="GC37" s="201"/>
      <c r="GD37" s="201"/>
      <c r="GE37" s="201"/>
      <c r="GF37" s="201"/>
      <c r="GG37" s="201"/>
      <c r="GH37" s="201"/>
      <c r="GI37" s="201"/>
      <c r="GJ37" s="201"/>
      <c r="GK37" s="201"/>
      <c r="GL37" s="201"/>
      <c r="GM37" s="201"/>
      <c r="GN37" s="201"/>
      <c r="GO37" s="201"/>
      <c r="GP37" s="201"/>
      <c r="GQ37" s="201"/>
    </row>
    <row r="38" spans="1:204" s="68" customFormat="1" ht="14.45" customHeight="1" x14ac:dyDescent="0.25">
      <c r="A38" s="68" t="s">
        <v>692</v>
      </c>
      <c r="B38" s="82" t="s">
        <v>154</v>
      </c>
      <c r="C38" s="82" t="s">
        <v>172</v>
      </c>
      <c r="D38" s="82" t="s">
        <v>196</v>
      </c>
      <c r="E38" s="82" t="s">
        <v>309</v>
      </c>
      <c r="F38" s="82" t="s">
        <v>549</v>
      </c>
      <c r="G38" s="82" t="s">
        <v>137</v>
      </c>
      <c r="H38" s="82" t="s">
        <v>137</v>
      </c>
      <c r="I38" s="82" t="s">
        <v>66</v>
      </c>
      <c r="J38" s="82" t="s">
        <v>29</v>
      </c>
      <c r="K38" s="92" t="s">
        <v>137</v>
      </c>
      <c r="L38" s="92" t="s">
        <v>137</v>
      </c>
      <c r="M38" s="92" t="s">
        <v>137</v>
      </c>
      <c r="N38" s="92" t="s">
        <v>137</v>
      </c>
      <c r="O38" s="92" t="s">
        <v>137</v>
      </c>
      <c r="P38" s="92" t="s">
        <v>137</v>
      </c>
      <c r="Q38" s="82" t="s">
        <v>87</v>
      </c>
      <c r="R38" s="82" t="s">
        <v>714</v>
      </c>
      <c r="S38" s="82" t="s">
        <v>40</v>
      </c>
      <c r="T38" s="82" t="s">
        <v>2</v>
      </c>
      <c r="U38" s="83"/>
      <c r="V38" s="83">
        <v>0.05</v>
      </c>
      <c r="W38" s="83">
        <v>0.08</v>
      </c>
      <c r="X38" s="83">
        <v>0.15</v>
      </c>
      <c r="Y38" s="83">
        <v>0.2</v>
      </c>
      <c r="Z38" s="83">
        <v>0.25</v>
      </c>
      <c r="AA38" s="83">
        <v>0.37</v>
      </c>
      <c r="AB38" s="83">
        <v>0.42</v>
      </c>
      <c r="AC38" s="83">
        <v>0.57999999999999996</v>
      </c>
      <c r="AD38" s="83">
        <v>0.67</v>
      </c>
      <c r="AE38" s="83">
        <v>0.83</v>
      </c>
      <c r="AF38" s="83">
        <v>1</v>
      </c>
      <c r="AG38" s="82" t="s">
        <v>532</v>
      </c>
      <c r="AH38" s="82" t="s">
        <v>529</v>
      </c>
      <c r="AI38" s="88" t="s">
        <v>538</v>
      </c>
      <c r="AJ38" s="89" t="s">
        <v>538</v>
      </c>
      <c r="AK38" s="90">
        <v>46023</v>
      </c>
      <c r="AL38" s="90">
        <v>46387</v>
      </c>
      <c r="AM38" s="89"/>
      <c r="AN38" s="89"/>
      <c r="AO38" s="89"/>
      <c r="AP38" s="91" t="s">
        <v>539</v>
      </c>
      <c r="AQ38" s="90" cm="1">
        <f t="array" ref="AQ38">IFERROR(DATE(2026, _xlfn.AGGREGATE(15, 6, (COLUMN(BY38:CJ38)-COLUMN(BY38)+1)/(BY38:CJ38&lt;&gt;0), 1), 1),"N/A")</f>
        <v>46357</v>
      </c>
      <c r="AR38" s="90" cm="1">
        <f t="array" ref="AR38">IFERROR(EOMONTH(DATE(2026, _xlfn.AGGREGATE(14, 6, (COLUMN(BY38:CJ38)-COLUMN(BY38)+1)/(BY38:CJ38&lt;&gt;0), 1), 1), 0),"N/A")</f>
        <v>46387</v>
      </c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2" t="s">
        <v>730</v>
      </c>
      <c r="BF38" s="82" t="s">
        <v>953</v>
      </c>
      <c r="BG38" s="82" t="str">
        <f t="shared" si="0"/>
        <v>000</v>
      </c>
      <c r="BH38" s="88">
        <v>530106</v>
      </c>
      <c r="BI38" s="92" t="s">
        <v>74</v>
      </c>
      <c r="BJ38" s="93">
        <v>500</v>
      </c>
      <c r="BK38" s="74">
        <v>0</v>
      </c>
      <c r="BL38" s="74">
        <v>0</v>
      </c>
      <c r="BM38" s="74">
        <v>0</v>
      </c>
      <c r="BN38" s="74">
        <v>0</v>
      </c>
      <c r="BO38" s="74">
        <v>0</v>
      </c>
      <c r="BP38" s="74">
        <v>0</v>
      </c>
      <c r="BQ38" s="74">
        <v>0</v>
      </c>
      <c r="BR38" s="74">
        <v>0</v>
      </c>
      <c r="BS38" s="74">
        <v>0</v>
      </c>
      <c r="BT38" s="74">
        <v>0</v>
      </c>
      <c r="BU38" s="74">
        <v>0</v>
      </c>
      <c r="BV38" s="142">
        <v>500</v>
      </c>
      <c r="BW38" s="142"/>
      <c r="BX38" s="143">
        <f t="shared" si="5"/>
        <v>500</v>
      </c>
      <c r="BY38" s="74">
        <v>0</v>
      </c>
      <c r="BZ38" s="74">
        <v>0</v>
      </c>
      <c r="CA38" s="74">
        <v>0</v>
      </c>
      <c r="CB38" s="74">
        <v>0</v>
      </c>
      <c r="CC38" s="74">
        <v>0</v>
      </c>
      <c r="CD38" s="74">
        <v>0</v>
      </c>
      <c r="CE38" s="74">
        <v>0</v>
      </c>
      <c r="CF38" s="74">
        <v>0</v>
      </c>
      <c r="CG38" s="74">
        <v>0</v>
      </c>
      <c r="CH38" s="74">
        <v>0</v>
      </c>
      <c r="CI38" s="74">
        <v>0</v>
      </c>
      <c r="CJ38" s="142">
        <v>500</v>
      </c>
      <c r="CK38" s="142"/>
      <c r="CL38" s="142">
        <f t="shared" si="1"/>
        <v>0</v>
      </c>
      <c r="CM38" s="171">
        <v>0</v>
      </c>
      <c r="CN38" s="171">
        <v>0</v>
      </c>
      <c r="CO38" s="171">
        <v>0</v>
      </c>
      <c r="CP38" s="171">
        <v>0</v>
      </c>
      <c r="CQ38" s="171">
        <v>500</v>
      </c>
      <c r="CR38" s="171">
        <v>0</v>
      </c>
      <c r="CS38" s="171">
        <f t="shared" si="2"/>
        <v>0</v>
      </c>
      <c r="CT38" s="171">
        <f t="shared" si="3"/>
        <v>500</v>
      </c>
      <c r="CU38" s="171">
        <f t="shared" si="4"/>
        <v>0</v>
      </c>
      <c r="CV38" s="149"/>
      <c r="CW38" s="149"/>
      <c r="CX38" s="130"/>
      <c r="CY38" s="130"/>
      <c r="CZ38" s="130"/>
      <c r="DA38" s="130"/>
      <c r="DB38" s="130"/>
      <c r="DC38" s="130"/>
      <c r="DD38" s="130"/>
      <c r="DE38" s="130"/>
      <c r="DF38" s="130"/>
      <c r="DG38" s="130"/>
      <c r="DH38" s="130"/>
      <c r="DI38" s="130"/>
      <c r="DJ38" s="130"/>
      <c r="DK38" s="130"/>
      <c r="DL38" s="130"/>
      <c r="DM38" s="130"/>
      <c r="DN38" s="130"/>
      <c r="DO38" s="130"/>
      <c r="DP38" s="130"/>
      <c r="DQ38" s="130"/>
      <c r="DR38" s="130"/>
      <c r="DS38" s="130"/>
      <c r="DT38" s="130"/>
      <c r="DU38" s="130"/>
      <c r="DV38" s="130"/>
      <c r="DW38" s="130"/>
      <c r="DX38" s="130"/>
      <c r="DY38" s="130"/>
      <c r="DZ38" s="130"/>
      <c r="EA38" s="130"/>
      <c r="EB38" s="130"/>
      <c r="EC38" s="130"/>
      <c r="ED38" s="130"/>
      <c r="EE38" s="130"/>
      <c r="EF38" s="130"/>
      <c r="EG38" s="130"/>
      <c r="EH38" s="130"/>
      <c r="EI38" s="130"/>
      <c r="EJ38" s="130"/>
      <c r="EK38" s="130"/>
      <c r="EL38" s="130"/>
      <c r="EM38" s="130"/>
      <c r="EN38" s="130"/>
      <c r="EO38" s="130"/>
      <c r="EP38" s="130"/>
      <c r="EQ38" s="130"/>
      <c r="ER38" s="130"/>
      <c r="ES38" s="130"/>
      <c r="ET38" s="130"/>
      <c r="EU38" s="130"/>
      <c r="EV38" s="130"/>
      <c r="EW38" s="130"/>
      <c r="EX38" s="130"/>
      <c r="EY38" s="130"/>
      <c r="EZ38" s="130"/>
      <c r="FA38" s="130"/>
      <c r="FB38" s="201"/>
      <c r="FC38" s="201"/>
      <c r="FD38" s="201"/>
      <c r="FE38" s="201"/>
      <c r="FF38" s="201"/>
      <c r="FG38" s="201"/>
      <c r="FH38" s="201"/>
      <c r="FI38" s="201"/>
      <c r="FJ38" s="201"/>
      <c r="FK38" s="201"/>
      <c r="FL38" s="201"/>
      <c r="FM38" s="201"/>
      <c r="FN38" s="201"/>
      <c r="FO38" s="201"/>
      <c r="FP38" s="201"/>
      <c r="FQ38" s="201"/>
      <c r="FR38" s="201"/>
      <c r="FS38" s="201"/>
      <c r="FT38" s="201"/>
      <c r="FU38" s="201"/>
      <c r="FV38" s="201"/>
      <c r="FW38" s="201"/>
      <c r="FX38" s="201"/>
      <c r="FY38" s="201"/>
      <c r="FZ38" s="201"/>
      <c r="GA38" s="201"/>
      <c r="GB38" s="201"/>
      <c r="GC38" s="201"/>
      <c r="GD38" s="201"/>
      <c r="GE38" s="201"/>
      <c r="GF38" s="201"/>
      <c r="GG38" s="201"/>
      <c r="GH38" s="201"/>
      <c r="GI38" s="201"/>
      <c r="GJ38" s="201"/>
      <c r="GK38" s="201"/>
      <c r="GL38" s="201"/>
      <c r="GM38" s="201"/>
      <c r="GN38" s="201"/>
      <c r="GO38" s="201"/>
      <c r="GP38" s="201"/>
      <c r="GQ38" s="201"/>
    </row>
    <row r="39" spans="1:204" s="68" customFormat="1" ht="14.45" customHeight="1" x14ac:dyDescent="0.25">
      <c r="A39" s="68" t="s">
        <v>692</v>
      </c>
      <c r="B39" s="82" t="s">
        <v>154</v>
      </c>
      <c r="C39" s="82" t="s">
        <v>172</v>
      </c>
      <c r="D39" s="82" t="s">
        <v>196</v>
      </c>
      <c r="E39" s="82" t="s">
        <v>309</v>
      </c>
      <c r="F39" s="82" t="s">
        <v>549</v>
      </c>
      <c r="G39" s="82" t="s">
        <v>137</v>
      </c>
      <c r="H39" s="82" t="s">
        <v>137</v>
      </c>
      <c r="I39" s="82" t="s">
        <v>66</v>
      </c>
      <c r="J39" s="82" t="s">
        <v>29</v>
      </c>
      <c r="K39" s="92" t="s">
        <v>137</v>
      </c>
      <c r="L39" s="92" t="s">
        <v>137</v>
      </c>
      <c r="M39" s="92" t="s">
        <v>137</v>
      </c>
      <c r="N39" s="92" t="s">
        <v>137</v>
      </c>
      <c r="O39" s="92" t="s">
        <v>137</v>
      </c>
      <c r="P39" s="92" t="s">
        <v>137</v>
      </c>
      <c r="Q39" s="82" t="s">
        <v>87</v>
      </c>
      <c r="R39" s="82" t="s">
        <v>714</v>
      </c>
      <c r="S39" s="82" t="s">
        <v>40</v>
      </c>
      <c r="T39" s="82" t="s">
        <v>2</v>
      </c>
      <c r="U39" s="83"/>
      <c r="V39" s="83">
        <v>0.05</v>
      </c>
      <c r="W39" s="83">
        <v>0.08</v>
      </c>
      <c r="X39" s="83">
        <v>0.15</v>
      </c>
      <c r="Y39" s="83">
        <v>0.2</v>
      </c>
      <c r="Z39" s="83">
        <v>0.25</v>
      </c>
      <c r="AA39" s="83">
        <v>0.37</v>
      </c>
      <c r="AB39" s="83">
        <v>0.42</v>
      </c>
      <c r="AC39" s="83">
        <v>0.57999999999999996</v>
      </c>
      <c r="AD39" s="83">
        <v>0.67</v>
      </c>
      <c r="AE39" s="83">
        <v>0.83</v>
      </c>
      <c r="AF39" s="83">
        <v>1</v>
      </c>
      <c r="AG39" s="82" t="s">
        <v>532</v>
      </c>
      <c r="AH39" s="82" t="s">
        <v>529</v>
      </c>
      <c r="AI39" s="88" t="s">
        <v>538</v>
      </c>
      <c r="AJ39" s="89" t="s">
        <v>538</v>
      </c>
      <c r="AK39" s="90">
        <v>46023</v>
      </c>
      <c r="AL39" s="90">
        <v>46387</v>
      </c>
      <c r="AM39" s="89"/>
      <c r="AN39" s="89"/>
      <c r="AO39" s="89"/>
      <c r="AP39" s="91" t="s">
        <v>539</v>
      </c>
      <c r="AQ39" s="90" cm="1">
        <f t="array" ref="AQ39">IFERROR(DATE(2026, _xlfn.AGGREGATE(15, 6, (COLUMN(BY39:CJ39)-COLUMN(BY39)+1)/(BY39:CJ39&lt;&gt;0), 1), 1),"N/A")</f>
        <v>46357</v>
      </c>
      <c r="AR39" s="90" cm="1">
        <f t="array" ref="AR39">IFERROR(EOMONTH(DATE(2026, _xlfn.AGGREGATE(14, 6, (COLUMN(BY39:CJ39)-COLUMN(BY39)+1)/(BY39:CJ39&lt;&gt;0), 1), 1), 0),"N/A")</f>
        <v>46387</v>
      </c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2" t="s">
        <v>730</v>
      </c>
      <c r="BF39" s="82" t="s">
        <v>954</v>
      </c>
      <c r="BG39" s="82" t="str">
        <f t="shared" si="0"/>
        <v>000</v>
      </c>
      <c r="BH39" s="88">
        <v>530204</v>
      </c>
      <c r="BI39" s="92" t="s">
        <v>74</v>
      </c>
      <c r="BJ39" s="93">
        <v>1000</v>
      </c>
      <c r="BK39" s="74">
        <v>0</v>
      </c>
      <c r="BL39" s="74">
        <v>0</v>
      </c>
      <c r="BM39" s="74">
        <v>0</v>
      </c>
      <c r="BN39" s="74">
        <v>0</v>
      </c>
      <c r="BO39" s="74">
        <v>0</v>
      </c>
      <c r="BP39" s="74">
        <v>0</v>
      </c>
      <c r="BQ39" s="74">
        <v>0</v>
      </c>
      <c r="BR39" s="74">
        <v>0</v>
      </c>
      <c r="BS39" s="74">
        <v>0</v>
      </c>
      <c r="BT39" s="74">
        <v>0</v>
      </c>
      <c r="BU39" s="74">
        <v>0</v>
      </c>
      <c r="BV39" s="142">
        <v>1000</v>
      </c>
      <c r="BW39" s="142"/>
      <c r="BX39" s="143">
        <f t="shared" si="5"/>
        <v>1000</v>
      </c>
      <c r="BY39" s="74">
        <v>0</v>
      </c>
      <c r="BZ39" s="74">
        <v>0</v>
      </c>
      <c r="CA39" s="74">
        <v>0</v>
      </c>
      <c r="CB39" s="74">
        <v>0</v>
      </c>
      <c r="CC39" s="74">
        <v>0</v>
      </c>
      <c r="CD39" s="74">
        <v>0</v>
      </c>
      <c r="CE39" s="74">
        <v>0</v>
      </c>
      <c r="CF39" s="74">
        <v>0</v>
      </c>
      <c r="CG39" s="74">
        <v>0</v>
      </c>
      <c r="CH39" s="74">
        <v>0</v>
      </c>
      <c r="CI39" s="74">
        <v>0</v>
      </c>
      <c r="CJ39" s="142">
        <v>1000</v>
      </c>
      <c r="CK39" s="142"/>
      <c r="CL39" s="142">
        <f t="shared" si="1"/>
        <v>0</v>
      </c>
      <c r="CM39" s="171">
        <v>0</v>
      </c>
      <c r="CN39" s="171">
        <v>0</v>
      </c>
      <c r="CO39" s="171">
        <v>0</v>
      </c>
      <c r="CP39" s="171">
        <v>0</v>
      </c>
      <c r="CQ39" s="171">
        <v>1000</v>
      </c>
      <c r="CR39" s="171">
        <v>0</v>
      </c>
      <c r="CS39" s="171">
        <f t="shared" si="2"/>
        <v>0</v>
      </c>
      <c r="CT39" s="171">
        <f t="shared" si="3"/>
        <v>1000</v>
      </c>
      <c r="CU39" s="171">
        <f t="shared" si="4"/>
        <v>0</v>
      </c>
      <c r="CV39" s="149"/>
      <c r="CW39" s="149"/>
      <c r="CX39" s="130"/>
      <c r="CY39" s="130"/>
      <c r="CZ39" s="130"/>
      <c r="DA39" s="130"/>
      <c r="DB39" s="130"/>
      <c r="DC39" s="130"/>
      <c r="DD39" s="130"/>
      <c r="DE39" s="130"/>
      <c r="DF39" s="130"/>
      <c r="DG39" s="130"/>
      <c r="DH39" s="130"/>
      <c r="DI39" s="130"/>
      <c r="DJ39" s="130"/>
      <c r="DK39" s="130"/>
      <c r="DL39" s="130"/>
      <c r="DM39" s="130"/>
      <c r="DN39" s="130"/>
      <c r="DO39" s="130"/>
      <c r="DP39" s="130"/>
      <c r="DQ39" s="130"/>
      <c r="DR39" s="130"/>
      <c r="DS39" s="130"/>
      <c r="DT39" s="130"/>
      <c r="DU39" s="130"/>
      <c r="DV39" s="130"/>
      <c r="DW39" s="130"/>
      <c r="DX39" s="130"/>
      <c r="DY39" s="130"/>
      <c r="DZ39" s="130"/>
      <c r="EA39" s="130"/>
      <c r="EB39" s="130"/>
      <c r="EC39" s="130"/>
      <c r="ED39" s="130"/>
      <c r="EE39" s="130"/>
      <c r="EF39" s="130"/>
      <c r="EG39" s="130"/>
      <c r="EH39" s="130"/>
      <c r="EI39" s="130"/>
      <c r="EJ39" s="130"/>
      <c r="EK39" s="130"/>
      <c r="EL39" s="130"/>
      <c r="EM39" s="130"/>
      <c r="EN39" s="130"/>
      <c r="EO39" s="130"/>
      <c r="EP39" s="130"/>
      <c r="EQ39" s="130"/>
      <c r="ER39" s="130"/>
      <c r="ES39" s="130"/>
      <c r="ET39" s="130"/>
      <c r="EU39" s="130"/>
      <c r="EV39" s="130"/>
      <c r="EW39" s="130"/>
      <c r="EX39" s="130"/>
      <c r="EY39" s="130"/>
      <c r="EZ39" s="130"/>
      <c r="FA39" s="130"/>
      <c r="FB39" s="201"/>
      <c r="FC39" s="201"/>
      <c r="FD39" s="201"/>
      <c r="FE39" s="201"/>
      <c r="FF39" s="201"/>
      <c r="FG39" s="201"/>
      <c r="FH39" s="201"/>
      <c r="FI39" s="201"/>
      <c r="FJ39" s="201"/>
      <c r="FK39" s="201"/>
      <c r="FL39" s="201"/>
      <c r="FM39" s="201"/>
      <c r="FN39" s="201"/>
      <c r="FO39" s="201"/>
      <c r="FP39" s="201"/>
      <c r="FQ39" s="201"/>
      <c r="FR39" s="201"/>
      <c r="FS39" s="201"/>
      <c r="FT39" s="201"/>
      <c r="FU39" s="201"/>
      <c r="FV39" s="201"/>
      <c r="FW39" s="201"/>
      <c r="FX39" s="201"/>
      <c r="FY39" s="201"/>
      <c r="FZ39" s="201"/>
      <c r="GA39" s="201"/>
      <c r="GB39" s="201"/>
      <c r="GC39" s="201"/>
      <c r="GD39" s="201"/>
      <c r="GE39" s="201"/>
      <c r="GF39" s="201"/>
      <c r="GG39" s="201"/>
      <c r="GH39" s="201"/>
      <c r="GI39" s="201"/>
      <c r="GJ39" s="201"/>
      <c r="GK39" s="201"/>
      <c r="GL39" s="201"/>
      <c r="GM39" s="201"/>
      <c r="GN39" s="201"/>
      <c r="GO39" s="201"/>
      <c r="GP39" s="201"/>
      <c r="GQ39" s="201"/>
    </row>
    <row r="40" spans="1:204" s="68" customFormat="1" ht="14.45" customHeight="1" x14ac:dyDescent="0.25">
      <c r="A40" s="68" t="s">
        <v>692</v>
      </c>
      <c r="B40" s="82" t="s">
        <v>154</v>
      </c>
      <c r="C40" s="82" t="s">
        <v>172</v>
      </c>
      <c r="D40" s="82" t="s">
        <v>196</v>
      </c>
      <c r="E40" s="82" t="s">
        <v>309</v>
      </c>
      <c r="F40" s="82" t="s">
        <v>549</v>
      </c>
      <c r="G40" s="82" t="s">
        <v>137</v>
      </c>
      <c r="H40" s="82" t="s">
        <v>137</v>
      </c>
      <c r="I40" s="82" t="s">
        <v>66</v>
      </c>
      <c r="J40" s="82" t="s">
        <v>29</v>
      </c>
      <c r="K40" s="92" t="s">
        <v>137</v>
      </c>
      <c r="L40" s="92" t="s">
        <v>137</v>
      </c>
      <c r="M40" s="92" t="s">
        <v>137</v>
      </c>
      <c r="N40" s="92" t="s">
        <v>137</v>
      </c>
      <c r="O40" s="92" t="s">
        <v>137</v>
      </c>
      <c r="P40" s="92" t="s">
        <v>137</v>
      </c>
      <c r="Q40" s="82" t="s">
        <v>87</v>
      </c>
      <c r="R40" s="82" t="s">
        <v>714</v>
      </c>
      <c r="S40" s="82" t="s">
        <v>40</v>
      </c>
      <c r="T40" s="82" t="s">
        <v>2</v>
      </c>
      <c r="U40" s="83"/>
      <c r="V40" s="83">
        <v>0.05</v>
      </c>
      <c r="W40" s="83">
        <v>0.08</v>
      </c>
      <c r="X40" s="83">
        <v>0.15</v>
      </c>
      <c r="Y40" s="83">
        <v>0.2</v>
      </c>
      <c r="Z40" s="83">
        <v>0.25</v>
      </c>
      <c r="AA40" s="83">
        <v>0.37</v>
      </c>
      <c r="AB40" s="83">
        <v>0.42</v>
      </c>
      <c r="AC40" s="83">
        <v>0.57999999999999996</v>
      </c>
      <c r="AD40" s="83">
        <v>0.67</v>
      </c>
      <c r="AE40" s="83">
        <v>0.83</v>
      </c>
      <c r="AF40" s="83">
        <v>1</v>
      </c>
      <c r="AG40" s="82" t="s">
        <v>532</v>
      </c>
      <c r="AH40" s="82" t="s">
        <v>529</v>
      </c>
      <c r="AI40" s="88" t="s">
        <v>538</v>
      </c>
      <c r="AJ40" s="89" t="s">
        <v>538</v>
      </c>
      <c r="AK40" s="90">
        <v>46023</v>
      </c>
      <c r="AL40" s="90">
        <v>46387</v>
      </c>
      <c r="AM40" s="89"/>
      <c r="AN40" s="89"/>
      <c r="AO40" s="89"/>
      <c r="AP40" s="91" t="s">
        <v>539</v>
      </c>
      <c r="AQ40" s="90" cm="1">
        <f t="array" ref="AQ40">IFERROR(DATE(2026, _xlfn.AGGREGATE(15, 6, (COLUMN(BY40:CJ40)-COLUMN(BY40)+1)/(BY40:CJ40&lt;&gt;0), 1), 1),"N/A")</f>
        <v>46357</v>
      </c>
      <c r="AR40" s="90" cm="1">
        <f t="array" ref="AR40">IFERROR(EOMONTH(DATE(2026, _xlfn.AGGREGATE(14, 6, (COLUMN(BY40:CJ40)-COLUMN(BY40)+1)/(BY40:CJ40&lt;&gt;0), 1), 1), 0),"N/A")</f>
        <v>46387</v>
      </c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2" t="s">
        <v>730</v>
      </c>
      <c r="BF40" s="82" t="s">
        <v>955</v>
      </c>
      <c r="BG40" s="82" t="str">
        <f t="shared" si="0"/>
        <v>000</v>
      </c>
      <c r="BH40" s="88">
        <v>530502</v>
      </c>
      <c r="BI40" s="92" t="s">
        <v>74</v>
      </c>
      <c r="BJ40" s="93">
        <v>500</v>
      </c>
      <c r="BK40" s="74">
        <v>0</v>
      </c>
      <c r="BL40" s="74">
        <v>0</v>
      </c>
      <c r="BM40" s="74">
        <v>0</v>
      </c>
      <c r="BN40" s="74">
        <v>0</v>
      </c>
      <c r="BO40" s="74">
        <v>0</v>
      </c>
      <c r="BP40" s="74">
        <v>0</v>
      </c>
      <c r="BQ40" s="74">
        <v>0</v>
      </c>
      <c r="BR40" s="74">
        <v>0</v>
      </c>
      <c r="BS40" s="74">
        <v>0</v>
      </c>
      <c r="BT40" s="74">
        <v>0</v>
      </c>
      <c r="BU40" s="74">
        <v>0</v>
      </c>
      <c r="BV40" s="142">
        <v>500</v>
      </c>
      <c r="BW40" s="142"/>
      <c r="BX40" s="143">
        <f t="shared" si="5"/>
        <v>500</v>
      </c>
      <c r="BY40" s="74">
        <v>0</v>
      </c>
      <c r="BZ40" s="74">
        <v>0</v>
      </c>
      <c r="CA40" s="74">
        <v>0</v>
      </c>
      <c r="CB40" s="74">
        <v>0</v>
      </c>
      <c r="CC40" s="74">
        <v>0</v>
      </c>
      <c r="CD40" s="74">
        <v>0</v>
      </c>
      <c r="CE40" s="74">
        <v>0</v>
      </c>
      <c r="CF40" s="74">
        <v>0</v>
      </c>
      <c r="CG40" s="74">
        <v>0</v>
      </c>
      <c r="CH40" s="74">
        <v>0</v>
      </c>
      <c r="CI40" s="74">
        <v>0</v>
      </c>
      <c r="CJ40" s="142">
        <v>500</v>
      </c>
      <c r="CK40" s="142"/>
      <c r="CL40" s="142">
        <f t="shared" si="1"/>
        <v>0</v>
      </c>
      <c r="CM40" s="171">
        <v>0</v>
      </c>
      <c r="CN40" s="171">
        <v>0</v>
      </c>
      <c r="CO40" s="171">
        <v>0</v>
      </c>
      <c r="CP40" s="171">
        <v>0</v>
      </c>
      <c r="CQ40" s="171">
        <v>500</v>
      </c>
      <c r="CR40" s="171">
        <v>0</v>
      </c>
      <c r="CS40" s="171">
        <f t="shared" si="2"/>
        <v>0</v>
      </c>
      <c r="CT40" s="171">
        <f t="shared" si="3"/>
        <v>500</v>
      </c>
      <c r="CU40" s="171">
        <f t="shared" si="4"/>
        <v>0</v>
      </c>
      <c r="CV40" s="149"/>
      <c r="CW40" s="149"/>
      <c r="CX40" s="130"/>
      <c r="CY40" s="130"/>
      <c r="CZ40" s="130"/>
      <c r="DA40" s="130"/>
      <c r="DB40" s="130"/>
      <c r="DC40" s="130"/>
      <c r="DD40" s="130"/>
      <c r="DE40" s="130"/>
      <c r="DF40" s="130"/>
      <c r="DG40" s="130"/>
      <c r="DH40" s="130"/>
      <c r="DI40" s="130"/>
      <c r="DJ40" s="130"/>
      <c r="DK40" s="130"/>
      <c r="DL40" s="130"/>
      <c r="DM40" s="130"/>
      <c r="DN40" s="130"/>
      <c r="DO40" s="130"/>
      <c r="DP40" s="130"/>
      <c r="DQ40" s="130"/>
      <c r="DR40" s="130"/>
      <c r="DS40" s="130"/>
      <c r="DT40" s="130"/>
      <c r="DU40" s="130"/>
      <c r="DV40" s="130"/>
      <c r="DW40" s="130"/>
      <c r="DX40" s="130"/>
      <c r="DY40" s="130"/>
      <c r="DZ40" s="130"/>
      <c r="EA40" s="130"/>
      <c r="EB40" s="130"/>
      <c r="EC40" s="130"/>
      <c r="ED40" s="130"/>
      <c r="EE40" s="130"/>
      <c r="EF40" s="130"/>
      <c r="EG40" s="130"/>
      <c r="EH40" s="130"/>
      <c r="EI40" s="130"/>
      <c r="EJ40" s="130"/>
      <c r="EK40" s="130"/>
      <c r="EL40" s="130"/>
      <c r="EM40" s="130"/>
      <c r="EN40" s="130"/>
      <c r="EO40" s="130"/>
      <c r="EP40" s="130"/>
      <c r="EQ40" s="130"/>
      <c r="ER40" s="130"/>
      <c r="ES40" s="130"/>
      <c r="ET40" s="130"/>
      <c r="EU40" s="130"/>
      <c r="EV40" s="130"/>
      <c r="EW40" s="130"/>
      <c r="EX40" s="130"/>
      <c r="EY40" s="130"/>
      <c r="EZ40" s="130"/>
      <c r="FA40" s="130"/>
      <c r="FB40" s="201"/>
      <c r="FC40" s="201"/>
      <c r="FD40" s="201"/>
      <c r="FE40" s="201"/>
      <c r="FF40" s="201"/>
      <c r="FG40" s="201"/>
      <c r="FH40" s="201"/>
      <c r="FI40" s="201"/>
      <c r="FJ40" s="201"/>
      <c r="FK40" s="201"/>
      <c r="FL40" s="201"/>
      <c r="FM40" s="201"/>
      <c r="FN40" s="201"/>
      <c r="FO40" s="201"/>
      <c r="FP40" s="201"/>
      <c r="FQ40" s="201"/>
      <c r="FR40" s="201"/>
      <c r="FS40" s="201"/>
      <c r="FT40" s="201"/>
      <c r="FU40" s="201"/>
      <c r="FV40" s="201"/>
      <c r="FW40" s="201"/>
      <c r="FX40" s="201"/>
      <c r="FY40" s="201"/>
      <c r="FZ40" s="201"/>
      <c r="GA40" s="201"/>
      <c r="GB40" s="201"/>
      <c r="GC40" s="201"/>
      <c r="GD40" s="201"/>
      <c r="GE40" s="201"/>
      <c r="GF40" s="201"/>
      <c r="GG40" s="201"/>
      <c r="GH40" s="201"/>
      <c r="GI40" s="201"/>
      <c r="GJ40" s="201"/>
      <c r="GK40" s="201"/>
      <c r="GL40" s="201"/>
      <c r="GM40" s="201"/>
      <c r="GN40" s="201"/>
      <c r="GO40" s="201"/>
      <c r="GP40" s="201"/>
      <c r="GQ40" s="201"/>
    </row>
    <row r="41" spans="1:204" s="68" customFormat="1" ht="14.45" customHeight="1" x14ac:dyDescent="0.25">
      <c r="A41" s="68" t="s">
        <v>692</v>
      </c>
      <c r="B41" s="82" t="s">
        <v>154</v>
      </c>
      <c r="C41" s="82" t="s">
        <v>172</v>
      </c>
      <c r="D41" s="82" t="s">
        <v>196</v>
      </c>
      <c r="E41" s="82" t="s">
        <v>309</v>
      </c>
      <c r="F41" s="82" t="s">
        <v>549</v>
      </c>
      <c r="G41" s="82" t="s">
        <v>137</v>
      </c>
      <c r="H41" s="82" t="s">
        <v>137</v>
      </c>
      <c r="I41" s="82" t="s">
        <v>66</v>
      </c>
      <c r="J41" s="82" t="s">
        <v>29</v>
      </c>
      <c r="K41" s="92" t="s">
        <v>137</v>
      </c>
      <c r="L41" s="92" t="s">
        <v>137</v>
      </c>
      <c r="M41" s="92" t="s">
        <v>137</v>
      </c>
      <c r="N41" s="92" t="s">
        <v>137</v>
      </c>
      <c r="O41" s="92" t="s">
        <v>137</v>
      </c>
      <c r="P41" s="92" t="s">
        <v>137</v>
      </c>
      <c r="Q41" s="82" t="s">
        <v>87</v>
      </c>
      <c r="R41" s="82" t="s">
        <v>714</v>
      </c>
      <c r="S41" s="82" t="s">
        <v>40</v>
      </c>
      <c r="T41" s="82" t="s">
        <v>2</v>
      </c>
      <c r="U41" s="83"/>
      <c r="V41" s="83">
        <v>0.05</v>
      </c>
      <c r="W41" s="83">
        <v>0.08</v>
      </c>
      <c r="X41" s="83">
        <v>0.15</v>
      </c>
      <c r="Y41" s="83">
        <v>0.2</v>
      </c>
      <c r="Z41" s="83">
        <v>0.25</v>
      </c>
      <c r="AA41" s="83">
        <v>0.37</v>
      </c>
      <c r="AB41" s="83">
        <v>0.42</v>
      </c>
      <c r="AC41" s="83">
        <v>0.57999999999999996</v>
      </c>
      <c r="AD41" s="83">
        <v>0.67</v>
      </c>
      <c r="AE41" s="83">
        <v>0.83</v>
      </c>
      <c r="AF41" s="83">
        <v>1</v>
      </c>
      <c r="AG41" s="82" t="s">
        <v>532</v>
      </c>
      <c r="AH41" s="82" t="s">
        <v>529</v>
      </c>
      <c r="AI41" s="88" t="s">
        <v>538</v>
      </c>
      <c r="AJ41" s="89" t="s">
        <v>538</v>
      </c>
      <c r="AK41" s="90">
        <v>46023</v>
      </c>
      <c r="AL41" s="90">
        <v>46387</v>
      </c>
      <c r="AM41" s="89"/>
      <c r="AN41" s="89"/>
      <c r="AO41" s="89"/>
      <c r="AP41" s="91" t="s">
        <v>539</v>
      </c>
      <c r="AQ41" s="90" cm="1">
        <f t="array" ref="AQ41">IFERROR(DATE(2026, _xlfn.AGGREGATE(15, 6, (COLUMN(BY41:CJ41)-COLUMN(BY41)+1)/(BY41:CJ41&lt;&gt;0), 1), 1),"N/A")</f>
        <v>46357</v>
      </c>
      <c r="AR41" s="90" cm="1">
        <f t="array" ref="AR41">IFERROR(EOMONTH(DATE(2026, _xlfn.AGGREGATE(14, 6, (COLUMN(BY41:CJ41)-COLUMN(BY41)+1)/(BY41:CJ41&lt;&gt;0), 1), 1), 0),"N/A")</f>
        <v>46387</v>
      </c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2" t="s">
        <v>730</v>
      </c>
      <c r="BF41" s="82" t="s">
        <v>956</v>
      </c>
      <c r="BG41" s="82" t="str">
        <f t="shared" si="0"/>
        <v>000</v>
      </c>
      <c r="BH41" s="88">
        <v>530801</v>
      </c>
      <c r="BI41" s="92" t="s">
        <v>74</v>
      </c>
      <c r="BJ41" s="93">
        <v>1000</v>
      </c>
      <c r="BK41" s="74">
        <v>0</v>
      </c>
      <c r="BL41" s="74">
        <v>0</v>
      </c>
      <c r="BM41" s="74">
        <v>0</v>
      </c>
      <c r="BN41" s="74">
        <v>0</v>
      </c>
      <c r="BO41" s="74">
        <v>0</v>
      </c>
      <c r="BP41" s="74">
        <v>0</v>
      </c>
      <c r="BQ41" s="74">
        <v>0</v>
      </c>
      <c r="BR41" s="74">
        <v>0</v>
      </c>
      <c r="BS41" s="74">
        <v>0</v>
      </c>
      <c r="BT41" s="74">
        <v>0</v>
      </c>
      <c r="BU41" s="74">
        <v>0</v>
      </c>
      <c r="BV41" s="142">
        <v>1000</v>
      </c>
      <c r="BW41" s="142"/>
      <c r="BX41" s="143">
        <f t="shared" si="5"/>
        <v>1000</v>
      </c>
      <c r="BY41" s="74">
        <v>0</v>
      </c>
      <c r="BZ41" s="74">
        <v>0</v>
      </c>
      <c r="CA41" s="74">
        <v>0</v>
      </c>
      <c r="CB41" s="74">
        <v>0</v>
      </c>
      <c r="CC41" s="74">
        <v>0</v>
      </c>
      <c r="CD41" s="74">
        <v>0</v>
      </c>
      <c r="CE41" s="74">
        <v>0</v>
      </c>
      <c r="CF41" s="74">
        <v>0</v>
      </c>
      <c r="CG41" s="74">
        <v>0</v>
      </c>
      <c r="CH41" s="74">
        <v>0</v>
      </c>
      <c r="CI41" s="74">
        <v>0</v>
      </c>
      <c r="CJ41" s="142">
        <v>1000</v>
      </c>
      <c r="CK41" s="142"/>
      <c r="CL41" s="142">
        <f t="shared" si="1"/>
        <v>0</v>
      </c>
      <c r="CM41" s="171">
        <v>0</v>
      </c>
      <c r="CN41" s="171">
        <v>0</v>
      </c>
      <c r="CO41" s="171">
        <v>0</v>
      </c>
      <c r="CP41" s="171">
        <v>0</v>
      </c>
      <c r="CQ41" s="171">
        <v>1000</v>
      </c>
      <c r="CR41" s="171">
        <v>0</v>
      </c>
      <c r="CS41" s="171">
        <f t="shared" si="2"/>
        <v>0</v>
      </c>
      <c r="CT41" s="171">
        <f t="shared" si="3"/>
        <v>1000</v>
      </c>
      <c r="CU41" s="171">
        <f t="shared" si="4"/>
        <v>0</v>
      </c>
      <c r="CV41" s="149"/>
      <c r="CW41" s="149"/>
      <c r="CX41" s="130"/>
      <c r="CY41" s="130"/>
      <c r="CZ41" s="130"/>
      <c r="DA41" s="130"/>
      <c r="DB41" s="130"/>
      <c r="DC41" s="130"/>
      <c r="DD41" s="130"/>
      <c r="DE41" s="130"/>
      <c r="DF41" s="130"/>
      <c r="DG41" s="130"/>
      <c r="DH41" s="130"/>
      <c r="DI41" s="130"/>
      <c r="DJ41" s="130"/>
      <c r="DK41" s="130"/>
      <c r="DL41" s="130"/>
      <c r="DM41" s="130"/>
      <c r="DN41" s="130"/>
      <c r="DO41" s="130"/>
      <c r="DP41" s="130"/>
      <c r="DQ41" s="130"/>
      <c r="DR41" s="130"/>
      <c r="DS41" s="130"/>
      <c r="DT41" s="130"/>
      <c r="DU41" s="130"/>
      <c r="DV41" s="130"/>
      <c r="DW41" s="130"/>
      <c r="DX41" s="130"/>
      <c r="DY41" s="130"/>
      <c r="DZ41" s="130"/>
      <c r="EA41" s="130"/>
      <c r="EB41" s="130"/>
      <c r="EC41" s="130"/>
      <c r="ED41" s="130"/>
      <c r="EE41" s="130"/>
      <c r="EF41" s="130"/>
      <c r="EG41" s="130"/>
      <c r="EH41" s="130"/>
      <c r="EI41" s="130"/>
      <c r="EJ41" s="130"/>
      <c r="EK41" s="130"/>
      <c r="EL41" s="130"/>
      <c r="EM41" s="130"/>
      <c r="EN41" s="130"/>
      <c r="EO41" s="130"/>
      <c r="EP41" s="130"/>
      <c r="EQ41" s="130"/>
      <c r="ER41" s="130"/>
      <c r="ES41" s="130"/>
      <c r="ET41" s="130"/>
      <c r="EU41" s="130"/>
      <c r="EV41" s="130"/>
      <c r="EW41" s="130"/>
      <c r="EX41" s="130"/>
      <c r="EY41" s="130"/>
      <c r="EZ41" s="130"/>
      <c r="FA41" s="130"/>
      <c r="FB41" s="201"/>
      <c r="FC41" s="201"/>
      <c r="FD41" s="201"/>
      <c r="FE41" s="201"/>
      <c r="FF41" s="201"/>
      <c r="FG41" s="201"/>
      <c r="FH41" s="201"/>
      <c r="FI41" s="201"/>
      <c r="FJ41" s="201"/>
      <c r="FK41" s="201"/>
      <c r="FL41" s="201"/>
      <c r="FM41" s="201"/>
      <c r="FN41" s="201"/>
      <c r="FO41" s="201"/>
      <c r="FP41" s="201"/>
      <c r="FQ41" s="201"/>
      <c r="FR41" s="201"/>
      <c r="FS41" s="201"/>
      <c r="FT41" s="201"/>
      <c r="FU41" s="201"/>
      <c r="FV41" s="201"/>
      <c r="FW41" s="201"/>
      <c r="FX41" s="201"/>
      <c r="FY41" s="201"/>
      <c r="FZ41" s="201"/>
      <c r="GA41" s="201"/>
      <c r="GB41" s="201"/>
      <c r="GC41" s="201"/>
      <c r="GD41" s="201"/>
      <c r="GE41" s="201"/>
      <c r="GF41" s="201"/>
      <c r="GG41" s="201"/>
      <c r="GH41" s="201"/>
      <c r="GI41" s="201"/>
      <c r="GJ41" s="201"/>
      <c r="GK41" s="201"/>
      <c r="GL41" s="201"/>
      <c r="GM41" s="201"/>
      <c r="GN41" s="201"/>
      <c r="GO41" s="201"/>
      <c r="GP41" s="201"/>
      <c r="GQ41" s="201"/>
    </row>
    <row r="42" spans="1:204" s="68" customFormat="1" ht="14.45" customHeight="1" x14ac:dyDescent="0.25">
      <c r="A42" s="68" t="s">
        <v>692</v>
      </c>
      <c r="B42" s="82" t="s">
        <v>154</v>
      </c>
      <c r="C42" s="82" t="s">
        <v>172</v>
      </c>
      <c r="D42" s="82" t="s">
        <v>196</v>
      </c>
      <c r="E42" s="82" t="s">
        <v>309</v>
      </c>
      <c r="F42" s="82" t="s">
        <v>549</v>
      </c>
      <c r="G42" s="82" t="s">
        <v>137</v>
      </c>
      <c r="H42" s="82" t="s">
        <v>137</v>
      </c>
      <c r="I42" s="82" t="s">
        <v>66</v>
      </c>
      <c r="J42" s="82" t="s">
        <v>29</v>
      </c>
      <c r="K42" s="92" t="s">
        <v>137</v>
      </c>
      <c r="L42" s="92" t="s">
        <v>137</v>
      </c>
      <c r="M42" s="92" t="s">
        <v>137</v>
      </c>
      <c r="N42" s="92" t="s">
        <v>137</v>
      </c>
      <c r="O42" s="92" t="s">
        <v>137</v>
      </c>
      <c r="P42" s="92" t="s">
        <v>137</v>
      </c>
      <c r="Q42" s="82" t="s">
        <v>87</v>
      </c>
      <c r="R42" s="82" t="s">
        <v>714</v>
      </c>
      <c r="S42" s="82" t="s">
        <v>40</v>
      </c>
      <c r="T42" s="82" t="s">
        <v>2</v>
      </c>
      <c r="U42" s="83"/>
      <c r="V42" s="83">
        <v>0.05</v>
      </c>
      <c r="W42" s="83">
        <v>0.08</v>
      </c>
      <c r="X42" s="83">
        <v>0.15</v>
      </c>
      <c r="Y42" s="83">
        <v>0.2</v>
      </c>
      <c r="Z42" s="83">
        <v>0.25</v>
      </c>
      <c r="AA42" s="83">
        <v>0.37</v>
      </c>
      <c r="AB42" s="83">
        <v>0.42</v>
      </c>
      <c r="AC42" s="83">
        <v>0.57999999999999996</v>
      </c>
      <c r="AD42" s="83">
        <v>0.67</v>
      </c>
      <c r="AE42" s="83">
        <v>0.83</v>
      </c>
      <c r="AF42" s="83">
        <v>1</v>
      </c>
      <c r="AG42" s="82" t="s">
        <v>532</v>
      </c>
      <c r="AH42" s="82" t="s">
        <v>529</v>
      </c>
      <c r="AI42" s="88" t="s">
        <v>538</v>
      </c>
      <c r="AJ42" s="89" t="s">
        <v>538</v>
      </c>
      <c r="AK42" s="90">
        <v>46023</v>
      </c>
      <c r="AL42" s="90">
        <v>46387</v>
      </c>
      <c r="AM42" s="89"/>
      <c r="AN42" s="89"/>
      <c r="AO42" s="89"/>
      <c r="AP42" s="91" t="s">
        <v>539</v>
      </c>
      <c r="AQ42" s="90" cm="1">
        <f t="array" ref="AQ42">IFERROR(DATE(2026, _xlfn.AGGREGATE(15, 6, (COLUMN(BY42:CJ42)-COLUMN(BY42)+1)/(BY42:CJ42&lt;&gt;0), 1), 1),"N/A")</f>
        <v>46357</v>
      </c>
      <c r="AR42" s="90" cm="1">
        <f t="array" ref="AR42">IFERROR(EOMONTH(DATE(2026, _xlfn.AGGREGATE(14, 6, (COLUMN(BY42:CJ42)-COLUMN(BY42)+1)/(BY42:CJ42&lt;&gt;0), 1), 1), 0),"N/A")</f>
        <v>46387</v>
      </c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2" t="s">
        <v>730</v>
      </c>
      <c r="BF42" s="82" t="s">
        <v>957</v>
      </c>
      <c r="BG42" s="82" t="str">
        <f t="shared" si="0"/>
        <v>000</v>
      </c>
      <c r="BH42" s="88">
        <v>530804</v>
      </c>
      <c r="BI42" s="92" t="s">
        <v>74</v>
      </c>
      <c r="BJ42" s="93">
        <v>1000</v>
      </c>
      <c r="BK42" s="74">
        <v>0</v>
      </c>
      <c r="BL42" s="74">
        <v>0</v>
      </c>
      <c r="BM42" s="74">
        <v>0</v>
      </c>
      <c r="BN42" s="74">
        <v>0</v>
      </c>
      <c r="BO42" s="74">
        <v>0</v>
      </c>
      <c r="BP42" s="74">
        <v>0</v>
      </c>
      <c r="BQ42" s="74">
        <v>0</v>
      </c>
      <c r="BR42" s="74">
        <v>0</v>
      </c>
      <c r="BS42" s="74">
        <v>0</v>
      </c>
      <c r="BT42" s="74">
        <v>0</v>
      </c>
      <c r="BU42" s="74">
        <v>0</v>
      </c>
      <c r="BV42" s="142">
        <v>1000</v>
      </c>
      <c r="BW42" s="142"/>
      <c r="BX42" s="143">
        <f t="shared" si="5"/>
        <v>1000</v>
      </c>
      <c r="BY42" s="74">
        <v>0</v>
      </c>
      <c r="BZ42" s="74">
        <v>0</v>
      </c>
      <c r="CA42" s="74">
        <v>0</v>
      </c>
      <c r="CB42" s="74">
        <v>0</v>
      </c>
      <c r="CC42" s="74">
        <v>0</v>
      </c>
      <c r="CD42" s="74">
        <v>0</v>
      </c>
      <c r="CE42" s="74">
        <v>0</v>
      </c>
      <c r="CF42" s="74">
        <v>0</v>
      </c>
      <c r="CG42" s="74">
        <v>0</v>
      </c>
      <c r="CH42" s="74">
        <v>0</v>
      </c>
      <c r="CI42" s="74">
        <v>0</v>
      </c>
      <c r="CJ42" s="142">
        <v>1000</v>
      </c>
      <c r="CK42" s="142"/>
      <c r="CL42" s="142">
        <f t="shared" si="1"/>
        <v>0</v>
      </c>
      <c r="CM42" s="171">
        <v>0</v>
      </c>
      <c r="CN42" s="171">
        <v>0</v>
      </c>
      <c r="CO42" s="171">
        <v>0</v>
      </c>
      <c r="CP42" s="171">
        <v>0</v>
      </c>
      <c r="CQ42" s="171">
        <v>1000</v>
      </c>
      <c r="CR42" s="171">
        <v>0</v>
      </c>
      <c r="CS42" s="171">
        <f t="shared" si="2"/>
        <v>0</v>
      </c>
      <c r="CT42" s="171">
        <f t="shared" si="3"/>
        <v>1000</v>
      </c>
      <c r="CU42" s="171">
        <f t="shared" si="4"/>
        <v>0</v>
      </c>
      <c r="CV42" s="149"/>
      <c r="CW42" s="149"/>
      <c r="CX42" s="130"/>
      <c r="CY42" s="130"/>
      <c r="CZ42" s="130"/>
      <c r="DA42" s="130"/>
      <c r="DB42" s="130"/>
      <c r="DC42" s="130"/>
      <c r="DD42" s="130"/>
      <c r="DE42" s="130"/>
      <c r="DF42" s="130"/>
      <c r="DG42" s="130"/>
      <c r="DH42" s="130"/>
      <c r="DI42" s="130"/>
      <c r="DJ42" s="130"/>
      <c r="DK42" s="130"/>
      <c r="DL42" s="130"/>
      <c r="DM42" s="130"/>
      <c r="DN42" s="130"/>
      <c r="DO42" s="130"/>
      <c r="DP42" s="130"/>
      <c r="DQ42" s="130"/>
      <c r="DR42" s="130"/>
      <c r="DS42" s="130"/>
      <c r="DT42" s="130"/>
      <c r="DU42" s="130"/>
      <c r="DV42" s="130"/>
      <c r="DW42" s="130"/>
      <c r="DX42" s="130"/>
      <c r="DY42" s="130"/>
      <c r="DZ42" s="130"/>
      <c r="EA42" s="130"/>
      <c r="EB42" s="130"/>
      <c r="EC42" s="130"/>
      <c r="ED42" s="130"/>
      <c r="EE42" s="130"/>
      <c r="EF42" s="130"/>
      <c r="EG42" s="130"/>
      <c r="EH42" s="130"/>
      <c r="EI42" s="130"/>
      <c r="EJ42" s="130"/>
      <c r="EK42" s="130"/>
      <c r="EL42" s="130"/>
      <c r="EM42" s="130"/>
      <c r="EN42" s="130"/>
      <c r="EO42" s="130"/>
      <c r="EP42" s="130"/>
      <c r="EQ42" s="130"/>
      <c r="ER42" s="130"/>
      <c r="ES42" s="130"/>
      <c r="ET42" s="130"/>
      <c r="EU42" s="130"/>
      <c r="EV42" s="130"/>
      <c r="EW42" s="130"/>
      <c r="EX42" s="130"/>
      <c r="EY42" s="130"/>
      <c r="EZ42" s="130"/>
      <c r="FA42" s="130"/>
      <c r="FB42" s="201"/>
      <c r="FC42" s="201"/>
      <c r="FD42" s="201"/>
      <c r="FE42" s="201"/>
      <c r="FF42" s="201"/>
      <c r="FG42" s="201"/>
      <c r="FH42" s="201"/>
      <c r="FI42" s="201"/>
      <c r="FJ42" s="201"/>
      <c r="FK42" s="201"/>
      <c r="FL42" s="201"/>
      <c r="FM42" s="201"/>
      <c r="FN42" s="201"/>
      <c r="FO42" s="201"/>
      <c r="FP42" s="201"/>
      <c r="FQ42" s="201"/>
      <c r="FR42" s="201"/>
      <c r="FS42" s="201"/>
      <c r="FT42" s="201"/>
      <c r="FU42" s="201"/>
      <c r="FV42" s="201"/>
      <c r="FW42" s="201"/>
      <c r="FX42" s="201"/>
      <c r="FY42" s="201"/>
      <c r="FZ42" s="201"/>
      <c r="GA42" s="201"/>
      <c r="GB42" s="201"/>
      <c r="GC42" s="201"/>
      <c r="GD42" s="201"/>
      <c r="GE42" s="201"/>
      <c r="GF42" s="201"/>
      <c r="GG42" s="201"/>
      <c r="GH42" s="201"/>
      <c r="GI42" s="201"/>
      <c r="GJ42" s="201"/>
      <c r="GK42" s="201"/>
      <c r="GL42" s="201"/>
      <c r="GM42" s="201"/>
      <c r="GN42" s="201"/>
      <c r="GO42" s="201"/>
      <c r="GP42" s="201"/>
      <c r="GQ42" s="201"/>
    </row>
    <row r="43" spans="1:204" s="68" customFormat="1" ht="14.45" customHeight="1" x14ac:dyDescent="0.25">
      <c r="A43" s="68" t="s">
        <v>692</v>
      </c>
      <c r="B43" s="82" t="s">
        <v>154</v>
      </c>
      <c r="C43" s="82" t="s">
        <v>172</v>
      </c>
      <c r="D43" s="82" t="s">
        <v>196</v>
      </c>
      <c r="E43" s="82" t="s">
        <v>309</v>
      </c>
      <c r="F43" s="82" t="s">
        <v>549</v>
      </c>
      <c r="G43" s="82" t="s">
        <v>137</v>
      </c>
      <c r="H43" s="82" t="s">
        <v>137</v>
      </c>
      <c r="I43" s="82" t="s">
        <v>66</v>
      </c>
      <c r="J43" s="82" t="s">
        <v>29</v>
      </c>
      <c r="K43" s="92" t="s">
        <v>137</v>
      </c>
      <c r="L43" s="92" t="s">
        <v>137</v>
      </c>
      <c r="M43" s="92" t="s">
        <v>137</v>
      </c>
      <c r="N43" s="92" t="s">
        <v>137</v>
      </c>
      <c r="O43" s="92" t="s">
        <v>137</v>
      </c>
      <c r="P43" s="92" t="s">
        <v>137</v>
      </c>
      <c r="Q43" s="82" t="s">
        <v>87</v>
      </c>
      <c r="R43" s="82" t="s">
        <v>714</v>
      </c>
      <c r="S43" s="82" t="s">
        <v>40</v>
      </c>
      <c r="T43" s="82" t="s">
        <v>2</v>
      </c>
      <c r="U43" s="83"/>
      <c r="V43" s="83">
        <v>0.05</v>
      </c>
      <c r="W43" s="83">
        <v>0.08</v>
      </c>
      <c r="X43" s="83">
        <v>0.15</v>
      </c>
      <c r="Y43" s="83">
        <v>0.2</v>
      </c>
      <c r="Z43" s="83">
        <v>0.25</v>
      </c>
      <c r="AA43" s="83">
        <v>0.37</v>
      </c>
      <c r="AB43" s="83">
        <v>0.42</v>
      </c>
      <c r="AC43" s="83">
        <v>0.57999999999999996</v>
      </c>
      <c r="AD43" s="83">
        <v>0.67</v>
      </c>
      <c r="AE43" s="83">
        <v>0.83</v>
      </c>
      <c r="AF43" s="83">
        <v>1</v>
      </c>
      <c r="AG43" s="82" t="s">
        <v>532</v>
      </c>
      <c r="AH43" s="82" t="s">
        <v>529</v>
      </c>
      <c r="AI43" s="88" t="s">
        <v>538</v>
      </c>
      <c r="AJ43" s="89" t="s">
        <v>538</v>
      </c>
      <c r="AK43" s="90">
        <v>46023</v>
      </c>
      <c r="AL43" s="90">
        <v>46387</v>
      </c>
      <c r="AM43" s="89"/>
      <c r="AN43" s="89"/>
      <c r="AO43" s="89"/>
      <c r="AP43" s="91" t="s">
        <v>539</v>
      </c>
      <c r="AQ43" s="90" cm="1">
        <f t="array" ref="AQ43">IFERROR(DATE(2026, _xlfn.AGGREGATE(15, 6, (COLUMN(BY43:CJ43)-COLUMN(BY43)+1)/(BY43:CJ43&lt;&gt;0), 1), 1),"N/A")</f>
        <v>46357</v>
      </c>
      <c r="AR43" s="90" cm="1">
        <f t="array" ref="AR43">IFERROR(EOMONTH(DATE(2026, _xlfn.AGGREGATE(14, 6, (COLUMN(BY43:CJ43)-COLUMN(BY43)+1)/(BY43:CJ43&lt;&gt;0), 1), 1), 0),"N/A")</f>
        <v>46387</v>
      </c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2" t="s">
        <v>730</v>
      </c>
      <c r="BF43" s="82" t="s">
        <v>958</v>
      </c>
      <c r="BG43" s="82" t="str">
        <f t="shared" si="0"/>
        <v>000</v>
      </c>
      <c r="BH43" s="88">
        <v>530805</v>
      </c>
      <c r="BI43" s="92" t="s">
        <v>74</v>
      </c>
      <c r="BJ43" s="93">
        <v>1000</v>
      </c>
      <c r="BK43" s="74">
        <v>0</v>
      </c>
      <c r="BL43" s="74">
        <v>0</v>
      </c>
      <c r="BM43" s="74">
        <v>0</v>
      </c>
      <c r="BN43" s="74">
        <v>0</v>
      </c>
      <c r="BO43" s="74">
        <v>0</v>
      </c>
      <c r="BP43" s="74">
        <v>0</v>
      </c>
      <c r="BQ43" s="74">
        <v>0</v>
      </c>
      <c r="BR43" s="74">
        <v>0</v>
      </c>
      <c r="BS43" s="74">
        <v>0</v>
      </c>
      <c r="BT43" s="74">
        <v>0</v>
      </c>
      <c r="BU43" s="74">
        <v>0</v>
      </c>
      <c r="BV43" s="142">
        <v>1000</v>
      </c>
      <c r="BW43" s="142"/>
      <c r="BX43" s="143">
        <f t="shared" si="5"/>
        <v>1000</v>
      </c>
      <c r="BY43" s="74">
        <v>0</v>
      </c>
      <c r="BZ43" s="74">
        <v>0</v>
      </c>
      <c r="CA43" s="74">
        <v>0</v>
      </c>
      <c r="CB43" s="74">
        <v>0</v>
      </c>
      <c r="CC43" s="74">
        <v>0</v>
      </c>
      <c r="CD43" s="74">
        <v>0</v>
      </c>
      <c r="CE43" s="74">
        <v>0</v>
      </c>
      <c r="CF43" s="74">
        <v>0</v>
      </c>
      <c r="CG43" s="74">
        <v>0</v>
      </c>
      <c r="CH43" s="74">
        <v>0</v>
      </c>
      <c r="CI43" s="74">
        <v>0</v>
      </c>
      <c r="CJ43" s="142">
        <v>1000</v>
      </c>
      <c r="CK43" s="142"/>
      <c r="CL43" s="142">
        <f t="shared" si="1"/>
        <v>0</v>
      </c>
      <c r="CM43" s="171">
        <v>0</v>
      </c>
      <c r="CN43" s="171">
        <v>0</v>
      </c>
      <c r="CO43" s="171">
        <v>0</v>
      </c>
      <c r="CP43" s="171">
        <v>0</v>
      </c>
      <c r="CQ43" s="171">
        <v>1000</v>
      </c>
      <c r="CR43" s="171">
        <v>0</v>
      </c>
      <c r="CS43" s="171">
        <f t="shared" si="2"/>
        <v>0</v>
      </c>
      <c r="CT43" s="171">
        <f t="shared" si="3"/>
        <v>1000</v>
      </c>
      <c r="CU43" s="171">
        <f t="shared" si="4"/>
        <v>0</v>
      </c>
      <c r="CV43" s="149"/>
      <c r="CW43" s="149"/>
      <c r="CX43" s="130"/>
      <c r="CY43" s="130"/>
      <c r="CZ43" s="130"/>
      <c r="DA43" s="130"/>
      <c r="DB43" s="130"/>
      <c r="DC43" s="130"/>
      <c r="DD43" s="130"/>
      <c r="DE43" s="130"/>
      <c r="DF43" s="130"/>
      <c r="DG43" s="130"/>
      <c r="DH43" s="130"/>
      <c r="DI43" s="130"/>
      <c r="DJ43" s="130"/>
      <c r="DK43" s="130"/>
      <c r="DL43" s="130"/>
      <c r="DM43" s="130"/>
      <c r="DN43" s="130"/>
      <c r="DO43" s="130"/>
      <c r="DP43" s="130"/>
      <c r="DQ43" s="130"/>
      <c r="DR43" s="130"/>
      <c r="DS43" s="130"/>
      <c r="DT43" s="130"/>
      <c r="DU43" s="130"/>
      <c r="DV43" s="130"/>
      <c r="DW43" s="130"/>
      <c r="DX43" s="130"/>
      <c r="DY43" s="130"/>
      <c r="DZ43" s="130"/>
      <c r="EA43" s="130"/>
      <c r="EB43" s="130"/>
      <c r="EC43" s="130"/>
      <c r="ED43" s="130"/>
      <c r="EE43" s="130"/>
      <c r="EF43" s="130"/>
      <c r="EG43" s="130"/>
      <c r="EH43" s="130"/>
      <c r="EI43" s="130"/>
      <c r="EJ43" s="130"/>
      <c r="EK43" s="130"/>
      <c r="EL43" s="130"/>
      <c r="EM43" s="130"/>
      <c r="EN43" s="130"/>
      <c r="EO43" s="130"/>
      <c r="EP43" s="130"/>
      <c r="EQ43" s="130"/>
      <c r="ER43" s="130"/>
      <c r="ES43" s="130"/>
      <c r="ET43" s="130"/>
      <c r="EU43" s="130"/>
      <c r="EV43" s="130"/>
      <c r="EW43" s="130"/>
      <c r="EX43" s="130"/>
      <c r="EY43" s="130"/>
      <c r="EZ43" s="130"/>
      <c r="FA43" s="130"/>
      <c r="FB43" s="201"/>
      <c r="FC43" s="201"/>
      <c r="FD43" s="201"/>
      <c r="FE43" s="201"/>
      <c r="FF43" s="201"/>
      <c r="FG43" s="201"/>
      <c r="FH43" s="201"/>
      <c r="FI43" s="201"/>
      <c r="FJ43" s="201"/>
      <c r="FK43" s="201"/>
      <c r="FL43" s="201"/>
      <c r="FM43" s="201"/>
      <c r="FN43" s="201"/>
      <c r="FO43" s="201"/>
      <c r="FP43" s="201"/>
      <c r="FQ43" s="201"/>
      <c r="FR43" s="201"/>
      <c r="FS43" s="201"/>
      <c r="FT43" s="201"/>
      <c r="FU43" s="201"/>
      <c r="FV43" s="201"/>
      <c r="FW43" s="201"/>
      <c r="FX43" s="201"/>
      <c r="FY43" s="201"/>
      <c r="FZ43" s="201"/>
      <c r="GA43" s="201"/>
      <c r="GB43" s="201"/>
      <c r="GC43" s="201"/>
      <c r="GD43" s="201"/>
      <c r="GE43" s="201"/>
      <c r="GF43" s="201"/>
      <c r="GG43" s="201"/>
      <c r="GH43" s="201"/>
      <c r="GI43" s="201"/>
      <c r="GJ43" s="201"/>
      <c r="GK43" s="201"/>
      <c r="GL43" s="201"/>
      <c r="GM43" s="201"/>
      <c r="GN43" s="201"/>
      <c r="GO43" s="201"/>
      <c r="GP43" s="201"/>
      <c r="GQ43" s="201"/>
    </row>
    <row r="44" spans="1:204" s="68" customFormat="1" ht="14.45" customHeight="1" x14ac:dyDescent="0.25">
      <c r="A44" s="68" t="s">
        <v>692</v>
      </c>
      <c r="B44" s="82" t="s">
        <v>154</v>
      </c>
      <c r="C44" s="82" t="s">
        <v>172</v>
      </c>
      <c r="D44" s="82" t="s">
        <v>196</v>
      </c>
      <c r="E44" s="82" t="s">
        <v>309</v>
      </c>
      <c r="F44" s="82" t="s">
        <v>549</v>
      </c>
      <c r="G44" s="82" t="s">
        <v>137</v>
      </c>
      <c r="H44" s="82" t="s">
        <v>137</v>
      </c>
      <c r="I44" s="82" t="s">
        <v>66</v>
      </c>
      <c r="J44" s="82" t="s">
        <v>29</v>
      </c>
      <c r="K44" s="92" t="s">
        <v>137</v>
      </c>
      <c r="L44" s="92" t="s">
        <v>137</v>
      </c>
      <c r="M44" s="92" t="s">
        <v>137</v>
      </c>
      <c r="N44" s="92" t="s">
        <v>137</v>
      </c>
      <c r="O44" s="92" t="s">
        <v>137</v>
      </c>
      <c r="P44" s="92" t="s">
        <v>137</v>
      </c>
      <c r="Q44" s="82" t="s">
        <v>87</v>
      </c>
      <c r="R44" s="82" t="s">
        <v>714</v>
      </c>
      <c r="S44" s="82" t="s">
        <v>40</v>
      </c>
      <c r="T44" s="82" t="s">
        <v>2</v>
      </c>
      <c r="U44" s="83"/>
      <c r="V44" s="83">
        <v>0.05</v>
      </c>
      <c r="W44" s="83">
        <v>0.08</v>
      </c>
      <c r="X44" s="83">
        <v>0.15</v>
      </c>
      <c r="Y44" s="83">
        <v>0.2</v>
      </c>
      <c r="Z44" s="83">
        <v>0.25</v>
      </c>
      <c r="AA44" s="83">
        <v>0.37</v>
      </c>
      <c r="AB44" s="83">
        <v>0.42</v>
      </c>
      <c r="AC44" s="83">
        <v>0.57999999999999996</v>
      </c>
      <c r="AD44" s="83">
        <v>0.67</v>
      </c>
      <c r="AE44" s="83">
        <v>0.83</v>
      </c>
      <c r="AF44" s="83">
        <v>1</v>
      </c>
      <c r="AG44" s="82" t="s">
        <v>532</v>
      </c>
      <c r="AH44" s="82" t="s">
        <v>529</v>
      </c>
      <c r="AI44" s="88" t="s">
        <v>538</v>
      </c>
      <c r="AJ44" s="89" t="s">
        <v>538</v>
      </c>
      <c r="AK44" s="90">
        <v>46023</v>
      </c>
      <c r="AL44" s="90">
        <v>46387</v>
      </c>
      <c r="AM44" s="89"/>
      <c r="AN44" s="89"/>
      <c r="AO44" s="89"/>
      <c r="AP44" s="91" t="s">
        <v>539</v>
      </c>
      <c r="AQ44" s="90" cm="1">
        <f t="array" ref="AQ44">IFERROR(DATE(2026, _xlfn.AGGREGATE(15, 6, (COLUMN(BY44:CJ44)-COLUMN(BY44)+1)/(BY44:CJ44&lt;&gt;0), 1), 1),"N/A")</f>
        <v>46357</v>
      </c>
      <c r="AR44" s="90" cm="1">
        <f t="array" ref="AR44">IFERROR(EOMONTH(DATE(2026, _xlfn.AGGREGATE(14, 6, (COLUMN(BY44:CJ44)-COLUMN(BY44)+1)/(BY44:CJ44&lt;&gt;0), 1), 1), 0),"N/A")</f>
        <v>46387</v>
      </c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2" t="s">
        <v>730</v>
      </c>
      <c r="BF44" s="82" t="s">
        <v>959</v>
      </c>
      <c r="BG44" s="82" t="str">
        <f t="shared" si="0"/>
        <v>000</v>
      </c>
      <c r="BH44" s="88">
        <v>530822</v>
      </c>
      <c r="BI44" s="92" t="s">
        <v>74</v>
      </c>
      <c r="BJ44" s="93">
        <v>514.77</v>
      </c>
      <c r="BK44" s="74">
        <v>0</v>
      </c>
      <c r="BL44" s="74">
        <v>0</v>
      </c>
      <c r="BM44" s="74">
        <v>0</v>
      </c>
      <c r="BN44" s="74">
        <v>0</v>
      </c>
      <c r="BO44" s="74">
        <v>0</v>
      </c>
      <c r="BP44" s="74">
        <v>0</v>
      </c>
      <c r="BQ44" s="74">
        <v>0</v>
      </c>
      <c r="BR44" s="74">
        <v>0</v>
      </c>
      <c r="BS44" s="74">
        <v>0</v>
      </c>
      <c r="BT44" s="74">
        <v>0</v>
      </c>
      <c r="BU44" s="74">
        <v>0</v>
      </c>
      <c r="BV44" s="142">
        <v>514.77</v>
      </c>
      <c r="BW44" s="142"/>
      <c r="BX44" s="143">
        <f t="shared" si="5"/>
        <v>514.77</v>
      </c>
      <c r="BY44" s="74">
        <v>0</v>
      </c>
      <c r="BZ44" s="74">
        <v>0</v>
      </c>
      <c r="CA44" s="74">
        <v>0</v>
      </c>
      <c r="CB44" s="74">
        <v>0</v>
      </c>
      <c r="CC44" s="74">
        <v>0</v>
      </c>
      <c r="CD44" s="74">
        <v>0</v>
      </c>
      <c r="CE44" s="74">
        <v>0</v>
      </c>
      <c r="CF44" s="74">
        <v>0</v>
      </c>
      <c r="CG44" s="74">
        <v>0</v>
      </c>
      <c r="CH44" s="74">
        <v>0</v>
      </c>
      <c r="CI44" s="74">
        <v>0</v>
      </c>
      <c r="CJ44" s="142">
        <v>514.77</v>
      </c>
      <c r="CK44" s="142"/>
      <c r="CL44" s="142">
        <f t="shared" si="1"/>
        <v>0</v>
      </c>
      <c r="CM44" s="171">
        <v>0</v>
      </c>
      <c r="CN44" s="171">
        <v>0</v>
      </c>
      <c r="CO44" s="171">
        <v>0</v>
      </c>
      <c r="CP44" s="171">
        <v>0</v>
      </c>
      <c r="CQ44" s="171">
        <v>514.77</v>
      </c>
      <c r="CR44" s="171">
        <v>0</v>
      </c>
      <c r="CS44" s="171">
        <f t="shared" si="2"/>
        <v>0</v>
      </c>
      <c r="CT44" s="171">
        <f t="shared" si="3"/>
        <v>514.77</v>
      </c>
      <c r="CU44" s="171">
        <f t="shared" si="4"/>
        <v>0</v>
      </c>
      <c r="CV44" s="149"/>
      <c r="CW44" s="149"/>
      <c r="CX44" s="130"/>
      <c r="CY44" s="130"/>
      <c r="CZ44" s="130"/>
      <c r="DA44" s="130"/>
      <c r="DB44" s="130"/>
      <c r="DC44" s="130"/>
      <c r="DD44" s="130"/>
      <c r="DE44" s="130"/>
      <c r="DF44" s="130"/>
      <c r="DG44" s="130"/>
      <c r="DH44" s="130"/>
      <c r="DI44" s="130"/>
      <c r="DJ44" s="130"/>
      <c r="DK44" s="130"/>
      <c r="DL44" s="130"/>
      <c r="DM44" s="130"/>
      <c r="DN44" s="130"/>
      <c r="DO44" s="130"/>
      <c r="DP44" s="130"/>
      <c r="DQ44" s="130"/>
      <c r="DR44" s="130"/>
      <c r="DS44" s="130"/>
      <c r="DT44" s="130"/>
      <c r="DU44" s="130"/>
      <c r="DV44" s="130"/>
      <c r="DW44" s="130"/>
      <c r="DX44" s="130"/>
      <c r="DY44" s="130"/>
      <c r="DZ44" s="130"/>
      <c r="EA44" s="130"/>
      <c r="EB44" s="130"/>
      <c r="EC44" s="130"/>
      <c r="ED44" s="130"/>
      <c r="EE44" s="130"/>
      <c r="EF44" s="130"/>
      <c r="EG44" s="130"/>
      <c r="EH44" s="130"/>
      <c r="EI44" s="130"/>
      <c r="EJ44" s="130"/>
      <c r="EK44" s="130"/>
      <c r="EL44" s="130"/>
      <c r="EM44" s="130"/>
      <c r="EN44" s="130"/>
      <c r="EO44" s="130"/>
      <c r="EP44" s="130"/>
      <c r="EQ44" s="130"/>
      <c r="ER44" s="130"/>
      <c r="ES44" s="130"/>
      <c r="ET44" s="130"/>
      <c r="EU44" s="130"/>
      <c r="EV44" s="130"/>
      <c r="EW44" s="130"/>
      <c r="EX44" s="130"/>
      <c r="EY44" s="130"/>
      <c r="EZ44" s="130"/>
      <c r="FA44" s="130"/>
      <c r="FB44" s="201"/>
      <c r="FC44" s="201"/>
      <c r="FD44" s="201"/>
      <c r="FE44" s="201"/>
      <c r="FF44" s="201"/>
      <c r="FG44" s="201"/>
      <c r="FH44" s="201"/>
      <c r="FI44" s="201"/>
      <c r="FJ44" s="201"/>
      <c r="FK44" s="201"/>
      <c r="FL44" s="201"/>
      <c r="FM44" s="201"/>
      <c r="FN44" s="201"/>
      <c r="FO44" s="201"/>
      <c r="FP44" s="201"/>
      <c r="FQ44" s="201"/>
      <c r="FR44" s="201"/>
      <c r="FS44" s="201"/>
      <c r="FT44" s="201"/>
      <c r="FU44" s="201"/>
      <c r="FV44" s="201"/>
      <c r="FW44" s="201"/>
      <c r="FX44" s="201"/>
      <c r="FY44" s="201"/>
      <c r="FZ44" s="201"/>
      <c r="GA44" s="201"/>
      <c r="GB44" s="201"/>
      <c r="GC44" s="201"/>
      <c r="GD44" s="201"/>
      <c r="GE44" s="201"/>
      <c r="GF44" s="201"/>
      <c r="GG44" s="201"/>
      <c r="GH44" s="201"/>
      <c r="GI44" s="201"/>
      <c r="GJ44" s="201"/>
      <c r="GK44" s="201"/>
      <c r="GL44" s="201"/>
      <c r="GM44" s="201"/>
      <c r="GN44" s="201"/>
      <c r="GO44" s="201"/>
      <c r="GP44" s="201"/>
      <c r="GQ44" s="201"/>
    </row>
    <row r="45" spans="1:204" s="68" customFormat="1" ht="14.45" customHeight="1" x14ac:dyDescent="0.25">
      <c r="A45" s="68" t="s">
        <v>692</v>
      </c>
      <c r="B45" s="82" t="s">
        <v>154</v>
      </c>
      <c r="C45" s="82" t="s">
        <v>172</v>
      </c>
      <c r="D45" s="82" t="s">
        <v>196</v>
      </c>
      <c r="E45" s="82" t="s">
        <v>309</v>
      </c>
      <c r="F45" s="82" t="s">
        <v>549</v>
      </c>
      <c r="G45" s="82" t="s">
        <v>137</v>
      </c>
      <c r="H45" s="82" t="s">
        <v>137</v>
      </c>
      <c r="I45" s="82" t="s">
        <v>66</v>
      </c>
      <c r="J45" s="82" t="s">
        <v>29</v>
      </c>
      <c r="K45" s="92" t="s">
        <v>137</v>
      </c>
      <c r="L45" s="92" t="s">
        <v>137</v>
      </c>
      <c r="M45" s="92" t="s">
        <v>137</v>
      </c>
      <c r="N45" s="92" t="s">
        <v>137</v>
      </c>
      <c r="O45" s="92" t="s">
        <v>137</v>
      </c>
      <c r="P45" s="92" t="s">
        <v>137</v>
      </c>
      <c r="Q45" s="82" t="s">
        <v>87</v>
      </c>
      <c r="R45" s="82" t="s">
        <v>714</v>
      </c>
      <c r="S45" s="82" t="s">
        <v>40</v>
      </c>
      <c r="T45" s="82" t="s">
        <v>2</v>
      </c>
      <c r="U45" s="83"/>
      <c r="V45" s="83">
        <v>0.05</v>
      </c>
      <c r="W45" s="83">
        <v>0.08</v>
      </c>
      <c r="X45" s="83">
        <v>0.15</v>
      </c>
      <c r="Y45" s="83">
        <v>0.2</v>
      </c>
      <c r="Z45" s="83">
        <v>0.25</v>
      </c>
      <c r="AA45" s="83">
        <v>0.37</v>
      </c>
      <c r="AB45" s="83">
        <v>0.42</v>
      </c>
      <c r="AC45" s="83">
        <v>0.57999999999999996</v>
      </c>
      <c r="AD45" s="83">
        <v>0.67</v>
      </c>
      <c r="AE45" s="83">
        <v>0.83</v>
      </c>
      <c r="AF45" s="83">
        <v>1</v>
      </c>
      <c r="AG45" s="82" t="s">
        <v>532</v>
      </c>
      <c r="AH45" s="82" t="s">
        <v>529</v>
      </c>
      <c r="AI45" s="88" t="s">
        <v>538</v>
      </c>
      <c r="AJ45" s="89" t="s">
        <v>538</v>
      </c>
      <c r="AK45" s="90">
        <v>46023</v>
      </c>
      <c r="AL45" s="90">
        <v>46387</v>
      </c>
      <c r="AM45" s="89"/>
      <c r="AN45" s="89"/>
      <c r="AO45" s="89"/>
      <c r="AP45" s="91" t="s">
        <v>539</v>
      </c>
      <c r="AQ45" s="90" cm="1">
        <f t="array" ref="AQ45">IFERROR(DATE(2026, _xlfn.AGGREGATE(15, 6, (COLUMN(BY45:CJ45)-COLUMN(BY45)+1)/(BY45:CJ45&lt;&gt;0), 1), 1),"N/A")</f>
        <v>46357</v>
      </c>
      <c r="AR45" s="90" cm="1">
        <f t="array" ref="AR45">IFERROR(EOMONTH(DATE(2026, _xlfn.AGGREGATE(14, 6, (COLUMN(BY45:CJ45)-COLUMN(BY45)+1)/(BY45:CJ45&lt;&gt;0), 1), 1), 0),"N/A")</f>
        <v>46387</v>
      </c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2" t="s">
        <v>730</v>
      </c>
      <c r="BF45" s="82" t="s">
        <v>1086</v>
      </c>
      <c r="BG45" s="82" t="str">
        <f t="shared" si="0"/>
        <v>000</v>
      </c>
      <c r="BH45" s="88">
        <v>531601</v>
      </c>
      <c r="BI45" s="92" t="s">
        <v>74</v>
      </c>
      <c r="BJ45" s="93">
        <v>0</v>
      </c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142"/>
      <c r="BW45" s="142">
        <v>500</v>
      </c>
      <c r="BX45" s="143">
        <f t="shared" si="5"/>
        <v>500</v>
      </c>
      <c r="BY45" s="74"/>
      <c r="BZ45" s="74"/>
      <c r="CA45" s="74"/>
      <c r="CB45" s="74"/>
      <c r="CC45" s="74"/>
      <c r="CD45" s="74"/>
      <c r="CE45" s="74"/>
      <c r="CF45" s="74"/>
      <c r="CG45" s="74"/>
      <c r="CH45" s="74"/>
      <c r="CI45" s="74"/>
      <c r="CJ45" s="142">
        <v>500</v>
      </c>
      <c r="CK45" s="142"/>
      <c r="CL45" s="142">
        <f t="shared" si="1"/>
        <v>0</v>
      </c>
      <c r="CM45" s="171">
        <v>0</v>
      </c>
      <c r="CN45" s="171">
        <v>0</v>
      </c>
      <c r="CO45" s="171">
        <v>0</v>
      </c>
      <c r="CP45" s="171">
        <v>0</v>
      </c>
      <c r="CQ45" s="171">
        <v>500</v>
      </c>
      <c r="CR45" s="171">
        <v>0</v>
      </c>
      <c r="CS45" s="171">
        <f t="shared" si="2"/>
        <v>0</v>
      </c>
      <c r="CT45" s="171">
        <f t="shared" si="3"/>
        <v>500</v>
      </c>
      <c r="CU45" s="171">
        <f t="shared" si="4"/>
        <v>0</v>
      </c>
      <c r="CV45" s="149"/>
      <c r="CW45" s="149"/>
      <c r="CX45" s="130"/>
      <c r="CY45" s="130"/>
      <c r="CZ45" s="130"/>
      <c r="DA45" s="130"/>
      <c r="DB45" s="130"/>
      <c r="DC45" s="130"/>
      <c r="DD45" s="130"/>
      <c r="DE45" s="130"/>
      <c r="DF45" s="130"/>
      <c r="DG45" s="130"/>
      <c r="DH45" s="130"/>
      <c r="DI45" s="130"/>
      <c r="DJ45" s="130"/>
      <c r="DK45" s="130"/>
      <c r="DL45" s="130"/>
      <c r="DM45" s="130"/>
      <c r="DN45" s="130"/>
      <c r="DO45" s="130"/>
      <c r="DP45" s="130"/>
      <c r="DQ45" s="130"/>
      <c r="DR45" s="130"/>
      <c r="DS45" s="130"/>
      <c r="DT45" s="130"/>
      <c r="DU45" s="130"/>
      <c r="DV45" s="130"/>
      <c r="DW45" s="130"/>
      <c r="DX45" s="130"/>
      <c r="DY45" s="130"/>
      <c r="DZ45" s="130"/>
      <c r="EA45" s="130"/>
      <c r="EB45" s="130"/>
      <c r="EC45" s="130"/>
      <c r="ED45" s="130"/>
      <c r="EE45" s="130"/>
      <c r="EF45" s="130"/>
      <c r="EG45" s="130"/>
      <c r="EH45" s="130"/>
      <c r="EI45" s="130"/>
      <c r="EJ45" s="130"/>
      <c r="EK45" s="130"/>
      <c r="EL45" s="130"/>
      <c r="EM45" s="130"/>
      <c r="EN45" s="130"/>
      <c r="EO45" s="130"/>
      <c r="EP45" s="130"/>
      <c r="EQ45" s="130"/>
      <c r="ER45" s="130"/>
      <c r="ES45" s="130"/>
      <c r="ET45" s="130"/>
      <c r="EU45" s="130"/>
      <c r="EV45" s="130"/>
      <c r="EW45" s="130"/>
      <c r="EX45" s="130"/>
      <c r="EY45" s="130"/>
      <c r="EZ45" s="130"/>
      <c r="FA45" s="130"/>
      <c r="FB45" s="201"/>
      <c r="FC45" s="201"/>
      <c r="FD45" s="201"/>
      <c r="FE45" s="201"/>
      <c r="FF45" s="201"/>
      <c r="FG45" s="201"/>
      <c r="FH45" s="201"/>
      <c r="FI45" s="201"/>
      <c r="FJ45" s="201"/>
      <c r="FK45" s="201"/>
      <c r="FL45" s="201"/>
      <c r="FM45" s="201"/>
      <c r="FN45" s="201"/>
      <c r="FO45" s="201"/>
      <c r="FP45" s="201"/>
      <c r="FQ45" s="201"/>
      <c r="FR45" s="201"/>
      <c r="FS45" s="201"/>
      <c r="FT45" s="201"/>
      <c r="FU45" s="201"/>
      <c r="FV45" s="201"/>
      <c r="FW45" s="201"/>
      <c r="FX45" s="201"/>
      <c r="FY45" s="201"/>
      <c r="FZ45" s="201"/>
      <c r="GA45" s="201"/>
      <c r="GB45" s="201"/>
      <c r="GC45" s="201"/>
      <c r="GD45" s="201"/>
      <c r="GE45" s="201"/>
      <c r="GF45" s="201"/>
      <c r="GG45" s="201"/>
      <c r="GH45" s="201"/>
      <c r="GI45" s="201"/>
      <c r="GJ45" s="201"/>
      <c r="GK45" s="201"/>
      <c r="GL45" s="201"/>
      <c r="GM45" s="201"/>
      <c r="GN45" s="201"/>
      <c r="GO45" s="201"/>
      <c r="GP45" s="201"/>
      <c r="GQ45" s="201"/>
    </row>
    <row r="46" spans="1:204" s="68" customFormat="1" ht="14.45" customHeight="1" x14ac:dyDescent="0.25">
      <c r="A46" s="68" t="s">
        <v>692</v>
      </c>
      <c r="B46" s="82" t="s">
        <v>154</v>
      </c>
      <c r="C46" s="82" t="s">
        <v>172</v>
      </c>
      <c r="D46" s="82" t="s">
        <v>196</v>
      </c>
      <c r="E46" s="82" t="s">
        <v>309</v>
      </c>
      <c r="F46" s="82" t="s">
        <v>549</v>
      </c>
      <c r="G46" s="82" t="s">
        <v>137</v>
      </c>
      <c r="H46" s="82" t="s">
        <v>137</v>
      </c>
      <c r="I46" s="82" t="s">
        <v>66</v>
      </c>
      <c r="J46" s="82" t="s">
        <v>29</v>
      </c>
      <c r="K46" s="92" t="s">
        <v>137</v>
      </c>
      <c r="L46" s="92" t="s">
        <v>137</v>
      </c>
      <c r="M46" s="92" t="s">
        <v>137</v>
      </c>
      <c r="N46" s="92" t="s">
        <v>137</v>
      </c>
      <c r="O46" s="92" t="s">
        <v>137</v>
      </c>
      <c r="P46" s="92" t="s">
        <v>137</v>
      </c>
      <c r="Q46" s="82" t="s">
        <v>87</v>
      </c>
      <c r="R46" s="82" t="s">
        <v>714</v>
      </c>
      <c r="S46" s="82" t="s">
        <v>40</v>
      </c>
      <c r="T46" s="82" t="s">
        <v>2</v>
      </c>
      <c r="U46" s="83"/>
      <c r="V46" s="83">
        <v>0.05</v>
      </c>
      <c r="W46" s="83">
        <v>0.08</v>
      </c>
      <c r="X46" s="83">
        <v>0.15</v>
      </c>
      <c r="Y46" s="83">
        <v>0.2</v>
      </c>
      <c r="Z46" s="83">
        <v>0.25</v>
      </c>
      <c r="AA46" s="83">
        <v>0.37</v>
      </c>
      <c r="AB46" s="83">
        <v>0.42</v>
      </c>
      <c r="AC46" s="83">
        <v>0.57999999999999996</v>
      </c>
      <c r="AD46" s="83">
        <v>0.67</v>
      </c>
      <c r="AE46" s="83">
        <v>0.83</v>
      </c>
      <c r="AF46" s="83">
        <v>1</v>
      </c>
      <c r="AG46" s="82" t="s">
        <v>532</v>
      </c>
      <c r="AH46" s="82" t="s">
        <v>529</v>
      </c>
      <c r="AI46" s="88" t="s">
        <v>538</v>
      </c>
      <c r="AJ46" s="89" t="s">
        <v>538</v>
      </c>
      <c r="AK46" s="90">
        <v>46023</v>
      </c>
      <c r="AL46" s="90">
        <v>46387</v>
      </c>
      <c r="AM46" s="89"/>
      <c r="AN46" s="89"/>
      <c r="AO46" s="89"/>
      <c r="AP46" s="91" t="s">
        <v>539</v>
      </c>
      <c r="AQ46" s="90" cm="1">
        <f t="array" ref="AQ46">IFERROR(DATE(2026, _xlfn.AGGREGATE(15, 6, (COLUMN(BY46:CJ46)-COLUMN(BY46)+1)/(BY46:CJ46&lt;&gt;0), 1), 1),"N/A")</f>
        <v>46357</v>
      </c>
      <c r="AR46" s="90" cm="1">
        <f t="array" ref="AR46">IFERROR(EOMONTH(DATE(2026, _xlfn.AGGREGATE(14, 6, (COLUMN(BY46:CJ46)-COLUMN(BY46)+1)/(BY46:CJ46&lt;&gt;0), 1), 1), 0),"N/A")</f>
        <v>46387</v>
      </c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2" t="s">
        <v>731</v>
      </c>
      <c r="BF46" s="82" t="s">
        <v>987</v>
      </c>
      <c r="BG46" s="82" t="str">
        <f t="shared" si="0"/>
        <v>000</v>
      </c>
      <c r="BH46" s="88">
        <v>530204</v>
      </c>
      <c r="BI46" s="92" t="s">
        <v>74</v>
      </c>
      <c r="BJ46" s="93">
        <v>300</v>
      </c>
      <c r="BK46" s="74">
        <v>0</v>
      </c>
      <c r="BL46" s="74">
        <v>0</v>
      </c>
      <c r="BM46" s="74">
        <v>0</v>
      </c>
      <c r="BN46" s="74">
        <v>0</v>
      </c>
      <c r="BO46" s="74">
        <v>0</v>
      </c>
      <c r="BP46" s="74">
        <v>0</v>
      </c>
      <c r="BQ46" s="74">
        <v>0</v>
      </c>
      <c r="BR46" s="74">
        <v>0</v>
      </c>
      <c r="BS46" s="74">
        <v>0</v>
      </c>
      <c r="BT46" s="74">
        <v>0</v>
      </c>
      <c r="BU46" s="74">
        <v>0</v>
      </c>
      <c r="BV46" s="142">
        <v>300</v>
      </c>
      <c r="BW46" s="142"/>
      <c r="BX46" s="143">
        <f t="shared" si="5"/>
        <v>300</v>
      </c>
      <c r="BY46" s="74">
        <v>0</v>
      </c>
      <c r="BZ46" s="74">
        <v>0</v>
      </c>
      <c r="CA46" s="74">
        <v>0</v>
      </c>
      <c r="CB46" s="74">
        <v>0</v>
      </c>
      <c r="CC46" s="74">
        <v>0</v>
      </c>
      <c r="CD46" s="74">
        <v>0</v>
      </c>
      <c r="CE46" s="74">
        <v>0</v>
      </c>
      <c r="CF46" s="74">
        <v>0</v>
      </c>
      <c r="CG46" s="74">
        <v>0</v>
      </c>
      <c r="CH46" s="74">
        <v>0</v>
      </c>
      <c r="CI46" s="74">
        <v>0</v>
      </c>
      <c r="CJ46" s="142">
        <v>300</v>
      </c>
      <c r="CK46" s="142"/>
      <c r="CL46" s="142">
        <f t="shared" si="1"/>
        <v>0</v>
      </c>
      <c r="CM46" s="171">
        <v>0</v>
      </c>
      <c r="CN46" s="171">
        <v>0</v>
      </c>
      <c r="CO46" s="171">
        <v>0</v>
      </c>
      <c r="CP46" s="171">
        <v>0</v>
      </c>
      <c r="CQ46" s="171">
        <v>300</v>
      </c>
      <c r="CR46" s="171">
        <v>0</v>
      </c>
      <c r="CS46" s="171">
        <f t="shared" si="2"/>
        <v>0</v>
      </c>
      <c r="CT46" s="171">
        <f t="shared" si="3"/>
        <v>300</v>
      </c>
      <c r="CU46" s="171">
        <f t="shared" si="4"/>
        <v>0</v>
      </c>
      <c r="CV46" s="149"/>
      <c r="CW46" s="149"/>
      <c r="CX46" s="130"/>
      <c r="CY46" s="130"/>
      <c r="CZ46" s="130"/>
      <c r="DA46" s="130"/>
      <c r="DB46" s="130"/>
      <c r="DC46" s="130"/>
      <c r="DD46" s="130"/>
      <c r="DE46" s="130"/>
      <c r="DF46" s="130"/>
      <c r="DG46" s="130"/>
      <c r="DH46" s="130"/>
      <c r="DI46" s="130"/>
      <c r="DJ46" s="130"/>
      <c r="DK46" s="130"/>
      <c r="DL46" s="130"/>
      <c r="DM46" s="130"/>
      <c r="DN46" s="130"/>
      <c r="DO46" s="130"/>
      <c r="DP46" s="130"/>
      <c r="DQ46" s="130"/>
      <c r="DR46" s="130"/>
      <c r="DS46" s="130"/>
      <c r="DT46" s="130"/>
      <c r="DU46" s="130"/>
      <c r="DV46" s="130"/>
      <c r="DW46" s="130"/>
      <c r="DX46" s="130"/>
      <c r="DY46" s="130"/>
      <c r="DZ46" s="130"/>
      <c r="EA46" s="130"/>
      <c r="EB46" s="130"/>
      <c r="EC46" s="130"/>
      <c r="ED46" s="130"/>
      <c r="EE46" s="130"/>
      <c r="EF46" s="130"/>
      <c r="EG46" s="130"/>
      <c r="EH46" s="130"/>
      <c r="EI46" s="130"/>
      <c r="EJ46" s="130"/>
      <c r="EK46" s="130"/>
      <c r="EL46" s="130"/>
      <c r="EM46" s="130"/>
      <c r="EN46" s="130"/>
      <c r="EO46" s="130"/>
      <c r="EP46" s="130"/>
      <c r="EQ46" s="130"/>
      <c r="ER46" s="130"/>
      <c r="ES46" s="130"/>
      <c r="ET46" s="130"/>
      <c r="EU46" s="130"/>
      <c r="EV46" s="130"/>
      <c r="EW46" s="130"/>
      <c r="EX46" s="130"/>
      <c r="EY46" s="130"/>
      <c r="EZ46" s="130"/>
      <c r="FA46" s="130"/>
      <c r="FB46" s="201"/>
      <c r="FC46" s="201"/>
      <c r="FD46" s="201"/>
      <c r="FE46" s="201"/>
      <c r="FF46" s="201"/>
      <c r="FG46" s="201"/>
      <c r="FH46" s="201"/>
      <c r="FI46" s="201"/>
      <c r="FJ46" s="201"/>
      <c r="FK46" s="201"/>
      <c r="FL46" s="201"/>
      <c r="FM46" s="201"/>
      <c r="FN46" s="201"/>
      <c r="FO46" s="201"/>
      <c r="FP46" s="201"/>
      <c r="FQ46" s="201"/>
      <c r="FR46" s="201"/>
      <c r="FS46" s="201"/>
      <c r="FT46" s="201"/>
      <c r="FU46" s="201"/>
      <c r="FV46" s="201"/>
      <c r="FW46" s="201"/>
      <c r="FX46" s="201"/>
      <c r="FY46" s="201"/>
      <c r="FZ46" s="201"/>
      <c r="GA46" s="201"/>
      <c r="GB46" s="201"/>
      <c r="GC46" s="201"/>
      <c r="GD46" s="201"/>
      <c r="GE46" s="201"/>
      <c r="GF46" s="201"/>
      <c r="GG46" s="201"/>
      <c r="GH46" s="201"/>
      <c r="GI46" s="201"/>
      <c r="GJ46" s="201"/>
      <c r="GK46" s="201"/>
      <c r="GL46" s="201"/>
      <c r="GM46" s="201"/>
      <c r="GN46" s="201"/>
      <c r="GO46" s="201"/>
      <c r="GP46" s="201"/>
      <c r="GQ46" s="201"/>
    </row>
    <row r="47" spans="1:204" s="68" customFormat="1" ht="14.45" customHeight="1" x14ac:dyDescent="0.25">
      <c r="A47" s="68" t="s">
        <v>692</v>
      </c>
      <c r="B47" s="82" t="s">
        <v>154</v>
      </c>
      <c r="C47" s="82" t="s">
        <v>172</v>
      </c>
      <c r="D47" s="82" t="s">
        <v>196</v>
      </c>
      <c r="E47" s="82" t="s">
        <v>309</v>
      </c>
      <c r="F47" s="82" t="s">
        <v>549</v>
      </c>
      <c r="G47" s="82" t="s">
        <v>137</v>
      </c>
      <c r="H47" s="82" t="s">
        <v>137</v>
      </c>
      <c r="I47" s="82" t="s">
        <v>66</v>
      </c>
      <c r="J47" s="82" t="s">
        <v>29</v>
      </c>
      <c r="K47" s="92" t="s">
        <v>137</v>
      </c>
      <c r="L47" s="92" t="s">
        <v>137</v>
      </c>
      <c r="M47" s="92" t="s">
        <v>137</v>
      </c>
      <c r="N47" s="92" t="s">
        <v>137</v>
      </c>
      <c r="O47" s="92" t="s">
        <v>137</v>
      </c>
      <c r="P47" s="92" t="s">
        <v>137</v>
      </c>
      <c r="Q47" s="82" t="s">
        <v>87</v>
      </c>
      <c r="R47" s="82" t="s">
        <v>714</v>
      </c>
      <c r="S47" s="82" t="s">
        <v>40</v>
      </c>
      <c r="T47" s="82" t="s">
        <v>2</v>
      </c>
      <c r="U47" s="83"/>
      <c r="V47" s="83">
        <v>0.05</v>
      </c>
      <c r="W47" s="83">
        <v>0.08</v>
      </c>
      <c r="X47" s="83">
        <v>0.15</v>
      </c>
      <c r="Y47" s="83">
        <v>0.2</v>
      </c>
      <c r="Z47" s="83">
        <v>0.25</v>
      </c>
      <c r="AA47" s="83">
        <v>0.37</v>
      </c>
      <c r="AB47" s="83">
        <v>0.42</v>
      </c>
      <c r="AC47" s="83">
        <v>0.57999999999999996</v>
      </c>
      <c r="AD47" s="83">
        <v>0.67</v>
      </c>
      <c r="AE47" s="83">
        <v>0.83</v>
      </c>
      <c r="AF47" s="83">
        <v>1</v>
      </c>
      <c r="AG47" s="82" t="s">
        <v>532</v>
      </c>
      <c r="AH47" s="82" t="s">
        <v>529</v>
      </c>
      <c r="AI47" s="88" t="s">
        <v>538</v>
      </c>
      <c r="AJ47" s="89" t="s">
        <v>538</v>
      </c>
      <c r="AK47" s="90">
        <v>46023</v>
      </c>
      <c r="AL47" s="90">
        <v>46387</v>
      </c>
      <c r="AM47" s="89"/>
      <c r="AN47" s="89"/>
      <c r="AO47" s="89"/>
      <c r="AP47" s="91" t="s">
        <v>539</v>
      </c>
      <c r="AQ47" s="90" cm="1">
        <f t="array" ref="AQ47">IFERROR(DATE(2026, _xlfn.AGGREGATE(15, 6, (COLUMN(BY47:CJ47)-COLUMN(BY47)+1)/(BY47:CJ47&lt;&gt;0), 1), 1),"N/A")</f>
        <v>46357</v>
      </c>
      <c r="AR47" s="90" cm="1">
        <f t="array" ref="AR47">IFERROR(EOMONTH(DATE(2026, _xlfn.AGGREGATE(14, 6, (COLUMN(BY47:CJ47)-COLUMN(BY47)+1)/(BY47:CJ47&lt;&gt;0), 1), 1), 0),"N/A")</f>
        <v>46387</v>
      </c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2" t="s">
        <v>731</v>
      </c>
      <c r="BF47" s="82" t="s">
        <v>988</v>
      </c>
      <c r="BG47" s="82" t="str">
        <f t="shared" si="0"/>
        <v>000</v>
      </c>
      <c r="BH47" s="88">
        <v>530405</v>
      </c>
      <c r="BI47" s="92" t="s">
        <v>74</v>
      </c>
      <c r="BJ47" s="93">
        <v>100</v>
      </c>
      <c r="BK47" s="74">
        <v>0</v>
      </c>
      <c r="BL47" s="74">
        <v>0</v>
      </c>
      <c r="BM47" s="74">
        <v>0</v>
      </c>
      <c r="BN47" s="74">
        <v>0</v>
      </c>
      <c r="BO47" s="74">
        <v>0</v>
      </c>
      <c r="BP47" s="74">
        <v>0</v>
      </c>
      <c r="BQ47" s="74">
        <v>0</v>
      </c>
      <c r="BR47" s="74">
        <v>0</v>
      </c>
      <c r="BS47" s="74">
        <v>0</v>
      </c>
      <c r="BT47" s="74">
        <v>0</v>
      </c>
      <c r="BU47" s="74">
        <v>0</v>
      </c>
      <c r="BV47" s="142">
        <v>100</v>
      </c>
      <c r="BW47" s="142"/>
      <c r="BX47" s="143">
        <f t="shared" si="5"/>
        <v>100</v>
      </c>
      <c r="BY47" s="74">
        <v>0</v>
      </c>
      <c r="BZ47" s="74">
        <v>0</v>
      </c>
      <c r="CA47" s="74">
        <v>0</v>
      </c>
      <c r="CB47" s="74">
        <v>0</v>
      </c>
      <c r="CC47" s="74">
        <v>0</v>
      </c>
      <c r="CD47" s="74">
        <v>0</v>
      </c>
      <c r="CE47" s="74">
        <v>0</v>
      </c>
      <c r="CF47" s="74">
        <v>0</v>
      </c>
      <c r="CG47" s="74">
        <v>0</v>
      </c>
      <c r="CH47" s="74">
        <v>0</v>
      </c>
      <c r="CI47" s="74">
        <v>0</v>
      </c>
      <c r="CJ47" s="142">
        <v>100</v>
      </c>
      <c r="CK47" s="142"/>
      <c r="CL47" s="142">
        <f t="shared" si="1"/>
        <v>0</v>
      </c>
      <c r="CM47" s="171">
        <v>0</v>
      </c>
      <c r="CN47" s="171">
        <v>0</v>
      </c>
      <c r="CO47" s="171">
        <v>0</v>
      </c>
      <c r="CP47" s="171">
        <v>0</v>
      </c>
      <c r="CQ47" s="171">
        <v>100</v>
      </c>
      <c r="CR47" s="171">
        <v>0</v>
      </c>
      <c r="CS47" s="171">
        <f t="shared" si="2"/>
        <v>0</v>
      </c>
      <c r="CT47" s="171">
        <f t="shared" si="3"/>
        <v>100</v>
      </c>
      <c r="CU47" s="171">
        <f t="shared" si="4"/>
        <v>0</v>
      </c>
      <c r="CV47" s="149"/>
      <c r="CW47" s="149"/>
      <c r="CX47" s="130"/>
      <c r="CY47" s="130"/>
      <c r="CZ47" s="130"/>
      <c r="DA47" s="130"/>
      <c r="DB47" s="130"/>
      <c r="DC47" s="130"/>
      <c r="DD47" s="130"/>
      <c r="DE47" s="130"/>
      <c r="DF47" s="130"/>
      <c r="DG47" s="130"/>
      <c r="DH47" s="130"/>
      <c r="DI47" s="130"/>
      <c r="DJ47" s="130"/>
      <c r="DK47" s="130"/>
      <c r="DL47" s="130"/>
      <c r="DM47" s="130"/>
      <c r="DN47" s="130"/>
      <c r="DO47" s="130"/>
      <c r="DP47" s="130"/>
      <c r="DQ47" s="130"/>
      <c r="DR47" s="130"/>
      <c r="DS47" s="130"/>
      <c r="DT47" s="130"/>
      <c r="DU47" s="130"/>
      <c r="DV47" s="130"/>
      <c r="DW47" s="130"/>
      <c r="DX47" s="130"/>
      <c r="DY47" s="130"/>
      <c r="DZ47" s="130"/>
      <c r="EA47" s="130"/>
      <c r="EB47" s="130"/>
      <c r="EC47" s="130"/>
      <c r="ED47" s="130"/>
      <c r="EE47" s="130"/>
      <c r="EF47" s="130"/>
      <c r="EG47" s="130"/>
      <c r="EH47" s="130"/>
      <c r="EI47" s="130"/>
      <c r="EJ47" s="130"/>
      <c r="EK47" s="130"/>
      <c r="EL47" s="130"/>
      <c r="EM47" s="130"/>
      <c r="EN47" s="130"/>
      <c r="EO47" s="130"/>
      <c r="EP47" s="130"/>
      <c r="EQ47" s="130"/>
      <c r="ER47" s="130"/>
      <c r="ES47" s="130"/>
      <c r="ET47" s="130"/>
      <c r="EU47" s="130"/>
      <c r="EV47" s="130"/>
      <c r="EW47" s="130"/>
      <c r="EX47" s="130"/>
      <c r="EY47" s="130"/>
      <c r="EZ47" s="130"/>
      <c r="FA47" s="130"/>
      <c r="FB47" s="201"/>
      <c r="FC47" s="201"/>
      <c r="FD47" s="201"/>
      <c r="FE47" s="201"/>
      <c r="FF47" s="201"/>
      <c r="FG47" s="201"/>
      <c r="FH47" s="201"/>
      <c r="FI47" s="201"/>
      <c r="FJ47" s="201"/>
      <c r="FK47" s="201"/>
      <c r="FL47" s="201"/>
      <c r="FM47" s="201"/>
      <c r="FN47" s="201"/>
      <c r="FO47" s="201"/>
      <c r="FP47" s="201"/>
      <c r="FQ47" s="201"/>
      <c r="FR47" s="201"/>
      <c r="FS47" s="201"/>
      <c r="FT47" s="201"/>
      <c r="FU47" s="201"/>
      <c r="FV47" s="201"/>
      <c r="FW47" s="201"/>
      <c r="FX47" s="201"/>
      <c r="FY47" s="201"/>
      <c r="FZ47" s="201"/>
      <c r="GA47" s="201"/>
      <c r="GB47" s="201"/>
      <c r="GC47" s="201"/>
      <c r="GD47" s="201"/>
      <c r="GE47" s="201"/>
      <c r="GF47" s="201"/>
      <c r="GG47" s="201"/>
      <c r="GH47" s="201"/>
      <c r="GI47" s="201"/>
      <c r="GJ47" s="201"/>
      <c r="GK47" s="201"/>
      <c r="GL47" s="201"/>
      <c r="GM47" s="201"/>
      <c r="GN47" s="201"/>
      <c r="GO47" s="201"/>
      <c r="GP47" s="201"/>
      <c r="GQ47" s="201"/>
    </row>
    <row r="48" spans="1:204" s="68" customFormat="1" ht="14.45" customHeight="1" x14ac:dyDescent="0.25">
      <c r="A48" s="68" t="s">
        <v>692</v>
      </c>
      <c r="B48" s="82" t="s">
        <v>154</v>
      </c>
      <c r="C48" s="82" t="s">
        <v>172</v>
      </c>
      <c r="D48" s="82" t="s">
        <v>196</v>
      </c>
      <c r="E48" s="82" t="s">
        <v>309</v>
      </c>
      <c r="F48" s="82" t="s">
        <v>549</v>
      </c>
      <c r="G48" s="82" t="s">
        <v>137</v>
      </c>
      <c r="H48" s="82" t="s">
        <v>137</v>
      </c>
      <c r="I48" s="82" t="s">
        <v>66</v>
      </c>
      <c r="J48" s="82" t="s">
        <v>29</v>
      </c>
      <c r="K48" s="92" t="s">
        <v>137</v>
      </c>
      <c r="L48" s="92" t="s">
        <v>137</v>
      </c>
      <c r="M48" s="92" t="s">
        <v>137</v>
      </c>
      <c r="N48" s="92" t="s">
        <v>137</v>
      </c>
      <c r="O48" s="92" t="s">
        <v>137</v>
      </c>
      <c r="P48" s="92" t="s">
        <v>137</v>
      </c>
      <c r="Q48" s="82" t="s">
        <v>87</v>
      </c>
      <c r="R48" s="82" t="s">
        <v>714</v>
      </c>
      <c r="S48" s="82" t="s">
        <v>40</v>
      </c>
      <c r="T48" s="82" t="s">
        <v>2</v>
      </c>
      <c r="U48" s="83"/>
      <c r="V48" s="83">
        <v>0.05</v>
      </c>
      <c r="W48" s="83">
        <v>0.08</v>
      </c>
      <c r="X48" s="83">
        <v>0.15</v>
      </c>
      <c r="Y48" s="83">
        <v>0.2</v>
      </c>
      <c r="Z48" s="83">
        <v>0.25</v>
      </c>
      <c r="AA48" s="83">
        <v>0.37</v>
      </c>
      <c r="AB48" s="83">
        <v>0.42</v>
      </c>
      <c r="AC48" s="83">
        <v>0.57999999999999996</v>
      </c>
      <c r="AD48" s="83">
        <v>0.67</v>
      </c>
      <c r="AE48" s="83">
        <v>0.83</v>
      </c>
      <c r="AF48" s="83">
        <v>1</v>
      </c>
      <c r="AG48" s="82" t="s">
        <v>532</v>
      </c>
      <c r="AH48" s="82" t="s">
        <v>529</v>
      </c>
      <c r="AI48" s="88" t="s">
        <v>538</v>
      </c>
      <c r="AJ48" s="89" t="s">
        <v>538</v>
      </c>
      <c r="AK48" s="90">
        <v>46023</v>
      </c>
      <c r="AL48" s="90">
        <v>46387</v>
      </c>
      <c r="AM48" s="89"/>
      <c r="AN48" s="89"/>
      <c r="AO48" s="89"/>
      <c r="AP48" s="91" t="s">
        <v>539</v>
      </c>
      <c r="AQ48" s="90" cm="1">
        <f t="array" ref="AQ48">IFERROR(DATE(2026, _xlfn.AGGREGATE(15, 6, (COLUMN(BY48:CJ48)-COLUMN(BY48)+1)/(BY48:CJ48&lt;&gt;0), 1), 1),"N/A")</f>
        <v>46357</v>
      </c>
      <c r="AR48" s="90" cm="1">
        <f t="array" ref="AR48">IFERROR(EOMONTH(DATE(2026, _xlfn.AGGREGATE(14, 6, (COLUMN(BY48:CJ48)-COLUMN(BY48)+1)/(BY48:CJ48&lt;&gt;0), 1), 1), 0),"N/A")</f>
        <v>46387</v>
      </c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2" t="s">
        <v>731</v>
      </c>
      <c r="BF48" s="82" t="s">
        <v>989</v>
      </c>
      <c r="BG48" s="82" t="str">
        <f t="shared" si="0"/>
        <v>000</v>
      </c>
      <c r="BH48" s="88">
        <v>530804</v>
      </c>
      <c r="BI48" s="92" t="s">
        <v>74</v>
      </c>
      <c r="BJ48" s="93">
        <v>50</v>
      </c>
      <c r="BK48" s="74">
        <v>0</v>
      </c>
      <c r="BL48" s="74">
        <v>0</v>
      </c>
      <c r="BM48" s="74">
        <v>0</v>
      </c>
      <c r="BN48" s="74">
        <v>0</v>
      </c>
      <c r="BO48" s="74">
        <v>0</v>
      </c>
      <c r="BP48" s="74">
        <v>0</v>
      </c>
      <c r="BQ48" s="74">
        <v>0</v>
      </c>
      <c r="BR48" s="74">
        <v>0</v>
      </c>
      <c r="BS48" s="74">
        <v>0</v>
      </c>
      <c r="BT48" s="74">
        <v>0</v>
      </c>
      <c r="BU48" s="74">
        <v>0</v>
      </c>
      <c r="BV48" s="142">
        <v>50</v>
      </c>
      <c r="BW48" s="142"/>
      <c r="BX48" s="143">
        <f t="shared" si="5"/>
        <v>50</v>
      </c>
      <c r="BY48" s="74">
        <v>0</v>
      </c>
      <c r="BZ48" s="74">
        <v>0</v>
      </c>
      <c r="CA48" s="74">
        <v>0</v>
      </c>
      <c r="CB48" s="74">
        <v>0</v>
      </c>
      <c r="CC48" s="74">
        <v>0</v>
      </c>
      <c r="CD48" s="74">
        <v>0</v>
      </c>
      <c r="CE48" s="74">
        <v>0</v>
      </c>
      <c r="CF48" s="74">
        <v>0</v>
      </c>
      <c r="CG48" s="74">
        <v>0</v>
      </c>
      <c r="CH48" s="74">
        <v>0</v>
      </c>
      <c r="CI48" s="74">
        <v>0</v>
      </c>
      <c r="CJ48" s="142">
        <v>50</v>
      </c>
      <c r="CK48" s="142"/>
      <c r="CL48" s="142">
        <f t="shared" si="1"/>
        <v>0</v>
      </c>
      <c r="CM48" s="171">
        <v>0</v>
      </c>
      <c r="CN48" s="171">
        <v>0</v>
      </c>
      <c r="CO48" s="171">
        <v>0</v>
      </c>
      <c r="CP48" s="171">
        <v>0</v>
      </c>
      <c r="CQ48" s="171">
        <v>50</v>
      </c>
      <c r="CR48" s="171">
        <v>0</v>
      </c>
      <c r="CS48" s="171">
        <f t="shared" si="2"/>
        <v>0</v>
      </c>
      <c r="CT48" s="171">
        <f t="shared" si="3"/>
        <v>50</v>
      </c>
      <c r="CU48" s="171">
        <f t="shared" si="4"/>
        <v>0</v>
      </c>
      <c r="CV48" s="149"/>
      <c r="CW48" s="149"/>
      <c r="CX48" s="130"/>
      <c r="CY48" s="130"/>
      <c r="CZ48" s="130"/>
      <c r="DA48" s="130"/>
      <c r="DB48" s="130"/>
      <c r="DC48" s="130"/>
      <c r="DD48" s="130"/>
      <c r="DE48" s="130"/>
      <c r="DF48" s="130"/>
      <c r="DG48" s="130"/>
      <c r="DH48" s="130"/>
      <c r="DI48" s="130"/>
      <c r="DJ48" s="130"/>
      <c r="DK48" s="130"/>
      <c r="DL48" s="130"/>
      <c r="DM48" s="130"/>
      <c r="DN48" s="130"/>
      <c r="DO48" s="130"/>
      <c r="DP48" s="130"/>
      <c r="DQ48" s="130"/>
      <c r="DR48" s="130"/>
      <c r="DS48" s="130"/>
      <c r="DT48" s="130"/>
      <c r="DU48" s="130"/>
      <c r="DV48" s="130"/>
      <c r="DW48" s="130"/>
      <c r="DX48" s="130"/>
      <c r="DY48" s="130"/>
      <c r="DZ48" s="130"/>
      <c r="EA48" s="130"/>
      <c r="EB48" s="130"/>
      <c r="EC48" s="130"/>
      <c r="ED48" s="130"/>
      <c r="EE48" s="130"/>
      <c r="EF48" s="130"/>
      <c r="EG48" s="130"/>
      <c r="EH48" s="130"/>
      <c r="EI48" s="130"/>
      <c r="EJ48" s="130"/>
      <c r="EK48" s="130"/>
      <c r="EL48" s="130"/>
      <c r="EM48" s="130"/>
      <c r="EN48" s="130"/>
      <c r="EO48" s="130"/>
      <c r="EP48" s="130"/>
      <c r="EQ48" s="130"/>
      <c r="ER48" s="130"/>
      <c r="ES48" s="130"/>
      <c r="ET48" s="130"/>
      <c r="EU48" s="130"/>
      <c r="EV48" s="130"/>
      <c r="EW48" s="130"/>
      <c r="EX48" s="130"/>
      <c r="EY48" s="130"/>
      <c r="EZ48" s="130"/>
      <c r="FA48" s="130"/>
      <c r="FB48" s="201"/>
      <c r="FC48" s="201"/>
      <c r="FD48" s="201"/>
      <c r="FE48" s="201"/>
      <c r="FF48" s="201"/>
      <c r="FG48" s="201"/>
      <c r="FH48" s="201"/>
      <c r="FI48" s="201"/>
      <c r="FJ48" s="201"/>
      <c r="FK48" s="201"/>
      <c r="FL48" s="201"/>
      <c r="FM48" s="201"/>
      <c r="FN48" s="201"/>
      <c r="FO48" s="201"/>
      <c r="FP48" s="201"/>
      <c r="FQ48" s="201"/>
      <c r="FR48" s="201"/>
      <c r="FS48" s="201"/>
      <c r="FT48" s="201"/>
      <c r="FU48" s="201"/>
      <c r="FV48" s="201"/>
      <c r="FW48" s="201"/>
      <c r="FX48" s="201"/>
      <c r="FY48" s="201"/>
      <c r="FZ48" s="201"/>
      <c r="GA48" s="201"/>
      <c r="GB48" s="201"/>
      <c r="GC48" s="201"/>
      <c r="GD48" s="201"/>
      <c r="GE48" s="201"/>
      <c r="GF48" s="201"/>
      <c r="GG48" s="201"/>
      <c r="GH48" s="201"/>
      <c r="GI48" s="201"/>
      <c r="GJ48" s="201"/>
      <c r="GK48" s="201"/>
      <c r="GL48" s="201"/>
      <c r="GM48" s="201"/>
      <c r="GN48" s="201"/>
      <c r="GO48" s="201"/>
      <c r="GP48" s="201"/>
      <c r="GQ48" s="201"/>
    </row>
    <row r="49" spans="1:204" s="68" customFormat="1" ht="14.45" customHeight="1" x14ac:dyDescent="0.25">
      <c r="A49" s="68" t="s">
        <v>692</v>
      </c>
      <c r="B49" s="82" t="s">
        <v>154</v>
      </c>
      <c r="C49" s="82" t="s">
        <v>172</v>
      </c>
      <c r="D49" s="82" t="s">
        <v>196</v>
      </c>
      <c r="E49" s="82" t="s">
        <v>309</v>
      </c>
      <c r="F49" s="82" t="s">
        <v>549</v>
      </c>
      <c r="G49" s="82" t="s">
        <v>137</v>
      </c>
      <c r="H49" s="82" t="s">
        <v>137</v>
      </c>
      <c r="I49" s="82" t="s">
        <v>66</v>
      </c>
      <c r="J49" s="82" t="s">
        <v>29</v>
      </c>
      <c r="K49" s="92" t="s">
        <v>137</v>
      </c>
      <c r="L49" s="92" t="s">
        <v>137</v>
      </c>
      <c r="M49" s="92" t="s">
        <v>137</v>
      </c>
      <c r="N49" s="92" t="s">
        <v>137</v>
      </c>
      <c r="O49" s="92" t="s">
        <v>137</v>
      </c>
      <c r="P49" s="92" t="s">
        <v>137</v>
      </c>
      <c r="Q49" s="82" t="s">
        <v>87</v>
      </c>
      <c r="R49" s="82" t="s">
        <v>714</v>
      </c>
      <c r="S49" s="82" t="s">
        <v>40</v>
      </c>
      <c r="T49" s="82" t="s">
        <v>2</v>
      </c>
      <c r="U49" s="83"/>
      <c r="V49" s="83">
        <v>0.05</v>
      </c>
      <c r="W49" s="83">
        <v>0.08</v>
      </c>
      <c r="X49" s="83">
        <v>0.15</v>
      </c>
      <c r="Y49" s="83">
        <v>0.2</v>
      </c>
      <c r="Z49" s="83">
        <v>0.25</v>
      </c>
      <c r="AA49" s="83">
        <v>0.37</v>
      </c>
      <c r="AB49" s="83">
        <v>0.42</v>
      </c>
      <c r="AC49" s="83">
        <v>0.57999999999999996</v>
      </c>
      <c r="AD49" s="83">
        <v>0.67</v>
      </c>
      <c r="AE49" s="83">
        <v>0.83</v>
      </c>
      <c r="AF49" s="83">
        <v>1</v>
      </c>
      <c r="AG49" s="82" t="s">
        <v>532</v>
      </c>
      <c r="AH49" s="82" t="s">
        <v>529</v>
      </c>
      <c r="AI49" s="88" t="s">
        <v>538</v>
      </c>
      <c r="AJ49" s="89" t="s">
        <v>538</v>
      </c>
      <c r="AK49" s="90">
        <v>46023</v>
      </c>
      <c r="AL49" s="90">
        <v>46387</v>
      </c>
      <c r="AM49" s="89"/>
      <c r="AN49" s="89"/>
      <c r="AO49" s="89"/>
      <c r="AP49" s="91" t="s">
        <v>539</v>
      </c>
      <c r="AQ49" s="90" cm="1">
        <f t="array" ref="AQ49">IFERROR(DATE(2026, _xlfn.AGGREGATE(15, 6, (COLUMN(BY49:CJ49)-COLUMN(BY49)+1)/(BY49:CJ49&lt;&gt;0), 1), 1),"N/A")</f>
        <v>46357</v>
      </c>
      <c r="AR49" s="90" cm="1">
        <f t="array" ref="AR49">IFERROR(EOMONTH(DATE(2026, _xlfn.AGGREGATE(14, 6, (COLUMN(BY49:CJ49)-COLUMN(BY49)+1)/(BY49:CJ49&lt;&gt;0), 1), 1), 0),"N/A")</f>
        <v>46387</v>
      </c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2" t="s">
        <v>731</v>
      </c>
      <c r="BF49" s="82" t="s">
        <v>990</v>
      </c>
      <c r="BG49" s="82" t="str">
        <f t="shared" si="0"/>
        <v>000</v>
      </c>
      <c r="BH49" s="88">
        <v>530805</v>
      </c>
      <c r="BI49" s="92" t="s">
        <v>74</v>
      </c>
      <c r="BJ49" s="93">
        <v>200</v>
      </c>
      <c r="BK49" s="74">
        <v>0</v>
      </c>
      <c r="BL49" s="74">
        <v>0</v>
      </c>
      <c r="BM49" s="74">
        <v>0</v>
      </c>
      <c r="BN49" s="74">
        <v>0</v>
      </c>
      <c r="BO49" s="74">
        <v>0</v>
      </c>
      <c r="BP49" s="74">
        <v>0</v>
      </c>
      <c r="BQ49" s="74">
        <v>0</v>
      </c>
      <c r="BR49" s="74">
        <v>0</v>
      </c>
      <c r="BS49" s="74">
        <v>0</v>
      </c>
      <c r="BT49" s="74">
        <v>0</v>
      </c>
      <c r="BU49" s="94">
        <v>200</v>
      </c>
      <c r="BV49" s="143">
        <v>0</v>
      </c>
      <c r="BW49" s="143"/>
      <c r="BX49" s="143">
        <f t="shared" si="5"/>
        <v>200</v>
      </c>
      <c r="BY49" s="74">
        <v>0</v>
      </c>
      <c r="BZ49" s="74">
        <v>0</v>
      </c>
      <c r="CA49" s="74">
        <v>0</v>
      </c>
      <c r="CB49" s="74">
        <v>0</v>
      </c>
      <c r="CC49" s="74">
        <v>0</v>
      </c>
      <c r="CD49" s="74">
        <v>0</v>
      </c>
      <c r="CE49" s="74">
        <v>0</v>
      </c>
      <c r="CF49" s="74">
        <v>0</v>
      </c>
      <c r="CG49" s="74">
        <v>0</v>
      </c>
      <c r="CH49" s="74">
        <v>0</v>
      </c>
      <c r="CI49" s="94">
        <v>0</v>
      </c>
      <c r="CJ49" s="94">
        <v>200</v>
      </c>
      <c r="CK49" s="142"/>
      <c r="CL49" s="142">
        <f t="shared" si="1"/>
        <v>0</v>
      </c>
      <c r="CM49" s="171">
        <v>0</v>
      </c>
      <c r="CN49" s="171">
        <v>0</v>
      </c>
      <c r="CO49" s="171">
        <v>0</v>
      </c>
      <c r="CP49" s="171">
        <v>0</v>
      </c>
      <c r="CQ49" s="171">
        <v>200</v>
      </c>
      <c r="CR49" s="171">
        <v>0</v>
      </c>
      <c r="CS49" s="171">
        <f t="shared" si="2"/>
        <v>0</v>
      </c>
      <c r="CT49" s="171">
        <f t="shared" si="3"/>
        <v>200</v>
      </c>
      <c r="CU49" s="171">
        <f t="shared" si="4"/>
        <v>0</v>
      </c>
      <c r="CV49" s="149"/>
      <c r="CW49" s="149"/>
      <c r="CX49" s="130"/>
      <c r="CY49" s="130"/>
      <c r="CZ49" s="130"/>
      <c r="DA49" s="130"/>
      <c r="DB49" s="130"/>
      <c r="DC49" s="130"/>
      <c r="DD49" s="130"/>
      <c r="DE49" s="130"/>
      <c r="DF49" s="130"/>
      <c r="DG49" s="130"/>
      <c r="DH49" s="130"/>
      <c r="DI49" s="130"/>
      <c r="DJ49" s="130"/>
      <c r="DK49" s="130"/>
      <c r="DL49" s="130"/>
      <c r="DM49" s="130"/>
      <c r="DN49" s="130"/>
      <c r="DO49" s="130"/>
      <c r="DP49" s="130"/>
      <c r="DQ49" s="130"/>
      <c r="DR49" s="130"/>
      <c r="DS49" s="130"/>
      <c r="DT49" s="130"/>
      <c r="DU49" s="130"/>
      <c r="DV49" s="130"/>
      <c r="DW49" s="130"/>
      <c r="DX49" s="130"/>
      <c r="DY49" s="130"/>
      <c r="DZ49" s="130"/>
      <c r="EA49" s="130"/>
      <c r="EB49" s="130"/>
      <c r="EC49" s="130"/>
      <c r="ED49" s="130"/>
      <c r="EE49" s="130"/>
      <c r="EF49" s="130"/>
      <c r="EG49" s="130"/>
      <c r="EH49" s="130"/>
      <c r="EI49" s="130"/>
      <c r="EJ49" s="130"/>
      <c r="EK49" s="130"/>
      <c r="EL49" s="130"/>
      <c r="EM49" s="130"/>
      <c r="EN49" s="130"/>
      <c r="EO49" s="130"/>
      <c r="EP49" s="130"/>
      <c r="EQ49" s="130"/>
      <c r="ER49" s="130"/>
      <c r="ES49" s="130"/>
      <c r="ET49" s="130"/>
      <c r="EU49" s="130"/>
      <c r="EV49" s="130"/>
      <c r="EW49" s="130"/>
      <c r="EX49" s="130"/>
      <c r="EY49" s="130"/>
      <c r="EZ49" s="130"/>
      <c r="FA49" s="130"/>
      <c r="FB49" s="201"/>
      <c r="FC49" s="201"/>
      <c r="FD49" s="201"/>
      <c r="FE49" s="201"/>
      <c r="FF49" s="201"/>
      <c r="FG49" s="201"/>
      <c r="FH49" s="201"/>
      <c r="FI49" s="201"/>
      <c r="FJ49" s="201"/>
      <c r="FK49" s="201"/>
      <c r="FL49" s="201"/>
      <c r="FM49" s="201"/>
      <c r="FN49" s="201"/>
      <c r="FO49" s="201"/>
      <c r="FP49" s="201"/>
      <c r="FQ49" s="201"/>
      <c r="FR49" s="201"/>
      <c r="FS49" s="201"/>
      <c r="FT49" s="201"/>
      <c r="FU49" s="201"/>
      <c r="FV49" s="201"/>
      <c r="FW49" s="201"/>
      <c r="FX49" s="201"/>
      <c r="FY49" s="201"/>
      <c r="FZ49" s="201"/>
      <c r="GA49" s="201"/>
      <c r="GB49" s="201"/>
      <c r="GC49" s="201"/>
      <c r="GD49" s="201"/>
      <c r="GE49" s="201"/>
      <c r="GF49" s="201"/>
      <c r="GG49" s="201"/>
      <c r="GH49" s="201"/>
      <c r="GI49" s="201"/>
      <c r="GJ49" s="201"/>
      <c r="GK49" s="201"/>
      <c r="GL49" s="201"/>
      <c r="GM49" s="201"/>
      <c r="GN49" s="201"/>
      <c r="GO49" s="201"/>
      <c r="GP49" s="201"/>
      <c r="GQ49" s="201"/>
    </row>
    <row r="50" spans="1:204" s="68" customFormat="1" ht="14.45" customHeight="1" x14ac:dyDescent="0.25">
      <c r="A50" s="68" t="s">
        <v>692</v>
      </c>
      <c r="B50" s="82" t="s">
        <v>154</v>
      </c>
      <c r="C50" s="82" t="s">
        <v>172</v>
      </c>
      <c r="D50" s="82" t="s">
        <v>196</v>
      </c>
      <c r="E50" s="82" t="s">
        <v>309</v>
      </c>
      <c r="F50" s="82" t="s">
        <v>549</v>
      </c>
      <c r="G50" s="82" t="s">
        <v>137</v>
      </c>
      <c r="H50" s="82" t="s">
        <v>137</v>
      </c>
      <c r="I50" s="82" t="s">
        <v>66</v>
      </c>
      <c r="J50" s="82" t="s">
        <v>29</v>
      </c>
      <c r="K50" s="92" t="s">
        <v>137</v>
      </c>
      <c r="L50" s="92" t="s">
        <v>137</v>
      </c>
      <c r="M50" s="92" t="s">
        <v>137</v>
      </c>
      <c r="N50" s="92" t="s">
        <v>137</v>
      </c>
      <c r="O50" s="92" t="s">
        <v>137</v>
      </c>
      <c r="P50" s="92" t="s">
        <v>137</v>
      </c>
      <c r="Q50" s="82" t="s">
        <v>87</v>
      </c>
      <c r="R50" s="82" t="s">
        <v>714</v>
      </c>
      <c r="S50" s="82" t="s">
        <v>40</v>
      </c>
      <c r="T50" s="82" t="s">
        <v>2</v>
      </c>
      <c r="U50" s="83"/>
      <c r="V50" s="83">
        <v>0.05</v>
      </c>
      <c r="W50" s="83">
        <v>0.08</v>
      </c>
      <c r="X50" s="83">
        <v>0.15</v>
      </c>
      <c r="Y50" s="83">
        <v>0.2</v>
      </c>
      <c r="Z50" s="83">
        <v>0.25</v>
      </c>
      <c r="AA50" s="83">
        <v>0.37</v>
      </c>
      <c r="AB50" s="83">
        <v>0.42</v>
      </c>
      <c r="AC50" s="83">
        <v>0.57999999999999996</v>
      </c>
      <c r="AD50" s="83">
        <v>0.67</v>
      </c>
      <c r="AE50" s="83">
        <v>0.83</v>
      </c>
      <c r="AF50" s="83">
        <v>1</v>
      </c>
      <c r="AG50" s="82" t="s">
        <v>532</v>
      </c>
      <c r="AH50" s="82" t="s">
        <v>529</v>
      </c>
      <c r="AI50" s="88" t="s">
        <v>538</v>
      </c>
      <c r="AJ50" s="89" t="s">
        <v>538</v>
      </c>
      <c r="AK50" s="90">
        <v>46023</v>
      </c>
      <c r="AL50" s="90">
        <v>46387</v>
      </c>
      <c r="AM50" s="89"/>
      <c r="AN50" s="89"/>
      <c r="AO50" s="89"/>
      <c r="AP50" s="91" t="s">
        <v>539</v>
      </c>
      <c r="AQ50" s="90" cm="1">
        <f t="array" ref="AQ50">IFERROR(DATE(2026, _xlfn.AGGREGATE(15, 6, (COLUMN(BY50:CJ50)-COLUMN(BY50)+1)/(BY50:CJ50&lt;&gt;0), 1), 1),"N/A")</f>
        <v>46357</v>
      </c>
      <c r="AR50" s="90" cm="1">
        <f t="array" ref="AR50">IFERROR(EOMONTH(DATE(2026, _xlfn.AGGREGATE(14, 6, (COLUMN(BY50:CJ50)-COLUMN(BY50)+1)/(BY50:CJ50&lt;&gt;0), 1), 1), 0),"N/A")</f>
        <v>46387</v>
      </c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2" t="s">
        <v>731</v>
      </c>
      <c r="BF50" s="82" t="s">
        <v>991</v>
      </c>
      <c r="BG50" s="82" t="str">
        <f t="shared" si="0"/>
        <v>000</v>
      </c>
      <c r="BH50" s="88">
        <v>530811</v>
      </c>
      <c r="BI50" s="92" t="s">
        <v>74</v>
      </c>
      <c r="BJ50" s="93">
        <v>500</v>
      </c>
      <c r="BK50" s="74">
        <v>0</v>
      </c>
      <c r="BL50" s="74">
        <v>0</v>
      </c>
      <c r="BM50" s="74">
        <v>0</v>
      </c>
      <c r="BN50" s="74">
        <v>0</v>
      </c>
      <c r="BO50" s="74">
        <v>0</v>
      </c>
      <c r="BP50" s="74">
        <v>0</v>
      </c>
      <c r="BQ50" s="74">
        <v>0</v>
      </c>
      <c r="BR50" s="74">
        <v>0</v>
      </c>
      <c r="BS50" s="74">
        <v>0</v>
      </c>
      <c r="BT50" s="74">
        <v>0</v>
      </c>
      <c r="BU50" s="74">
        <v>0</v>
      </c>
      <c r="BV50" s="142">
        <v>500</v>
      </c>
      <c r="BW50" s="142"/>
      <c r="BX50" s="143">
        <f t="shared" si="5"/>
        <v>500</v>
      </c>
      <c r="BY50" s="74">
        <v>0</v>
      </c>
      <c r="BZ50" s="74">
        <v>0</v>
      </c>
      <c r="CA50" s="74">
        <v>0</v>
      </c>
      <c r="CB50" s="74">
        <v>0</v>
      </c>
      <c r="CC50" s="74">
        <v>0</v>
      </c>
      <c r="CD50" s="74">
        <v>0</v>
      </c>
      <c r="CE50" s="74">
        <v>0</v>
      </c>
      <c r="CF50" s="74">
        <v>0</v>
      </c>
      <c r="CG50" s="74">
        <v>0</v>
      </c>
      <c r="CH50" s="74">
        <v>0</v>
      </c>
      <c r="CI50" s="74">
        <v>0</v>
      </c>
      <c r="CJ50" s="142">
        <v>500</v>
      </c>
      <c r="CK50" s="142"/>
      <c r="CL50" s="142">
        <f t="shared" si="1"/>
        <v>0</v>
      </c>
      <c r="CM50" s="171">
        <v>0</v>
      </c>
      <c r="CN50" s="171">
        <v>0</v>
      </c>
      <c r="CO50" s="171">
        <v>0</v>
      </c>
      <c r="CP50" s="171">
        <v>0</v>
      </c>
      <c r="CQ50" s="171">
        <v>500</v>
      </c>
      <c r="CR50" s="171">
        <v>0</v>
      </c>
      <c r="CS50" s="171">
        <f t="shared" si="2"/>
        <v>0</v>
      </c>
      <c r="CT50" s="171">
        <f t="shared" si="3"/>
        <v>500</v>
      </c>
      <c r="CU50" s="171">
        <f t="shared" si="4"/>
        <v>0</v>
      </c>
      <c r="CV50" s="149"/>
      <c r="CW50" s="149"/>
      <c r="CX50" s="130"/>
      <c r="CY50" s="130"/>
      <c r="CZ50" s="130"/>
      <c r="DA50" s="130"/>
      <c r="DB50" s="130"/>
      <c r="DC50" s="130"/>
      <c r="DD50" s="130"/>
      <c r="DE50" s="130"/>
      <c r="DF50" s="130"/>
      <c r="DG50" s="130"/>
      <c r="DH50" s="130"/>
      <c r="DI50" s="130"/>
      <c r="DJ50" s="130"/>
      <c r="DK50" s="130"/>
      <c r="DL50" s="130"/>
      <c r="DM50" s="130"/>
      <c r="DN50" s="130"/>
      <c r="DO50" s="130"/>
      <c r="DP50" s="130"/>
      <c r="DQ50" s="130"/>
      <c r="DR50" s="130"/>
      <c r="DS50" s="130"/>
      <c r="DT50" s="130"/>
      <c r="DU50" s="130"/>
      <c r="DV50" s="130"/>
      <c r="DW50" s="130"/>
      <c r="DX50" s="130"/>
      <c r="DY50" s="130"/>
      <c r="DZ50" s="130"/>
      <c r="EA50" s="130"/>
      <c r="EB50" s="130"/>
      <c r="EC50" s="130"/>
      <c r="ED50" s="130"/>
      <c r="EE50" s="130"/>
      <c r="EF50" s="130"/>
      <c r="EG50" s="130"/>
      <c r="EH50" s="130"/>
      <c r="EI50" s="130"/>
      <c r="EJ50" s="130"/>
      <c r="EK50" s="130"/>
      <c r="EL50" s="130"/>
      <c r="EM50" s="130"/>
      <c r="EN50" s="130"/>
      <c r="EO50" s="130"/>
      <c r="EP50" s="130"/>
      <c r="EQ50" s="130"/>
      <c r="ER50" s="130"/>
      <c r="ES50" s="130"/>
      <c r="ET50" s="130"/>
      <c r="EU50" s="130"/>
      <c r="EV50" s="130"/>
      <c r="EW50" s="130"/>
      <c r="EX50" s="130"/>
      <c r="EY50" s="130"/>
      <c r="EZ50" s="130"/>
      <c r="FA50" s="130"/>
      <c r="FB50" s="201"/>
      <c r="FC50" s="201"/>
      <c r="FD50" s="201"/>
      <c r="FE50" s="201"/>
      <c r="FF50" s="201"/>
      <c r="FG50" s="201"/>
      <c r="FH50" s="201"/>
      <c r="FI50" s="201"/>
      <c r="FJ50" s="201"/>
      <c r="FK50" s="201"/>
      <c r="FL50" s="201"/>
      <c r="FM50" s="201"/>
      <c r="FN50" s="201"/>
      <c r="FO50" s="201"/>
      <c r="FP50" s="201"/>
      <c r="FQ50" s="201"/>
      <c r="FR50" s="201"/>
      <c r="FS50" s="201"/>
      <c r="FT50" s="201"/>
      <c r="FU50" s="201"/>
      <c r="FV50" s="201"/>
      <c r="FW50" s="201"/>
      <c r="FX50" s="201"/>
      <c r="FY50" s="201"/>
      <c r="FZ50" s="201"/>
      <c r="GA50" s="201"/>
      <c r="GB50" s="201"/>
      <c r="GC50" s="201"/>
      <c r="GD50" s="201"/>
      <c r="GE50" s="201"/>
      <c r="GF50" s="201"/>
      <c r="GG50" s="201"/>
      <c r="GH50" s="201"/>
      <c r="GI50" s="201"/>
      <c r="GJ50" s="201"/>
      <c r="GK50" s="201"/>
      <c r="GL50" s="201"/>
      <c r="GM50" s="201"/>
      <c r="GN50" s="201"/>
      <c r="GO50" s="201"/>
      <c r="GP50" s="201"/>
      <c r="GQ50" s="201"/>
    </row>
    <row r="51" spans="1:204" s="68" customFormat="1" ht="14.45" customHeight="1" x14ac:dyDescent="0.25">
      <c r="A51" s="68" t="s">
        <v>692</v>
      </c>
      <c r="B51" s="82" t="s">
        <v>154</v>
      </c>
      <c r="C51" s="82" t="s">
        <v>172</v>
      </c>
      <c r="D51" s="82" t="s">
        <v>196</v>
      </c>
      <c r="E51" s="82" t="s">
        <v>309</v>
      </c>
      <c r="F51" s="82" t="s">
        <v>549</v>
      </c>
      <c r="G51" s="82" t="s">
        <v>137</v>
      </c>
      <c r="H51" s="82" t="s">
        <v>137</v>
      </c>
      <c r="I51" s="82" t="s">
        <v>66</v>
      </c>
      <c r="J51" s="82" t="s">
        <v>29</v>
      </c>
      <c r="K51" s="92" t="s">
        <v>137</v>
      </c>
      <c r="L51" s="92" t="s">
        <v>137</v>
      </c>
      <c r="M51" s="92" t="s">
        <v>137</v>
      </c>
      <c r="N51" s="92" t="s">
        <v>137</v>
      </c>
      <c r="O51" s="92" t="s">
        <v>137</v>
      </c>
      <c r="P51" s="92" t="s">
        <v>137</v>
      </c>
      <c r="Q51" s="82" t="s">
        <v>87</v>
      </c>
      <c r="R51" s="82" t="s">
        <v>714</v>
      </c>
      <c r="S51" s="82" t="s">
        <v>40</v>
      </c>
      <c r="T51" s="82" t="s">
        <v>2</v>
      </c>
      <c r="U51" s="83"/>
      <c r="V51" s="83">
        <v>0.05</v>
      </c>
      <c r="W51" s="83">
        <v>0.08</v>
      </c>
      <c r="X51" s="83">
        <v>0.15</v>
      </c>
      <c r="Y51" s="83">
        <v>0.2</v>
      </c>
      <c r="Z51" s="83">
        <v>0.25</v>
      </c>
      <c r="AA51" s="83">
        <v>0.37</v>
      </c>
      <c r="AB51" s="83">
        <v>0.42</v>
      </c>
      <c r="AC51" s="83">
        <v>0.57999999999999996</v>
      </c>
      <c r="AD51" s="83">
        <v>0.67</v>
      </c>
      <c r="AE51" s="83">
        <v>0.83</v>
      </c>
      <c r="AF51" s="83">
        <v>1</v>
      </c>
      <c r="AG51" s="82" t="s">
        <v>532</v>
      </c>
      <c r="AH51" s="82" t="s">
        <v>529</v>
      </c>
      <c r="AI51" s="88" t="s">
        <v>538</v>
      </c>
      <c r="AJ51" s="89" t="s">
        <v>538</v>
      </c>
      <c r="AK51" s="90">
        <v>46023</v>
      </c>
      <c r="AL51" s="90">
        <v>46387</v>
      </c>
      <c r="AM51" s="89"/>
      <c r="AN51" s="89"/>
      <c r="AO51" s="89"/>
      <c r="AP51" s="91" t="s">
        <v>539</v>
      </c>
      <c r="AQ51" s="90" cm="1">
        <f t="array" ref="AQ51">IFERROR(DATE(2026, _xlfn.AGGREGATE(15, 6, (COLUMN(BY51:CJ51)-COLUMN(BY51)+1)/(BY51:CJ51&lt;&gt;0), 1), 1),"N/A")</f>
        <v>46357</v>
      </c>
      <c r="AR51" s="90" cm="1">
        <f t="array" ref="AR51">IFERROR(EOMONTH(DATE(2026, _xlfn.AGGREGATE(14, 6, (COLUMN(BY51:CJ51)-COLUMN(BY51)+1)/(BY51:CJ51&lt;&gt;0), 1), 1), 0),"N/A")</f>
        <v>46387</v>
      </c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2" t="s">
        <v>731</v>
      </c>
      <c r="BF51" s="82" t="s">
        <v>992</v>
      </c>
      <c r="BG51" s="82" t="str">
        <f t="shared" si="0"/>
        <v>000</v>
      </c>
      <c r="BH51" s="88">
        <v>530813</v>
      </c>
      <c r="BI51" s="92" t="s">
        <v>74</v>
      </c>
      <c r="BJ51" s="93">
        <v>800</v>
      </c>
      <c r="BK51" s="74">
        <v>0</v>
      </c>
      <c r="BL51" s="74">
        <v>0</v>
      </c>
      <c r="BM51" s="74">
        <v>0</v>
      </c>
      <c r="BN51" s="74">
        <v>0</v>
      </c>
      <c r="BO51" s="74">
        <v>0</v>
      </c>
      <c r="BP51" s="74">
        <v>0</v>
      </c>
      <c r="BQ51" s="74">
        <v>0</v>
      </c>
      <c r="BR51" s="74">
        <v>0</v>
      </c>
      <c r="BS51" s="74">
        <v>0</v>
      </c>
      <c r="BT51" s="94">
        <v>800</v>
      </c>
      <c r="BU51" s="74">
        <v>0</v>
      </c>
      <c r="BV51" s="143">
        <v>0</v>
      </c>
      <c r="BW51" s="143"/>
      <c r="BX51" s="143">
        <f t="shared" si="5"/>
        <v>800</v>
      </c>
      <c r="BY51" s="74">
        <v>0</v>
      </c>
      <c r="BZ51" s="74">
        <v>0</v>
      </c>
      <c r="CA51" s="74">
        <v>0</v>
      </c>
      <c r="CB51" s="74">
        <v>0</v>
      </c>
      <c r="CC51" s="74">
        <v>0</v>
      </c>
      <c r="CD51" s="74">
        <v>0</v>
      </c>
      <c r="CE51" s="74">
        <v>0</v>
      </c>
      <c r="CF51" s="74">
        <v>0</v>
      </c>
      <c r="CG51" s="74">
        <v>0</v>
      </c>
      <c r="CH51" s="94">
        <v>0</v>
      </c>
      <c r="CI51" s="74">
        <v>0</v>
      </c>
      <c r="CJ51" s="94">
        <v>800</v>
      </c>
      <c r="CK51" s="142"/>
      <c r="CL51" s="142">
        <f t="shared" si="1"/>
        <v>0</v>
      </c>
      <c r="CM51" s="171">
        <v>0</v>
      </c>
      <c r="CN51" s="171">
        <v>0</v>
      </c>
      <c r="CO51" s="171">
        <v>0</v>
      </c>
      <c r="CP51" s="171">
        <v>0</v>
      </c>
      <c r="CQ51" s="171">
        <v>800</v>
      </c>
      <c r="CR51" s="171">
        <v>0</v>
      </c>
      <c r="CS51" s="171">
        <f t="shared" si="2"/>
        <v>0</v>
      </c>
      <c r="CT51" s="171">
        <f t="shared" si="3"/>
        <v>800</v>
      </c>
      <c r="CU51" s="171">
        <f t="shared" si="4"/>
        <v>0</v>
      </c>
      <c r="CV51" s="149"/>
      <c r="CW51" s="149"/>
      <c r="CX51" s="130"/>
      <c r="CY51" s="130"/>
      <c r="CZ51" s="130"/>
      <c r="DA51" s="130"/>
      <c r="DB51" s="130"/>
      <c r="DC51" s="130"/>
      <c r="DD51" s="130"/>
      <c r="DE51" s="130"/>
      <c r="DF51" s="130"/>
      <c r="DG51" s="130"/>
      <c r="DH51" s="130"/>
      <c r="DI51" s="130"/>
      <c r="DJ51" s="130"/>
      <c r="DK51" s="130"/>
      <c r="DL51" s="130"/>
      <c r="DM51" s="130"/>
      <c r="DN51" s="130"/>
      <c r="DO51" s="130"/>
      <c r="DP51" s="130"/>
      <c r="DQ51" s="130"/>
      <c r="DR51" s="130"/>
      <c r="DS51" s="130"/>
      <c r="DT51" s="130"/>
      <c r="DU51" s="130"/>
      <c r="DV51" s="130"/>
      <c r="DW51" s="130"/>
      <c r="DX51" s="130"/>
      <c r="DY51" s="130"/>
      <c r="DZ51" s="130"/>
      <c r="EA51" s="130"/>
      <c r="EB51" s="130"/>
      <c r="EC51" s="130"/>
      <c r="ED51" s="130"/>
      <c r="EE51" s="130"/>
      <c r="EF51" s="130"/>
      <c r="EG51" s="130"/>
      <c r="EH51" s="130"/>
      <c r="EI51" s="130"/>
      <c r="EJ51" s="130"/>
      <c r="EK51" s="130"/>
      <c r="EL51" s="130"/>
      <c r="EM51" s="130"/>
      <c r="EN51" s="130"/>
      <c r="EO51" s="130"/>
      <c r="EP51" s="130"/>
      <c r="EQ51" s="130"/>
      <c r="ER51" s="130"/>
      <c r="ES51" s="130"/>
      <c r="ET51" s="130"/>
      <c r="EU51" s="130"/>
      <c r="EV51" s="130"/>
      <c r="EW51" s="130"/>
      <c r="EX51" s="130"/>
      <c r="EY51" s="130"/>
      <c r="EZ51" s="130"/>
      <c r="FA51" s="130"/>
      <c r="FB51" s="201"/>
      <c r="FC51" s="201"/>
      <c r="FD51" s="201"/>
      <c r="FE51" s="201"/>
      <c r="FF51" s="201"/>
      <c r="FG51" s="201"/>
      <c r="FH51" s="201"/>
      <c r="FI51" s="201"/>
      <c r="FJ51" s="201"/>
      <c r="FK51" s="201"/>
      <c r="FL51" s="201"/>
      <c r="FM51" s="201"/>
      <c r="FN51" s="201"/>
      <c r="FO51" s="201"/>
      <c r="FP51" s="201"/>
      <c r="FQ51" s="201"/>
      <c r="FR51" s="201"/>
      <c r="FS51" s="201"/>
      <c r="FT51" s="201"/>
      <c r="FU51" s="201"/>
      <c r="FV51" s="201"/>
      <c r="FW51" s="201"/>
      <c r="FX51" s="201"/>
      <c r="FY51" s="201"/>
      <c r="FZ51" s="201"/>
      <c r="GA51" s="201"/>
      <c r="GB51" s="201"/>
      <c r="GC51" s="201"/>
      <c r="GD51" s="201"/>
      <c r="GE51" s="201"/>
      <c r="GF51" s="201"/>
      <c r="GG51" s="201"/>
      <c r="GH51" s="201"/>
      <c r="GI51" s="201"/>
      <c r="GJ51" s="201"/>
      <c r="GK51" s="201"/>
      <c r="GL51" s="201"/>
      <c r="GM51" s="201"/>
      <c r="GN51" s="201"/>
      <c r="GO51" s="201"/>
      <c r="GP51" s="201"/>
      <c r="GQ51" s="201"/>
    </row>
    <row r="52" spans="1:204" s="68" customFormat="1" ht="14.45" customHeight="1" x14ac:dyDescent="0.25">
      <c r="A52" s="68" t="s">
        <v>692</v>
      </c>
      <c r="B52" s="82" t="s">
        <v>154</v>
      </c>
      <c r="C52" s="82" t="s">
        <v>172</v>
      </c>
      <c r="D52" s="82" t="s">
        <v>196</v>
      </c>
      <c r="E52" s="82" t="s">
        <v>309</v>
      </c>
      <c r="F52" s="82" t="s">
        <v>549</v>
      </c>
      <c r="G52" s="82" t="s">
        <v>137</v>
      </c>
      <c r="H52" s="82" t="s">
        <v>137</v>
      </c>
      <c r="I52" s="82" t="s">
        <v>66</v>
      </c>
      <c r="J52" s="82" t="s">
        <v>29</v>
      </c>
      <c r="K52" s="92" t="s">
        <v>137</v>
      </c>
      <c r="L52" s="92" t="s">
        <v>137</v>
      </c>
      <c r="M52" s="92" t="s">
        <v>137</v>
      </c>
      <c r="N52" s="92" t="s">
        <v>137</v>
      </c>
      <c r="O52" s="92" t="s">
        <v>137</v>
      </c>
      <c r="P52" s="92" t="s">
        <v>137</v>
      </c>
      <c r="Q52" s="82" t="s">
        <v>87</v>
      </c>
      <c r="R52" s="82" t="s">
        <v>714</v>
      </c>
      <c r="S52" s="82" t="s">
        <v>40</v>
      </c>
      <c r="T52" s="82" t="s">
        <v>2</v>
      </c>
      <c r="U52" s="83"/>
      <c r="V52" s="83">
        <v>0.05</v>
      </c>
      <c r="W52" s="83">
        <v>0.08</v>
      </c>
      <c r="X52" s="83">
        <v>0.15</v>
      </c>
      <c r="Y52" s="83">
        <v>0.2</v>
      </c>
      <c r="Z52" s="83">
        <v>0.25</v>
      </c>
      <c r="AA52" s="83">
        <v>0.37</v>
      </c>
      <c r="AB52" s="83">
        <v>0.42</v>
      </c>
      <c r="AC52" s="83">
        <v>0.57999999999999996</v>
      </c>
      <c r="AD52" s="83">
        <v>0.67</v>
      </c>
      <c r="AE52" s="83">
        <v>0.83</v>
      </c>
      <c r="AF52" s="83">
        <v>1</v>
      </c>
      <c r="AG52" s="82" t="s">
        <v>532</v>
      </c>
      <c r="AH52" s="82" t="s">
        <v>529</v>
      </c>
      <c r="AI52" s="88" t="s">
        <v>538</v>
      </c>
      <c r="AJ52" s="89" t="s">
        <v>538</v>
      </c>
      <c r="AK52" s="90">
        <v>46023</v>
      </c>
      <c r="AL52" s="90">
        <v>46387</v>
      </c>
      <c r="AM52" s="89"/>
      <c r="AN52" s="89"/>
      <c r="AO52" s="89"/>
      <c r="AP52" s="91" t="s">
        <v>539</v>
      </c>
      <c r="AQ52" s="90" cm="1">
        <f t="array" ref="AQ52">IFERROR(DATE(2026, _xlfn.AGGREGATE(15, 6, (COLUMN(BY52:CJ52)-COLUMN(BY52)+1)/(BY52:CJ52&lt;&gt;0), 1), 1),"N/A")</f>
        <v>46357</v>
      </c>
      <c r="AR52" s="90" cm="1">
        <f t="array" ref="AR52">IFERROR(EOMONTH(DATE(2026, _xlfn.AGGREGATE(14, 6, (COLUMN(BY52:CJ52)-COLUMN(BY52)+1)/(BY52:CJ52&lt;&gt;0), 1), 1), 0),"N/A")</f>
        <v>46387</v>
      </c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2" t="s">
        <v>731</v>
      </c>
      <c r="BF52" s="82" t="s">
        <v>1087</v>
      </c>
      <c r="BG52" s="82" t="str">
        <f t="shared" si="0"/>
        <v>000</v>
      </c>
      <c r="BH52" s="88">
        <v>531601</v>
      </c>
      <c r="BI52" s="92" t="s">
        <v>74</v>
      </c>
      <c r="BJ52" s="93">
        <v>0</v>
      </c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142"/>
      <c r="BW52" s="142">
        <v>400</v>
      </c>
      <c r="BX52" s="143">
        <f t="shared" si="5"/>
        <v>400</v>
      </c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142">
        <v>400</v>
      </c>
      <c r="CK52" s="142"/>
      <c r="CL52" s="142">
        <f t="shared" si="1"/>
        <v>0</v>
      </c>
      <c r="CM52" s="171">
        <v>0</v>
      </c>
      <c r="CN52" s="171">
        <v>0</v>
      </c>
      <c r="CO52" s="171">
        <v>0</v>
      </c>
      <c r="CP52" s="171">
        <v>0</v>
      </c>
      <c r="CQ52" s="171">
        <v>400</v>
      </c>
      <c r="CR52" s="171">
        <v>0</v>
      </c>
      <c r="CS52" s="171">
        <f t="shared" si="2"/>
        <v>0</v>
      </c>
      <c r="CT52" s="171">
        <f t="shared" si="3"/>
        <v>400</v>
      </c>
      <c r="CU52" s="171">
        <f t="shared" si="4"/>
        <v>0</v>
      </c>
      <c r="CV52" s="149"/>
      <c r="CW52" s="149"/>
      <c r="CX52" s="130"/>
      <c r="CY52" s="130"/>
      <c r="CZ52" s="130"/>
      <c r="DA52" s="130"/>
      <c r="DB52" s="130"/>
      <c r="DC52" s="130"/>
      <c r="DD52" s="130"/>
      <c r="DE52" s="130"/>
      <c r="DF52" s="130"/>
      <c r="DG52" s="130"/>
      <c r="DH52" s="130"/>
      <c r="DI52" s="130"/>
      <c r="DJ52" s="130"/>
      <c r="DK52" s="130"/>
      <c r="DL52" s="130"/>
      <c r="DM52" s="130"/>
      <c r="DN52" s="130"/>
      <c r="DO52" s="130"/>
      <c r="DP52" s="130"/>
      <c r="DQ52" s="130"/>
      <c r="DR52" s="130"/>
      <c r="DS52" s="130"/>
      <c r="DT52" s="130"/>
      <c r="DU52" s="130"/>
      <c r="DV52" s="130"/>
      <c r="DW52" s="130"/>
      <c r="DX52" s="130"/>
      <c r="DY52" s="130"/>
      <c r="DZ52" s="130"/>
      <c r="EA52" s="130"/>
      <c r="EB52" s="130"/>
      <c r="EC52" s="130"/>
      <c r="ED52" s="130"/>
      <c r="EE52" s="130"/>
      <c r="EF52" s="130"/>
      <c r="EG52" s="130"/>
      <c r="EH52" s="130"/>
      <c r="EI52" s="130"/>
      <c r="EJ52" s="130"/>
      <c r="EK52" s="130"/>
      <c r="EL52" s="130"/>
      <c r="EM52" s="130"/>
      <c r="EN52" s="130"/>
      <c r="EO52" s="130"/>
      <c r="EP52" s="130"/>
      <c r="EQ52" s="130"/>
      <c r="ER52" s="130"/>
      <c r="ES52" s="130"/>
      <c r="ET52" s="130"/>
      <c r="EU52" s="130"/>
      <c r="EV52" s="130"/>
      <c r="EW52" s="130"/>
      <c r="EX52" s="130"/>
      <c r="EY52" s="130"/>
      <c r="EZ52" s="130"/>
      <c r="FA52" s="130"/>
      <c r="FB52" s="201"/>
      <c r="FC52" s="201"/>
      <c r="FD52" s="201"/>
      <c r="FE52" s="201"/>
      <c r="FF52" s="201"/>
      <c r="FG52" s="201"/>
      <c r="FH52" s="201"/>
      <c r="FI52" s="201"/>
      <c r="FJ52" s="201"/>
      <c r="FK52" s="201"/>
      <c r="FL52" s="201"/>
      <c r="FM52" s="201"/>
      <c r="FN52" s="201"/>
      <c r="FO52" s="201"/>
      <c r="FP52" s="201"/>
      <c r="FQ52" s="201"/>
      <c r="FR52" s="201"/>
      <c r="FS52" s="201"/>
      <c r="FT52" s="201"/>
      <c r="FU52" s="201"/>
      <c r="FV52" s="201"/>
      <c r="FW52" s="201"/>
      <c r="FX52" s="201"/>
      <c r="FY52" s="201"/>
      <c r="FZ52" s="201"/>
      <c r="GA52" s="201"/>
      <c r="GB52" s="201"/>
      <c r="GC52" s="201"/>
      <c r="GD52" s="201"/>
      <c r="GE52" s="201"/>
      <c r="GF52" s="201"/>
      <c r="GG52" s="201"/>
      <c r="GH52" s="201"/>
      <c r="GI52" s="201"/>
      <c r="GJ52" s="201"/>
      <c r="GK52" s="201"/>
      <c r="GL52" s="201"/>
      <c r="GM52" s="201"/>
      <c r="GN52" s="201"/>
      <c r="GO52" s="201"/>
      <c r="GP52" s="201"/>
      <c r="GQ52" s="201"/>
    </row>
    <row r="53" spans="1:204" s="68" customFormat="1" ht="14.45" customHeight="1" x14ac:dyDescent="0.25">
      <c r="A53" s="68" t="s">
        <v>698</v>
      </c>
      <c r="B53" s="82" t="s">
        <v>154</v>
      </c>
      <c r="C53" s="82" t="s">
        <v>172</v>
      </c>
      <c r="D53" s="82" t="s">
        <v>196</v>
      </c>
      <c r="E53" s="82" t="s">
        <v>309</v>
      </c>
      <c r="F53" s="82" t="s">
        <v>549</v>
      </c>
      <c r="G53" s="82" t="s">
        <v>137</v>
      </c>
      <c r="H53" s="82" t="s">
        <v>137</v>
      </c>
      <c r="I53" s="82" t="s">
        <v>66</v>
      </c>
      <c r="J53" s="82" t="s">
        <v>29</v>
      </c>
      <c r="K53" s="92" t="s">
        <v>137</v>
      </c>
      <c r="L53" s="92" t="s">
        <v>137</v>
      </c>
      <c r="M53" s="92" t="s">
        <v>137</v>
      </c>
      <c r="N53" s="92" t="s">
        <v>137</v>
      </c>
      <c r="O53" s="92" t="s">
        <v>137</v>
      </c>
      <c r="P53" s="92" t="s">
        <v>137</v>
      </c>
      <c r="Q53" s="82" t="s">
        <v>87</v>
      </c>
      <c r="R53" s="82" t="s">
        <v>714</v>
      </c>
      <c r="S53" s="82" t="s">
        <v>40</v>
      </c>
      <c r="T53" s="82" t="s">
        <v>2</v>
      </c>
      <c r="U53" s="83"/>
      <c r="V53" s="83">
        <v>0.05</v>
      </c>
      <c r="W53" s="83">
        <v>0.08</v>
      </c>
      <c r="X53" s="83">
        <v>0.15</v>
      </c>
      <c r="Y53" s="83">
        <v>0.2</v>
      </c>
      <c r="Z53" s="83">
        <v>0.25</v>
      </c>
      <c r="AA53" s="83">
        <v>0.37</v>
      </c>
      <c r="AB53" s="83">
        <v>0.42</v>
      </c>
      <c r="AC53" s="83">
        <v>0.57999999999999996</v>
      </c>
      <c r="AD53" s="83">
        <v>0.67</v>
      </c>
      <c r="AE53" s="83">
        <v>0.83</v>
      </c>
      <c r="AF53" s="83">
        <v>1</v>
      </c>
      <c r="AG53" s="82" t="s">
        <v>532</v>
      </c>
      <c r="AH53" s="82" t="s">
        <v>529</v>
      </c>
      <c r="AI53" s="88" t="s">
        <v>538</v>
      </c>
      <c r="AJ53" s="89" t="s">
        <v>538</v>
      </c>
      <c r="AK53" s="90">
        <v>46023</v>
      </c>
      <c r="AL53" s="90">
        <v>46387</v>
      </c>
      <c r="AM53" s="89"/>
      <c r="AN53" s="89"/>
      <c r="AO53" s="89"/>
      <c r="AP53" s="91" t="s">
        <v>539</v>
      </c>
      <c r="AQ53" s="90" cm="1">
        <f t="array" ref="AQ53">IFERROR(DATE(2026, _xlfn.AGGREGATE(15, 6, (COLUMN(BY53:CJ53)-COLUMN(BY53)+1)/(BY53:CJ53&lt;&gt;0), 1), 1),"N/A")</f>
        <v>46143</v>
      </c>
      <c r="AR53" s="90" cm="1">
        <f t="array" ref="AR53">IFERROR(EOMONTH(DATE(2026, _xlfn.AGGREGATE(14, 6, (COLUMN(BY53:CJ53)-COLUMN(BY53)+1)/(BY53:CJ53&lt;&gt;0), 1), 1), 0),"N/A")</f>
        <v>46173</v>
      </c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2" t="s">
        <v>782</v>
      </c>
      <c r="BF53" s="82" t="s">
        <v>971</v>
      </c>
      <c r="BG53" s="82" t="str">
        <f t="shared" si="0"/>
        <v>000</v>
      </c>
      <c r="BH53" s="88">
        <v>530602</v>
      </c>
      <c r="BI53" s="92" t="s">
        <v>74</v>
      </c>
      <c r="BJ53" s="93">
        <v>6600</v>
      </c>
      <c r="BK53" s="74">
        <v>0</v>
      </c>
      <c r="BL53" s="74">
        <v>0</v>
      </c>
      <c r="BM53" s="74">
        <v>0</v>
      </c>
      <c r="BN53" s="74">
        <v>0</v>
      </c>
      <c r="BO53" s="94">
        <v>6600</v>
      </c>
      <c r="BP53" s="74">
        <v>0</v>
      </c>
      <c r="BQ53" s="74">
        <v>0</v>
      </c>
      <c r="BR53" s="74">
        <v>0</v>
      </c>
      <c r="BS53" s="74">
        <v>0</v>
      </c>
      <c r="BT53" s="74">
        <v>0</v>
      </c>
      <c r="BU53" s="74">
        <v>0</v>
      </c>
      <c r="BV53" s="143">
        <v>0</v>
      </c>
      <c r="BW53" s="143"/>
      <c r="BX53" s="143">
        <f t="shared" si="5"/>
        <v>6600</v>
      </c>
      <c r="BY53" s="74">
        <v>0</v>
      </c>
      <c r="BZ53" s="74">
        <v>0</v>
      </c>
      <c r="CA53" s="74">
        <v>0</v>
      </c>
      <c r="CB53" s="74">
        <v>0</v>
      </c>
      <c r="CC53" s="94">
        <v>6600</v>
      </c>
      <c r="CD53" s="74">
        <v>0</v>
      </c>
      <c r="CE53" s="74">
        <v>0</v>
      </c>
      <c r="CF53" s="74">
        <v>0</v>
      </c>
      <c r="CG53" s="74">
        <v>0</v>
      </c>
      <c r="CH53" s="74">
        <v>0</v>
      </c>
      <c r="CI53" s="74">
        <v>0</v>
      </c>
      <c r="CJ53" s="143">
        <v>0</v>
      </c>
      <c r="CK53" s="143"/>
      <c r="CL53" s="142">
        <f t="shared" si="1"/>
        <v>0</v>
      </c>
      <c r="CM53" s="171">
        <v>0</v>
      </c>
      <c r="CN53" s="171">
        <v>0</v>
      </c>
      <c r="CO53" s="171">
        <v>0</v>
      </c>
      <c r="CP53" s="171">
        <v>0</v>
      </c>
      <c r="CQ53" s="171">
        <v>0</v>
      </c>
      <c r="CR53" s="171">
        <v>0</v>
      </c>
      <c r="CS53" s="171">
        <f t="shared" si="2"/>
        <v>0</v>
      </c>
      <c r="CT53" s="171">
        <f t="shared" si="3"/>
        <v>0</v>
      </c>
      <c r="CU53" s="171">
        <f t="shared" si="4"/>
        <v>0</v>
      </c>
      <c r="CV53" s="150">
        <v>6600</v>
      </c>
      <c r="CW53" s="150">
        <v>6600</v>
      </c>
      <c r="CX53" s="130">
        <v>2</v>
      </c>
      <c r="CY53" s="130">
        <v>2</v>
      </c>
      <c r="CZ53" s="130"/>
      <c r="DA53" s="130"/>
      <c r="DB53" s="130"/>
      <c r="DC53" s="130"/>
      <c r="DD53" s="130"/>
      <c r="DE53" s="131">
        <v>46120</v>
      </c>
      <c r="DF53" s="131">
        <v>46120</v>
      </c>
      <c r="DG53" s="132">
        <v>1</v>
      </c>
      <c r="DH53" s="131">
        <v>46121</v>
      </c>
      <c r="DI53" s="131">
        <v>46121</v>
      </c>
      <c r="DJ53" s="131">
        <v>46121</v>
      </c>
      <c r="DK53" s="131">
        <v>46122</v>
      </c>
      <c r="DL53" s="131">
        <v>46125</v>
      </c>
      <c r="DM53" s="131">
        <v>46126</v>
      </c>
      <c r="DN53" s="131">
        <v>46127</v>
      </c>
      <c r="DO53" s="131">
        <v>46128</v>
      </c>
      <c r="DP53" s="131">
        <v>46129</v>
      </c>
      <c r="DQ53" s="131">
        <v>46129</v>
      </c>
      <c r="DR53" s="132">
        <v>1</v>
      </c>
      <c r="DS53" s="131">
        <v>46132</v>
      </c>
      <c r="DT53" s="131">
        <v>46133</v>
      </c>
      <c r="DU53" s="131">
        <v>46134</v>
      </c>
      <c r="DV53" s="131">
        <v>46135</v>
      </c>
      <c r="DW53" s="131">
        <v>46135</v>
      </c>
      <c r="DX53" s="131">
        <v>46136</v>
      </c>
      <c r="DY53" s="131">
        <v>46136</v>
      </c>
      <c r="DZ53" s="132"/>
      <c r="EA53" s="132"/>
      <c r="EB53" s="132"/>
      <c r="EC53" s="132"/>
      <c r="ED53" s="131">
        <v>46139</v>
      </c>
      <c r="EE53" s="131">
        <v>46140</v>
      </c>
      <c r="EF53" s="131">
        <v>46140</v>
      </c>
      <c r="EG53" s="131"/>
      <c r="EH53" s="131"/>
      <c r="EI53" s="131"/>
      <c r="EJ53" s="131">
        <v>46140</v>
      </c>
      <c r="EK53" s="131">
        <v>46146</v>
      </c>
      <c r="EL53" s="132">
        <v>18</v>
      </c>
      <c r="EM53" s="134"/>
      <c r="EN53" s="134"/>
      <c r="EO53" s="134"/>
      <c r="EP53" s="134"/>
      <c r="EQ53" s="134"/>
      <c r="ER53" s="134"/>
      <c r="ES53" s="134"/>
      <c r="ET53" s="134"/>
      <c r="EU53" s="134"/>
      <c r="EV53" s="134"/>
      <c r="EW53" s="133">
        <v>46146</v>
      </c>
      <c r="EX53" s="134"/>
      <c r="EY53" s="135" t="s">
        <v>854</v>
      </c>
      <c r="EZ53" s="132" t="s">
        <v>883</v>
      </c>
      <c r="FA53" s="130"/>
      <c r="FB53" s="203">
        <v>46120</v>
      </c>
      <c r="FC53" s="203">
        <v>46120</v>
      </c>
      <c r="FD53" s="203">
        <v>46121</v>
      </c>
      <c r="FE53" s="203">
        <v>46121</v>
      </c>
      <c r="FF53" s="203">
        <v>46121</v>
      </c>
      <c r="FG53" s="203">
        <v>46122</v>
      </c>
      <c r="FH53" s="203">
        <v>46125</v>
      </c>
      <c r="FI53" s="203">
        <v>46126</v>
      </c>
      <c r="FJ53" s="203">
        <v>46127</v>
      </c>
      <c r="FK53" s="203">
        <v>46128</v>
      </c>
      <c r="FL53" s="203">
        <v>46129</v>
      </c>
      <c r="FM53" s="203">
        <v>46129</v>
      </c>
      <c r="FN53" s="203">
        <v>46132</v>
      </c>
      <c r="FO53" s="203">
        <v>46133</v>
      </c>
      <c r="FP53" s="203">
        <v>46134</v>
      </c>
      <c r="FQ53" s="203">
        <v>46135</v>
      </c>
      <c r="FR53" s="203">
        <v>46135</v>
      </c>
      <c r="FS53" s="203">
        <v>46136</v>
      </c>
      <c r="FT53" s="203">
        <v>46136</v>
      </c>
      <c r="FU53" s="203"/>
      <c r="FV53" s="203"/>
      <c r="FW53" s="203"/>
      <c r="FX53" s="203"/>
      <c r="FY53" s="203">
        <v>46139</v>
      </c>
      <c r="FZ53" s="203">
        <v>46140</v>
      </c>
      <c r="GA53" s="203">
        <v>46140</v>
      </c>
      <c r="GB53" s="203"/>
      <c r="GC53" s="203"/>
      <c r="GD53" s="203"/>
      <c r="GE53" s="203">
        <v>46140</v>
      </c>
      <c r="GF53" s="203">
        <v>46146</v>
      </c>
      <c r="GG53" s="203">
        <v>18</v>
      </c>
      <c r="GH53" s="203"/>
      <c r="GI53" s="203"/>
      <c r="GJ53" s="203"/>
      <c r="GK53" s="203"/>
      <c r="GL53" s="203"/>
      <c r="GM53" s="203"/>
      <c r="GN53" s="203"/>
      <c r="GO53" s="203"/>
      <c r="GP53" s="203"/>
      <c r="GQ53" s="203">
        <v>46146</v>
      </c>
      <c r="GR53" s="187"/>
      <c r="GS53" s="187" t="s">
        <v>1181</v>
      </c>
      <c r="GT53" s="187" t="s">
        <v>854</v>
      </c>
      <c r="GU53" s="187" t="s">
        <v>883</v>
      </c>
      <c r="GV53" s="187"/>
    </row>
    <row r="54" spans="1:204" s="68" customFormat="1" ht="14.45" customHeight="1" x14ac:dyDescent="0.25">
      <c r="A54" s="68" t="s">
        <v>698</v>
      </c>
      <c r="B54" s="82" t="s">
        <v>154</v>
      </c>
      <c r="C54" s="82" t="s">
        <v>172</v>
      </c>
      <c r="D54" s="82" t="s">
        <v>196</v>
      </c>
      <c r="E54" s="82" t="s">
        <v>309</v>
      </c>
      <c r="F54" s="82" t="s">
        <v>549</v>
      </c>
      <c r="G54" s="82" t="s">
        <v>137</v>
      </c>
      <c r="H54" s="82" t="s">
        <v>137</v>
      </c>
      <c r="I54" s="82" t="s">
        <v>66</v>
      </c>
      <c r="J54" s="82" t="s">
        <v>29</v>
      </c>
      <c r="K54" s="92" t="s">
        <v>137</v>
      </c>
      <c r="L54" s="92" t="s">
        <v>137</v>
      </c>
      <c r="M54" s="92" t="s">
        <v>137</v>
      </c>
      <c r="N54" s="92" t="s">
        <v>137</v>
      </c>
      <c r="O54" s="92" t="s">
        <v>137</v>
      </c>
      <c r="P54" s="92" t="s">
        <v>137</v>
      </c>
      <c r="Q54" s="82" t="s">
        <v>87</v>
      </c>
      <c r="R54" s="82" t="s">
        <v>714</v>
      </c>
      <c r="S54" s="82" t="s">
        <v>40</v>
      </c>
      <c r="T54" s="82" t="s">
        <v>2</v>
      </c>
      <c r="U54" s="83"/>
      <c r="V54" s="83">
        <v>0.05</v>
      </c>
      <c r="W54" s="83">
        <v>0.08</v>
      </c>
      <c r="X54" s="83">
        <v>0.15</v>
      </c>
      <c r="Y54" s="83">
        <v>0.2</v>
      </c>
      <c r="Z54" s="83">
        <v>0.25</v>
      </c>
      <c r="AA54" s="83">
        <v>0.37</v>
      </c>
      <c r="AB54" s="83">
        <v>0.42</v>
      </c>
      <c r="AC54" s="83">
        <v>0.57999999999999996</v>
      </c>
      <c r="AD54" s="83">
        <v>0.67</v>
      </c>
      <c r="AE54" s="83">
        <v>0.83</v>
      </c>
      <c r="AF54" s="83">
        <v>1</v>
      </c>
      <c r="AG54" s="82" t="s">
        <v>532</v>
      </c>
      <c r="AH54" s="82" t="s">
        <v>529</v>
      </c>
      <c r="AI54" s="88" t="s">
        <v>538</v>
      </c>
      <c r="AJ54" s="89" t="s">
        <v>538</v>
      </c>
      <c r="AK54" s="90">
        <v>46023</v>
      </c>
      <c r="AL54" s="90">
        <v>46387</v>
      </c>
      <c r="AM54" s="89"/>
      <c r="AN54" s="89"/>
      <c r="AO54" s="89"/>
      <c r="AP54" s="91" t="s">
        <v>539</v>
      </c>
      <c r="AQ54" s="90" cm="1">
        <f t="array" ref="AQ54">IFERROR(DATE(2026, _xlfn.AGGREGATE(15, 6, (COLUMN(BY54:CJ54)-COLUMN(BY54)+1)/(BY54:CJ54&lt;&gt;0), 1), 1),"N/A")</f>
        <v>46204</v>
      </c>
      <c r="AR54" s="90" cm="1">
        <f t="array" ref="AR54">IFERROR(EOMONTH(DATE(2026, _xlfn.AGGREGATE(14, 6, (COLUMN(BY54:CJ54)-COLUMN(BY54)+1)/(BY54:CJ54&lt;&gt;0), 1), 1), 0),"N/A")</f>
        <v>46234</v>
      </c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2" t="s">
        <v>713</v>
      </c>
      <c r="BF54" s="82" t="s">
        <v>1001</v>
      </c>
      <c r="BG54" s="82" t="str">
        <f t="shared" si="0"/>
        <v>000</v>
      </c>
      <c r="BH54" s="88">
        <v>530601</v>
      </c>
      <c r="BI54" s="92" t="s">
        <v>74</v>
      </c>
      <c r="BJ54" s="93">
        <v>14400</v>
      </c>
      <c r="BK54" s="94"/>
      <c r="BL54" s="94"/>
      <c r="BM54" s="94"/>
      <c r="BN54" s="72"/>
      <c r="BO54" s="94"/>
      <c r="BP54" s="94"/>
      <c r="BQ54" s="94">
        <v>14400</v>
      </c>
      <c r="BR54" s="94"/>
      <c r="BS54" s="94"/>
      <c r="BT54" s="94"/>
      <c r="BU54" s="94"/>
      <c r="BV54" s="142"/>
      <c r="BW54" s="142"/>
      <c r="BX54" s="143">
        <f t="shared" si="5"/>
        <v>14400</v>
      </c>
      <c r="BY54" s="94"/>
      <c r="BZ54" s="94"/>
      <c r="CA54" s="94"/>
      <c r="CB54" s="72"/>
      <c r="CC54" s="94"/>
      <c r="CD54" s="94"/>
      <c r="CE54" s="94">
        <v>14400</v>
      </c>
      <c r="CF54" s="94"/>
      <c r="CG54" s="94"/>
      <c r="CH54" s="94"/>
      <c r="CI54" s="94"/>
      <c r="CJ54" s="142"/>
      <c r="CK54" s="142"/>
      <c r="CL54" s="142">
        <f t="shared" si="1"/>
        <v>0</v>
      </c>
      <c r="CM54" s="171">
        <v>0</v>
      </c>
      <c r="CN54" s="171">
        <v>0</v>
      </c>
      <c r="CO54" s="171">
        <v>0</v>
      </c>
      <c r="CP54" s="171">
        <v>0</v>
      </c>
      <c r="CQ54" s="171">
        <v>0</v>
      </c>
      <c r="CR54" s="171">
        <v>0</v>
      </c>
      <c r="CS54" s="171">
        <f t="shared" si="2"/>
        <v>0</v>
      </c>
      <c r="CT54" s="171">
        <f t="shared" si="3"/>
        <v>0</v>
      </c>
      <c r="CU54" s="171">
        <f t="shared" si="4"/>
        <v>0</v>
      </c>
      <c r="CV54" s="152">
        <v>14400</v>
      </c>
      <c r="CW54" s="152">
        <v>14400</v>
      </c>
      <c r="CX54" s="130">
        <v>1</v>
      </c>
      <c r="CY54" s="130">
        <v>1</v>
      </c>
      <c r="CZ54" s="130" t="s">
        <v>321</v>
      </c>
      <c r="DA54" s="130" t="s">
        <v>880</v>
      </c>
      <c r="DB54" s="130" t="s">
        <v>850</v>
      </c>
      <c r="DC54" s="130" t="s">
        <v>851</v>
      </c>
      <c r="DD54" s="130"/>
      <c r="DE54" s="131">
        <v>46090</v>
      </c>
      <c r="DF54" s="131">
        <v>46090</v>
      </c>
      <c r="DG54" s="132">
        <v>1</v>
      </c>
      <c r="DH54" s="131">
        <v>46091</v>
      </c>
      <c r="DI54" s="131">
        <v>46091</v>
      </c>
      <c r="DJ54" s="131">
        <v>46091</v>
      </c>
      <c r="DK54" s="131">
        <v>46092</v>
      </c>
      <c r="DL54" s="131">
        <v>46093</v>
      </c>
      <c r="DM54" s="131">
        <v>46094</v>
      </c>
      <c r="DN54" s="131">
        <v>46097</v>
      </c>
      <c r="DO54" s="131">
        <v>46098</v>
      </c>
      <c r="DP54" s="131">
        <v>46099</v>
      </c>
      <c r="DQ54" s="131">
        <v>46099</v>
      </c>
      <c r="DR54" s="132">
        <v>1</v>
      </c>
      <c r="DS54" s="131">
        <v>46100</v>
      </c>
      <c r="DT54" s="131">
        <v>46101</v>
      </c>
      <c r="DU54" s="131">
        <v>46104</v>
      </c>
      <c r="DV54" s="131">
        <v>46105</v>
      </c>
      <c r="DW54" s="131">
        <v>46105</v>
      </c>
      <c r="DX54" s="131">
        <v>46106</v>
      </c>
      <c r="DY54" s="131">
        <v>46106</v>
      </c>
      <c r="DZ54" s="132"/>
      <c r="EA54" s="132"/>
      <c r="EB54" s="132"/>
      <c r="EC54" s="132"/>
      <c r="ED54" s="131">
        <v>46107</v>
      </c>
      <c r="EE54" s="131">
        <v>46108</v>
      </c>
      <c r="EF54" s="131">
        <v>46108</v>
      </c>
      <c r="EG54" s="131">
        <v>46111</v>
      </c>
      <c r="EH54" s="131">
        <v>46112</v>
      </c>
      <c r="EI54" s="131">
        <v>46113</v>
      </c>
      <c r="EJ54" s="131">
        <v>46114</v>
      </c>
      <c r="EK54" s="131">
        <v>46114</v>
      </c>
      <c r="EL54" s="132">
        <v>18</v>
      </c>
      <c r="EM54" s="131">
        <v>46118</v>
      </c>
      <c r="EN54" s="131">
        <v>46120</v>
      </c>
      <c r="EO54" s="133">
        <v>46122</v>
      </c>
      <c r="EP54" s="133">
        <v>46125</v>
      </c>
      <c r="EQ54" s="133">
        <v>46126</v>
      </c>
      <c r="ER54" s="133">
        <v>46128</v>
      </c>
      <c r="ES54" s="133">
        <v>46129</v>
      </c>
      <c r="ET54" s="133">
        <v>46129</v>
      </c>
      <c r="EU54" s="133">
        <v>46134</v>
      </c>
      <c r="EV54" s="134">
        <v>1</v>
      </c>
      <c r="EW54" s="133">
        <v>46139</v>
      </c>
      <c r="EX54" s="133"/>
      <c r="EY54" s="154" t="s">
        <v>880</v>
      </c>
      <c r="EZ54" s="132" t="s">
        <v>881</v>
      </c>
      <c r="FA54" s="136"/>
      <c r="FB54" s="203">
        <v>46090</v>
      </c>
      <c r="FC54" s="203">
        <v>46090</v>
      </c>
      <c r="FD54" s="203">
        <v>46091</v>
      </c>
      <c r="FE54" s="203">
        <v>46091</v>
      </c>
      <c r="FF54" s="203">
        <v>46091</v>
      </c>
      <c r="FG54" s="203">
        <v>46092</v>
      </c>
      <c r="FH54" s="203">
        <v>46093</v>
      </c>
      <c r="FI54" s="203">
        <v>46094</v>
      </c>
      <c r="FJ54" s="203">
        <v>46097</v>
      </c>
      <c r="FK54" s="203">
        <v>46098</v>
      </c>
      <c r="FL54" s="203">
        <v>46099</v>
      </c>
      <c r="FM54" s="203">
        <v>46099</v>
      </c>
      <c r="FN54" s="203">
        <v>46100</v>
      </c>
      <c r="FO54" s="203">
        <v>46101</v>
      </c>
      <c r="FP54" s="203">
        <v>46104</v>
      </c>
      <c r="FQ54" s="203">
        <v>46105</v>
      </c>
      <c r="FR54" s="203">
        <v>46105</v>
      </c>
      <c r="FS54" s="203">
        <v>46106</v>
      </c>
      <c r="FT54" s="203">
        <v>46106</v>
      </c>
      <c r="FU54" s="203"/>
      <c r="FV54" s="203"/>
      <c r="FW54" s="203"/>
      <c r="FX54" s="203"/>
      <c r="FY54" s="203">
        <v>46107</v>
      </c>
      <c r="FZ54" s="203">
        <v>46108</v>
      </c>
      <c r="GA54" s="203">
        <v>46108</v>
      </c>
      <c r="GB54" s="203">
        <v>46111</v>
      </c>
      <c r="GC54" s="203">
        <v>46112</v>
      </c>
      <c r="GD54" s="203">
        <v>46113</v>
      </c>
      <c r="GE54" s="203">
        <v>46114</v>
      </c>
      <c r="GF54" s="203">
        <v>46114</v>
      </c>
      <c r="GG54" s="203">
        <v>18</v>
      </c>
      <c r="GH54" s="203">
        <v>46118</v>
      </c>
      <c r="GI54" s="203">
        <v>46120</v>
      </c>
      <c r="GJ54" s="203">
        <v>46122</v>
      </c>
      <c r="GK54" s="203">
        <v>46125</v>
      </c>
      <c r="GL54" s="203">
        <v>46126</v>
      </c>
      <c r="GM54" s="203">
        <v>46128</v>
      </c>
      <c r="GN54" s="203">
        <v>46129</v>
      </c>
      <c r="GO54" s="203">
        <v>46129</v>
      </c>
      <c r="GP54" s="203">
        <v>46134</v>
      </c>
      <c r="GQ54" s="203">
        <v>46139</v>
      </c>
      <c r="GR54" s="187"/>
      <c r="GS54" s="187" t="s">
        <v>1180</v>
      </c>
      <c r="GT54" s="187" t="s">
        <v>880</v>
      </c>
      <c r="GU54" s="187" t="s">
        <v>1163</v>
      </c>
      <c r="GV54" s="187" t="s">
        <v>1162</v>
      </c>
    </row>
    <row r="55" spans="1:204" s="68" customFormat="1" ht="14.45" customHeight="1" x14ac:dyDescent="0.25">
      <c r="A55" s="68" t="s">
        <v>699</v>
      </c>
      <c r="B55" s="82" t="s">
        <v>154</v>
      </c>
      <c r="C55" s="82" t="s">
        <v>172</v>
      </c>
      <c r="D55" s="95" t="s">
        <v>196</v>
      </c>
      <c r="E55" s="82" t="s">
        <v>309</v>
      </c>
      <c r="F55" s="82" t="s">
        <v>549</v>
      </c>
      <c r="G55" s="82" t="s">
        <v>137</v>
      </c>
      <c r="H55" s="82" t="s">
        <v>137</v>
      </c>
      <c r="I55" s="82" t="s">
        <v>66</v>
      </c>
      <c r="J55" s="82" t="s">
        <v>531</v>
      </c>
      <c r="K55" s="92" t="s">
        <v>137</v>
      </c>
      <c r="L55" s="92" t="s">
        <v>137</v>
      </c>
      <c r="M55" s="92" t="s">
        <v>137</v>
      </c>
      <c r="N55" s="92" t="s">
        <v>137</v>
      </c>
      <c r="O55" s="92" t="s">
        <v>137</v>
      </c>
      <c r="P55" s="92" t="s">
        <v>137</v>
      </c>
      <c r="Q55" s="82" t="s">
        <v>552</v>
      </c>
      <c r="R55" s="82" t="s">
        <v>715</v>
      </c>
      <c r="S55" s="82" t="s">
        <v>555</v>
      </c>
      <c r="T55" s="82" t="s">
        <v>320</v>
      </c>
      <c r="U55" s="83">
        <v>0.95</v>
      </c>
      <c r="V55" s="83">
        <v>0.95</v>
      </c>
      <c r="W55" s="83">
        <v>0.95</v>
      </c>
      <c r="X55" s="83">
        <v>0.95</v>
      </c>
      <c r="Y55" s="83">
        <v>0.95</v>
      </c>
      <c r="Z55" s="83">
        <v>0.95</v>
      </c>
      <c r="AA55" s="83">
        <v>0.95</v>
      </c>
      <c r="AB55" s="83">
        <v>0.95</v>
      </c>
      <c r="AC55" s="83">
        <v>0.95</v>
      </c>
      <c r="AD55" s="83">
        <v>0.95</v>
      </c>
      <c r="AE55" s="83">
        <v>0.95</v>
      </c>
      <c r="AF55" s="83">
        <v>0.95</v>
      </c>
      <c r="AG55" s="82" t="s">
        <v>533</v>
      </c>
      <c r="AH55" s="82" t="s">
        <v>529</v>
      </c>
      <c r="AI55" s="88" t="s">
        <v>538</v>
      </c>
      <c r="AJ55" s="89" t="s">
        <v>538</v>
      </c>
      <c r="AK55" s="90">
        <v>46023</v>
      </c>
      <c r="AL55" s="90">
        <v>46387</v>
      </c>
      <c r="AM55" s="89"/>
      <c r="AN55" s="89"/>
      <c r="AO55" s="89"/>
      <c r="AP55" s="91" t="s">
        <v>540</v>
      </c>
      <c r="AQ55" s="90" t="str" cm="1">
        <f t="array" ref="AQ55">IFERROR(DATE(2026, _xlfn.AGGREGATE(15, 6, (COLUMN(BY55:CJ55)-COLUMN(BY55)+1)/(BY55:CJ55&lt;&gt;0), 1), 1),"N/A")</f>
        <v>N/A</v>
      </c>
      <c r="AR55" s="90" t="str" cm="1">
        <f t="array" ref="AR55">IFERROR(EOMONTH(DATE(2026, _xlfn.AGGREGATE(14, 6, (COLUMN(BY55:CJ55)-COLUMN(BY55)+1)/(BY55:CJ55&lt;&gt;0), 1), 1), 0),"N/A")</f>
        <v>N/A</v>
      </c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2" t="s">
        <v>786</v>
      </c>
      <c r="BF55" s="82" t="s">
        <v>1040</v>
      </c>
      <c r="BG55" s="82" t="str">
        <f t="shared" si="0"/>
        <v>000</v>
      </c>
      <c r="BH55" s="88">
        <v>630601</v>
      </c>
      <c r="BI55" s="92" t="s">
        <v>74</v>
      </c>
      <c r="BJ55" s="93">
        <f>130000-12500</f>
        <v>117500</v>
      </c>
      <c r="BK55" s="74"/>
      <c r="BL55" s="74"/>
      <c r="BM55" s="74"/>
      <c r="BN55" s="74"/>
      <c r="BO55" s="74"/>
      <c r="BP55" s="94"/>
      <c r="BQ55" s="74">
        <v>117500</v>
      </c>
      <c r="BR55" s="74"/>
      <c r="BS55" s="74"/>
      <c r="BT55" s="74"/>
      <c r="BU55" s="74"/>
      <c r="BV55" s="143"/>
      <c r="BW55" s="143">
        <v>-117500</v>
      </c>
      <c r="BX55" s="143">
        <f t="shared" si="5"/>
        <v>0</v>
      </c>
      <c r="BY55" s="74"/>
      <c r="BZ55" s="74"/>
      <c r="CA55" s="74"/>
      <c r="CB55" s="74"/>
      <c r="CC55" s="74"/>
      <c r="CD55" s="94"/>
      <c r="CE55" s="74"/>
      <c r="CF55" s="74"/>
      <c r="CG55" s="74"/>
      <c r="CH55" s="74"/>
      <c r="CI55" s="74"/>
      <c r="CJ55" s="143"/>
      <c r="CK55" s="143"/>
      <c r="CL55" s="142">
        <f t="shared" si="1"/>
        <v>0</v>
      </c>
      <c r="CM55" s="171">
        <v>0</v>
      </c>
      <c r="CN55" s="171">
        <v>0</v>
      </c>
      <c r="CO55" s="171">
        <v>0</v>
      </c>
      <c r="CP55" s="171">
        <v>0</v>
      </c>
      <c r="CQ55" s="171">
        <v>0</v>
      </c>
      <c r="CR55" s="171">
        <v>0</v>
      </c>
      <c r="CS55" s="171">
        <f t="shared" si="2"/>
        <v>0</v>
      </c>
      <c r="CT55" s="171">
        <f t="shared" si="3"/>
        <v>0</v>
      </c>
      <c r="CU55" s="171">
        <f t="shared" si="4"/>
        <v>0</v>
      </c>
      <c r="CV55" s="152">
        <v>117500</v>
      </c>
      <c r="CW55" s="149">
        <v>0</v>
      </c>
      <c r="CX55" s="130">
        <v>2</v>
      </c>
      <c r="CY55" s="130">
        <v>0</v>
      </c>
      <c r="CZ55" s="130" t="s">
        <v>321</v>
      </c>
      <c r="DA55" s="130" t="s">
        <v>863</v>
      </c>
      <c r="DB55" s="130" t="s">
        <v>850</v>
      </c>
      <c r="DC55" s="130" t="s">
        <v>851</v>
      </c>
      <c r="DD55" s="130"/>
      <c r="DE55" s="131">
        <v>46118</v>
      </c>
      <c r="DF55" s="131">
        <v>46118</v>
      </c>
      <c r="DG55" s="132">
        <v>1</v>
      </c>
      <c r="DH55" s="131">
        <v>46119</v>
      </c>
      <c r="DI55" s="131">
        <v>46119</v>
      </c>
      <c r="DJ55" s="131">
        <v>46119</v>
      </c>
      <c r="DK55" s="131">
        <v>46120</v>
      </c>
      <c r="DL55" s="131">
        <v>46121</v>
      </c>
      <c r="DM55" s="131">
        <v>46122</v>
      </c>
      <c r="DN55" s="131">
        <v>46125</v>
      </c>
      <c r="DO55" s="131">
        <v>46126</v>
      </c>
      <c r="DP55" s="131">
        <v>46127</v>
      </c>
      <c r="DQ55" s="131">
        <v>46127</v>
      </c>
      <c r="DR55" s="132">
        <v>1</v>
      </c>
      <c r="DS55" s="131">
        <v>46128</v>
      </c>
      <c r="DT55" s="131">
        <v>46129</v>
      </c>
      <c r="DU55" s="131">
        <v>46132</v>
      </c>
      <c r="DV55" s="131">
        <v>46133</v>
      </c>
      <c r="DW55" s="131">
        <v>46133</v>
      </c>
      <c r="DX55" s="131">
        <v>46134</v>
      </c>
      <c r="DY55" s="131">
        <v>46134</v>
      </c>
      <c r="DZ55" s="132"/>
      <c r="EA55" s="132"/>
      <c r="EB55" s="132"/>
      <c r="EC55" s="132"/>
      <c r="ED55" s="131">
        <v>46135</v>
      </c>
      <c r="EE55" s="131">
        <v>46136</v>
      </c>
      <c r="EF55" s="131">
        <v>46136</v>
      </c>
      <c r="EG55" s="131">
        <v>46139</v>
      </c>
      <c r="EH55" s="131">
        <v>46140</v>
      </c>
      <c r="EI55" s="131">
        <v>46141</v>
      </c>
      <c r="EJ55" s="131">
        <v>46142</v>
      </c>
      <c r="EK55" s="131">
        <v>46142</v>
      </c>
      <c r="EL55" s="132">
        <v>18</v>
      </c>
      <c r="EM55" s="133">
        <v>46148</v>
      </c>
      <c r="EN55" s="131">
        <v>46150</v>
      </c>
      <c r="EO55" s="133">
        <v>46156</v>
      </c>
      <c r="EP55" s="133">
        <v>46157</v>
      </c>
      <c r="EQ55" s="133">
        <v>46160</v>
      </c>
      <c r="ER55" s="133">
        <v>46162</v>
      </c>
      <c r="ES55" s="133">
        <v>46163</v>
      </c>
      <c r="ET55" s="133">
        <v>46163</v>
      </c>
      <c r="EU55" s="133">
        <v>46168</v>
      </c>
      <c r="EV55" s="134">
        <v>2</v>
      </c>
      <c r="EW55" s="133">
        <v>46171</v>
      </c>
      <c r="EX55" s="133"/>
      <c r="EY55" s="154" t="s">
        <v>863</v>
      </c>
      <c r="EZ55" s="132" t="s">
        <v>899</v>
      </c>
      <c r="FA55" s="130"/>
      <c r="FB55" s="202" t="e">
        <v>#NUM!</v>
      </c>
      <c r="FC55" s="202" t="e">
        <v>#NUM!</v>
      </c>
      <c r="FD55" s="202" t="e">
        <v>#NUM!</v>
      </c>
      <c r="FE55" s="202" t="e">
        <v>#NUM!</v>
      </c>
      <c r="FF55" s="202" t="e">
        <v>#NUM!</v>
      </c>
      <c r="FG55" s="202" t="e">
        <v>#NUM!</v>
      </c>
      <c r="FH55" s="202" t="e">
        <v>#NUM!</v>
      </c>
      <c r="FI55" s="202" t="e">
        <v>#NUM!</v>
      </c>
      <c r="FJ55" s="202" t="e">
        <v>#NUM!</v>
      </c>
      <c r="FK55" s="202" t="e">
        <v>#NUM!</v>
      </c>
      <c r="FL55" s="202" t="e">
        <v>#NUM!</v>
      </c>
      <c r="FM55" s="202" t="e">
        <v>#NUM!</v>
      </c>
      <c r="FN55" s="202" t="e">
        <v>#NUM!</v>
      </c>
      <c r="FO55" s="202" t="e">
        <v>#NUM!</v>
      </c>
      <c r="FP55" s="202" t="e">
        <v>#NUM!</v>
      </c>
      <c r="FQ55" s="202" t="e">
        <v>#NUM!</v>
      </c>
      <c r="FR55" s="202" t="e">
        <v>#NUM!</v>
      </c>
      <c r="FS55" s="202" t="e">
        <v>#NUM!</v>
      </c>
      <c r="FT55" s="202" t="e">
        <v>#NUM!</v>
      </c>
      <c r="FU55" s="202"/>
      <c r="FV55" s="202"/>
      <c r="FW55" s="202"/>
      <c r="FX55" s="202"/>
      <c r="FY55" s="202" t="e">
        <v>#NUM!</v>
      </c>
      <c r="FZ55" s="202" t="e">
        <v>#NUM!</v>
      </c>
      <c r="GA55" s="202" t="e">
        <v>#NUM!</v>
      </c>
      <c r="GB55" s="202" t="e">
        <v>#NUM!</v>
      </c>
      <c r="GC55" s="202" t="e">
        <v>#NUM!</v>
      </c>
      <c r="GD55" s="202" t="e">
        <v>#NUM!</v>
      </c>
      <c r="GE55" s="202" t="e">
        <v>#NUM!</v>
      </c>
      <c r="GF55" s="202"/>
      <c r="GG55" s="202">
        <v>18</v>
      </c>
      <c r="GH55" s="202">
        <v>5</v>
      </c>
      <c r="GI55" s="202">
        <v>9</v>
      </c>
      <c r="GJ55" s="202">
        <v>13</v>
      </c>
      <c r="GK55" s="202">
        <v>16</v>
      </c>
      <c r="GL55" s="202">
        <v>17</v>
      </c>
      <c r="GM55" s="202">
        <v>19</v>
      </c>
      <c r="GN55" s="202">
        <v>20</v>
      </c>
      <c r="GO55" s="202">
        <v>20</v>
      </c>
      <c r="GP55" s="202">
        <v>25</v>
      </c>
      <c r="GQ55" s="202"/>
      <c r="GR55" s="189"/>
      <c r="GS55" s="189"/>
      <c r="GT55" s="189"/>
      <c r="GU55" s="189"/>
      <c r="GV55" s="189" t="s">
        <v>1165</v>
      </c>
    </row>
    <row r="56" spans="1:204" s="68" customFormat="1" ht="14.45" customHeight="1" x14ac:dyDescent="0.25">
      <c r="A56" s="68" t="s">
        <v>692</v>
      </c>
      <c r="B56" s="82" t="s">
        <v>154</v>
      </c>
      <c r="C56" s="82" t="s">
        <v>172</v>
      </c>
      <c r="D56" s="82" t="s">
        <v>196</v>
      </c>
      <c r="E56" s="82" t="s">
        <v>309</v>
      </c>
      <c r="F56" s="82" t="s">
        <v>549</v>
      </c>
      <c r="G56" s="82" t="s">
        <v>137</v>
      </c>
      <c r="H56" s="82" t="s">
        <v>137</v>
      </c>
      <c r="I56" s="82" t="s">
        <v>66</v>
      </c>
      <c r="J56" s="82" t="s">
        <v>29</v>
      </c>
      <c r="K56" s="92" t="s">
        <v>137</v>
      </c>
      <c r="L56" s="92" t="s">
        <v>137</v>
      </c>
      <c r="M56" s="92" t="s">
        <v>137</v>
      </c>
      <c r="N56" s="92" t="s">
        <v>137</v>
      </c>
      <c r="O56" s="92" t="s">
        <v>137</v>
      </c>
      <c r="P56" s="92" t="s">
        <v>137</v>
      </c>
      <c r="Q56" s="82" t="s">
        <v>87</v>
      </c>
      <c r="R56" s="82" t="s">
        <v>714</v>
      </c>
      <c r="S56" s="82" t="s">
        <v>40</v>
      </c>
      <c r="T56" s="82" t="s">
        <v>2</v>
      </c>
      <c r="U56" s="83"/>
      <c r="V56" s="83">
        <v>0.05</v>
      </c>
      <c r="W56" s="83">
        <v>0.08</v>
      </c>
      <c r="X56" s="83">
        <v>0.15</v>
      </c>
      <c r="Y56" s="83">
        <v>0.2</v>
      </c>
      <c r="Z56" s="83">
        <v>0.25</v>
      </c>
      <c r="AA56" s="83">
        <v>0.37</v>
      </c>
      <c r="AB56" s="83">
        <v>0.42</v>
      </c>
      <c r="AC56" s="83">
        <v>0.57999999999999996</v>
      </c>
      <c r="AD56" s="83">
        <v>0.67</v>
      </c>
      <c r="AE56" s="83">
        <v>0.83</v>
      </c>
      <c r="AF56" s="83">
        <v>1</v>
      </c>
      <c r="AG56" s="82" t="s">
        <v>778</v>
      </c>
      <c r="AH56" s="82" t="s">
        <v>530</v>
      </c>
      <c r="AI56" s="88" t="s">
        <v>538</v>
      </c>
      <c r="AJ56" s="89" t="s">
        <v>538</v>
      </c>
      <c r="AK56" s="90">
        <v>46023</v>
      </c>
      <c r="AL56" s="90">
        <v>46387</v>
      </c>
      <c r="AM56" s="89"/>
      <c r="AN56" s="89"/>
      <c r="AO56" s="89"/>
      <c r="AP56" s="91" t="s">
        <v>539</v>
      </c>
      <c r="AQ56" s="90" cm="1">
        <f t="array" ref="AQ56">IFERROR(DATE(2026, _xlfn.AGGREGATE(15, 6, (COLUMN(BY56:CJ56)-COLUMN(BY56)+1)/(BY56:CJ56&lt;&gt;0), 1), 1),"N/A")</f>
        <v>46266</v>
      </c>
      <c r="AR56" s="90" cm="1">
        <f t="array" ref="AR56">IFERROR(EOMONTH(DATE(2026, _xlfn.AGGREGATE(14, 6, (COLUMN(BY56:CJ56)-COLUMN(BY56)+1)/(BY56:CJ56&lt;&gt;0), 1), 1), 0),"N/A")</f>
        <v>46295</v>
      </c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2" t="s">
        <v>727</v>
      </c>
      <c r="BF56" s="82" t="s">
        <v>758</v>
      </c>
      <c r="BG56" s="82" t="str">
        <f t="shared" si="0"/>
        <v>000</v>
      </c>
      <c r="BH56" s="88">
        <v>530606</v>
      </c>
      <c r="BI56" s="92" t="s">
        <v>74</v>
      </c>
      <c r="BJ56" s="93">
        <f>9000+5400</f>
        <v>14400</v>
      </c>
      <c r="BK56" s="74">
        <v>1800</v>
      </c>
      <c r="BL56" s="94">
        <v>1800</v>
      </c>
      <c r="BM56" s="94">
        <v>1800</v>
      </c>
      <c r="BN56" s="72">
        <v>1800</v>
      </c>
      <c r="BO56" s="94">
        <v>1800</v>
      </c>
      <c r="BP56" s="94">
        <v>1800</v>
      </c>
      <c r="BQ56" s="94">
        <v>1800</v>
      </c>
      <c r="BR56" s="94">
        <v>1800</v>
      </c>
      <c r="BS56" s="94"/>
      <c r="BT56" s="94"/>
      <c r="BU56" s="94"/>
      <c r="BV56" s="142"/>
      <c r="BW56" s="142">
        <v>1600</v>
      </c>
      <c r="BX56" s="143">
        <f t="shared" si="5"/>
        <v>16000</v>
      </c>
      <c r="BY56" s="74"/>
      <c r="BZ56" s="94"/>
      <c r="CA56" s="94"/>
      <c r="CB56" s="72"/>
      <c r="CC56" s="94"/>
      <c r="CD56" s="94"/>
      <c r="CE56" s="94"/>
      <c r="CF56" s="94"/>
      <c r="CG56" s="94">
        <v>16000</v>
      </c>
      <c r="CH56" s="94"/>
      <c r="CI56" s="94"/>
      <c r="CJ56" s="142"/>
      <c r="CK56" s="142"/>
      <c r="CL56" s="142">
        <f t="shared" si="1"/>
        <v>0</v>
      </c>
      <c r="CM56" s="171">
        <v>0</v>
      </c>
      <c r="CN56" s="171">
        <v>14400</v>
      </c>
      <c r="CO56" s="171">
        <v>0</v>
      </c>
      <c r="CP56" s="171">
        <v>0</v>
      </c>
      <c r="CQ56" s="171">
        <v>400</v>
      </c>
      <c r="CR56" s="171">
        <v>14000</v>
      </c>
      <c r="CS56" s="171">
        <f t="shared" si="2"/>
        <v>0</v>
      </c>
      <c r="CT56" s="171">
        <f t="shared" si="3"/>
        <v>14800</v>
      </c>
      <c r="CU56" s="171">
        <f t="shared" si="4"/>
        <v>14000</v>
      </c>
      <c r="CV56" s="149"/>
      <c r="CW56" s="149"/>
      <c r="CX56" s="130"/>
      <c r="CY56" s="130"/>
      <c r="CZ56" s="130"/>
      <c r="DA56" s="130"/>
      <c r="DB56" s="130"/>
      <c r="DC56" s="130"/>
      <c r="DD56" s="130" t="s">
        <v>890</v>
      </c>
      <c r="DE56" s="130"/>
      <c r="DF56" s="130"/>
      <c r="DG56" s="130"/>
      <c r="DH56" s="130"/>
      <c r="DI56" s="130"/>
      <c r="DJ56" s="130"/>
      <c r="DK56" s="130"/>
      <c r="DL56" s="130"/>
      <c r="DM56" s="130"/>
      <c r="DN56" s="130"/>
      <c r="DO56" s="130"/>
      <c r="DP56" s="130"/>
      <c r="DQ56" s="130"/>
      <c r="DR56" s="130"/>
      <c r="DS56" s="130"/>
      <c r="DT56" s="130"/>
      <c r="DU56" s="130"/>
      <c r="DV56" s="130"/>
      <c r="DW56" s="130"/>
      <c r="DX56" s="130"/>
      <c r="DY56" s="130"/>
      <c r="DZ56" s="130"/>
      <c r="EA56" s="130"/>
      <c r="EB56" s="130"/>
      <c r="EC56" s="130"/>
      <c r="ED56" s="130"/>
      <c r="EE56" s="130"/>
      <c r="EF56" s="130"/>
      <c r="EG56" s="130"/>
      <c r="EH56" s="130"/>
      <c r="EI56" s="130"/>
      <c r="EJ56" s="130"/>
      <c r="EK56" s="130"/>
      <c r="EL56" s="130"/>
      <c r="EM56" s="130"/>
      <c r="EN56" s="130"/>
      <c r="EO56" s="130"/>
      <c r="EP56" s="130"/>
      <c r="EQ56" s="130"/>
      <c r="ER56" s="130"/>
      <c r="ES56" s="130"/>
      <c r="ET56" s="130"/>
      <c r="EU56" s="130"/>
      <c r="EV56" s="130"/>
      <c r="EW56" s="130"/>
      <c r="EX56" s="130"/>
      <c r="EY56" s="130"/>
      <c r="EZ56" s="130"/>
      <c r="FA56" s="130"/>
      <c r="FB56" s="201"/>
      <c r="FC56" s="201"/>
      <c r="FD56" s="201"/>
      <c r="FE56" s="201"/>
      <c r="FF56" s="201"/>
      <c r="FG56" s="201"/>
      <c r="FH56" s="201"/>
      <c r="FI56" s="201"/>
      <c r="FJ56" s="201"/>
      <c r="FK56" s="201"/>
      <c r="FL56" s="201"/>
      <c r="FM56" s="201"/>
      <c r="FN56" s="201"/>
      <c r="FO56" s="201"/>
      <c r="FP56" s="201"/>
      <c r="FQ56" s="201"/>
      <c r="FR56" s="201"/>
      <c r="FS56" s="201"/>
      <c r="FT56" s="201"/>
      <c r="FU56" s="201"/>
      <c r="FV56" s="201"/>
      <c r="FW56" s="201"/>
      <c r="FX56" s="201"/>
      <c r="FY56" s="201"/>
      <c r="FZ56" s="201"/>
      <c r="GA56" s="201"/>
      <c r="GB56" s="201"/>
      <c r="GC56" s="201"/>
      <c r="GD56" s="201"/>
      <c r="GE56" s="201"/>
      <c r="GF56" s="201"/>
      <c r="GG56" s="201"/>
      <c r="GH56" s="201"/>
      <c r="GI56" s="201"/>
      <c r="GJ56" s="201"/>
      <c r="GK56" s="201"/>
      <c r="GL56" s="201"/>
      <c r="GM56" s="201"/>
      <c r="GN56" s="201"/>
      <c r="GO56" s="201"/>
      <c r="GP56" s="201"/>
      <c r="GQ56" s="201"/>
    </row>
    <row r="57" spans="1:204" s="68" customFormat="1" ht="14.45" customHeight="1" x14ac:dyDescent="0.25">
      <c r="A57" s="68" t="s">
        <v>692</v>
      </c>
      <c r="B57" s="82" t="s">
        <v>154</v>
      </c>
      <c r="C57" s="82" t="s">
        <v>172</v>
      </c>
      <c r="D57" s="82" t="s">
        <v>196</v>
      </c>
      <c r="E57" s="82" t="s">
        <v>309</v>
      </c>
      <c r="F57" s="82" t="s">
        <v>549</v>
      </c>
      <c r="G57" s="82" t="s">
        <v>137</v>
      </c>
      <c r="H57" s="82" t="s">
        <v>137</v>
      </c>
      <c r="I57" s="82" t="s">
        <v>66</v>
      </c>
      <c r="J57" s="82" t="s">
        <v>29</v>
      </c>
      <c r="K57" s="92" t="s">
        <v>137</v>
      </c>
      <c r="L57" s="92" t="s">
        <v>137</v>
      </c>
      <c r="M57" s="92" t="s">
        <v>137</v>
      </c>
      <c r="N57" s="92" t="s">
        <v>137</v>
      </c>
      <c r="O57" s="92" t="s">
        <v>137</v>
      </c>
      <c r="P57" s="92" t="s">
        <v>137</v>
      </c>
      <c r="Q57" s="82" t="s">
        <v>87</v>
      </c>
      <c r="R57" s="82" t="s">
        <v>714</v>
      </c>
      <c r="S57" s="82" t="s">
        <v>40</v>
      </c>
      <c r="T57" s="82" t="s">
        <v>2</v>
      </c>
      <c r="U57" s="83"/>
      <c r="V57" s="83">
        <v>0.05</v>
      </c>
      <c r="W57" s="83">
        <v>0.08</v>
      </c>
      <c r="X57" s="83">
        <v>0.15</v>
      </c>
      <c r="Y57" s="83">
        <v>0.2</v>
      </c>
      <c r="Z57" s="83">
        <v>0.25</v>
      </c>
      <c r="AA57" s="83">
        <v>0.37</v>
      </c>
      <c r="AB57" s="83">
        <v>0.42</v>
      </c>
      <c r="AC57" s="83">
        <v>0.57999999999999996</v>
      </c>
      <c r="AD57" s="83">
        <v>0.67</v>
      </c>
      <c r="AE57" s="83">
        <v>0.83</v>
      </c>
      <c r="AF57" s="83">
        <v>1</v>
      </c>
      <c r="AG57" s="82" t="s">
        <v>532</v>
      </c>
      <c r="AH57" s="82" t="s">
        <v>529</v>
      </c>
      <c r="AI57" s="88" t="s">
        <v>538</v>
      </c>
      <c r="AJ57" s="89" t="s">
        <v>538</v>
      </c>
      <c r="AK57" s="90">
        <v>46023</v>
      </c>
      <c r="AL57" s="90">
        <v>46387</v>
      </c>
      <c r="AM57" s="89"/>
      <c r="AN57" s="89"/>
      <c r="AO57" s="89"/>
      <c r="AP57" s="91" t="s">
        <v>539</v>
      </c>
      <c r="AQ57" s="90" cm="1">
        <f t="array" ref="AQ57">IFERROR(DATE(2026, _xlfn.AGGREGATE(15, 6, (COLUMN(BY57:CJ57)-COLUMN(BY57)+1)/(BY57:CJ57&lt;&gt;0), 1), 1),"N/A")</f>
        <v>46113</v>
      </c>
      <c r="AR57" s="90" cm="1">
        <f t="array" ref="AR57">IFERROR(EOMONTH(DATE(2026, _xlfn.AGGREGATE(14, 6, (COLUMN(BY57:CJ57)-COLUMN(BY57)+1)/(BY57:CJ57&lt;&gt;0), 1), 1), 0),"N/A")</f>
        <v>46142</v>
      </c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2" t="s">
        <v>666</v>
      </c>
      <c r="BF57" s="82" t="s">
        <v>936</v>
      </c>
      <c r="BG57" s="82" t="str">
        <f t="shared" si="0"/>
        <v>000</v>
      </c>
      <c r="BH57" s="88">
        <v>570201</v>
      </c>
      <c r="BI57" s="92" t="s">
        <v>74</v>
      </c>
      <c r="BJ57" s="93">
        <v>40000</v>
      </c>
      <c r="BK57" s="74">
        <v>0</v>
      </c>
      <c r="BL57" s="74">
        <v>0</v>
      </c>
      <c r="BM57" s="74">
        <v>0</v>
      </c>
      <c r="BN57" s="72">
        <v>40000</v>
      </c>
      <c r="BO57" s="74">
        <v>0</v>
      </c>
      <c r="BP57" s="74">
        <v>0</v>
      </c>
      <c r="BQ57" s="74">
        <v>0</v>
      </c>
      <c r="BR57" s="74">
        <v>0</v>
      </c>
      <c r="BS57" s="74">
        <v>0</v>
      </c>
      <c r="BT57" s="74">
        <v>0</v>
      </c>
      <c r="BU57" s="74">
        <v>0</v>
      </c>
      <c r="BV57" s="143">
        <v>0</v>
      </c>
      <c r="BW57" s="143">
        <v>-150</v>
      </c>
      <c r="BX57" s="143">
        <f t="shared" si="5"/>
        <v>39850</v>
      </c>
      <c r="BY57" s="74">
        <v>0</v>
      </c>
      <c r="BZ57" s="74">
        <v>0</v>
      </c>
      <c r="CA57" s="74">
        <v>0</v>
      </c>
      <c r="CB57" s="72">
        <v>39850</v>
      </c>
      <c r="CC57" s="74">
        <v>0</v>
      </c>
      <c r="CD57" s="74">
        <v>0</v>
      </c>
      <c r="CE57" s="74">
        <v>0</v>
      </c>
      <c r="CF57" s="74">
        <v>0</v>
      </c>
      <c r="CG57" s="74">
        <v>0</v>
      </c>
      <c r="CH57" s="74">
        <v>0</v>
      </c>
      <c r="CI57" s="74">
        <v>0</v>
      </c>
      <c r="CJ57" s="143">
        <v>0</v>
      </c>
      <c r="CK57" s="143"/>
      <c r="CL57" s="142">
        <f t="shared" si="1"/>
        <v>0</v>
      </c>
      <c r="CM57" s="171">
        <v>0</v>
      </c>
      <c r="CN57" s="171">
        <v>0</v>
      </c>
      <c r="CO57" s="171">
        <v>0</v>
      </c>
      <c r="CP57" s="171">
        <v>0</v>
      </c>
      <c r="CQ57" s="171">
        <v>0</v>
      </c>
      <c r="CR57" s="171">
        <v>0</v>
      </c>
      <c r="CS57" s="171">
        <f t="shared" si="2"/>
        <v>0</v>
      </c>
      <c r="CT57" s="171">
        <f t="shared" si="3"/>
        <v>0</v>
      </c>
      <c r="CU57" s="171">
        <f t="shared" si="4"/>
        <v>0</v>
      </c>
      <c r="CV57" s="152">
        <v>40000</v>
      </c>
      <c r="CW57" s="152">
        <v>39850</v>
      </c>
      <c r="CX57" s="130">
        <v>1</v>
      </c>
      <c r="CY57" s="130">
        <v>1</v>
      </c>
      <c r="CZ57" s="130" t="s">
        <v>321</v>
      </c>
      <c r="DA57" s="130" t="s">
        <v>897</v>
      </c>
      <c r="DB57" s="130" t="s">
        <v>850</v>
      </c>
      <c r="DC57" s="130" t="s">
        <v>851</v>
      </c>
      <c r="DD57" s="130"/>
      <c r="DE57" s="131">
        <v>46049</v>
      </c>
      <c r="DF57" s="131">
        <v>46049</v>
      </c>
      <c r="DG57" s="132">
        <v>1</v>
      </c>
      <c r="DH57" s="131">
        <v>46050</v>
      </c>
      <c r="DI57" s="131">
        <v>46050</v>
      </c>
      <c r="DJ57" s="131">
        <v>46050</v>
      </c>
      <c r="DK57" s="131">
        <v>46051</v>
      </c>
      <c r="DL57" s="131">
        <v>46052</v>
      </c>
      <c r="DM57" s="131">
        <v>46055</v>
      </c>
      <c r="DN57" s="131">
        <v>46056</v>
      </c>
      <c r="DO57" s="131">
        <v>46057</v>
      </c>
      <c r="DP57" s="131">
        <v>46058</v>
      </c>
      <c r="DQ57" s="131">
        <v>46058</v>
      </c>
      <c r="DR57" s="132">
        <v>1</v>
      </c>
      <c r="DS57" s="131">
        <v>46059</v>
      </c>
      <c r="DT57" s="131">
        <v>46062</v>
      </c>
      <c r="DU57" s="131">
        <v>46063</v>
      </c>
      <c r="DV57" s="131">
        <v>46064</v>
      </c>
      <c r="DW57" s="131">
        <v>46064</v>
      </c>
      <c r="DX57" s="131">
        <v>46065</v>
      </c>
      <c r="DY57" s="131">
        <v>46065</v>
      </c>
      <c r="DZ57" s="131"/>
      <c r="EA57" s="131"/>
      <c r="EB57" s="131"/>
      <c r="EC57" s="131"/>
      <c r="ED57" s="131">
        <v>46066</v>
      </c>
      <c r="EE57" s="131">
        <v>46069</v>
      </c>
      <c r="EF57" s="131">
        <v>46069</v>
      </c>
      <c r="EG57" s="131">
        <v>46070</v>
      </c>
      <c r="EH57" s="131">
        <v>46071</v>
      </c>
      <c r="EI57" s="131">
        <v>46072</v>
      </c>
      <c r="EJ57" s="131">
        <v>46073</v>
      </c>
      <c r="EK57" s="131">
        <v>46073</v>
      </c>
      <c r="EL57" s="132">
        <v>18</v>
      </c>
      <c r="EM57" s="131">
        <v>46077</v>
      </c>
      <c r="EN57" s="131">
        <v>46079</v>
      </c>
      <c r="EO57" s="133">
        <v>46083</v>
      </c>
      <c r="EP57" s="133">
        <v>46084</v>
      </c>
      <c r="EQ57" s="133">
        <v>46085</v>
      </c>
      <c r="ER57" s="133">
        <v>46087</v>
      </c>
      <c r="ES57" s="133">
        <v>46090</v>
      </c>
      <c r="ET57" s="133">
        <v>46090</v>
      </c>
      <c r="EU57" s="133">
        <v>46093</v>
      </c>
      <c r="EV57" s="134">
        <v>1</v>
      </c>
      <c r="EW57" s="133">
        <v>46098</v>
      </c>
      <c r="EX57" s="133"/>
      <c r="EY57" s="154" t="s">
        <v>898</v>
      </c>
      <c r="EZ57" s="132" t="s">
        <v>871</v>
      </c>
      <c r="FA57" s="136"/>
      <c r="FB57" s="203">
        <v>46052</v>
      </c>
      <c r="FC57" s="203">
        <v>46052</v>
      </c>
      <c r="FD57" s="203">
        <v>46055</v>
      </c>
      <c r="FE57" s="203">
        <v>46055</v>
      </c>
      <c r="FF57" s="203">
        <v>46055</v>
      </c>
      <c r="FG57" s="203">
        <v>46056</v>
      </c>
      <c r="FH57" s="203">
        <v>46057</v>
      </c>
      <c r="FI57" s="203">
        <v>46058</v>
      </c>
      <c r="FJ57" s="203">
        <v>46059</v>
      </c>
      <c r="FK57" s="203">
        <v>46062</v>
      </c>
      <c r="FL57" s="203">
        <v>46063</v>
      </c>
      <c r="FM57" s="203">
        <v>46063</v>
      </c>
      <c r="FN57" s="203">
        <v>46064</v>
      </c>
      <c r="FO57" s="203">
        <v>46065</v>
      </c>
      <c r="FP57" s="203">
        <v>46066</v>
      </c>
      <c r="FQ57" s="203">
        <v>46071</v>
      </c>
      <c r="FR57" s="203">
        <v>46071</v>
      </c>
      <c r="FS57" s="203">
        <v>46072</v>
      </c>
      <c r="FT57" s="203">
        <v>46072</v>
      </c>
      <c r="FU57" s="203"/>
      <c r="FV57" s="203"/>
      <c r="FW57" s="203"/>
      <c r="FX57" s="203"/>
      <c r="FY57" s="203">
        <v>46073</v>
      </c>
      <c r="FZ57" s="203">
        <v>46076</v>
      </c>
      <c r="GA57" s="203">
        <v>46076</v>
      </c>
      <c r="GB57" s="203">
        <v>46077</v>
      </c>
      <c r="GC57" s="203">
        <v>46078</v>
      </c>
      <c r="GD57" s="203">
        <v>46079</v>
      </c>
      <c r="GE57" s="203">
        <v>46080</v>
      </c>
      <c r="GF57" s="203">
        <v>46080</v>
      </c>
      <c r="GG57" s="203">
        <v>18</v>
      </c>
      <c r="GH57" s="203">
        <v>46084</v>
      </c>
      <c r="GI57" s="203">
        <v>46086</v>
      </c>
      <c r="GJ57" s="203">
        <v>46090</v>
      </c>
      <c r="GK57" s="203">
        <v>46091</v>
      </c>
      <c r="GL57" s="203">
        <v>46092</v>
      </c>
      <c r="GM57" s="203">
        <v>46094</v>
      </c>
      <c r="GN57" s="203">
        <v>46097</v>
      </c>
      <c r="GO57" s="203">
        <v>46097</v>
      </c>
      <c r="GP57" s="203">
        <v>46100</v>
      </c>
      <c r="GQ57" s="203">
        <v>46105</v>
      </c>
      <c r="GR57" s="187"/>
      <c r="GS57" s="187" t="s">
        <v>1180</v>
      </c>
      <c r="GT57" s="187" t="s">
        <v>898</v>
      </c>
      <c r="GU57" s="187" t="s">
        <v>871</v>
      </c>
      <c r="GV57" s="187" t="s">
        <v>1155</v>
      </c>
    </row>
    <row r="58" spans="1:204" s="68" customFormat="1" ht="14.45" customHeight="1" x14ac:dyDescent="0.25">
      <c r="A58" s="68" t="s">
        <v>699</v>
      </c>
      <c r="B58" s="82" t="s">
        <v>154</v>
      </c>
      <c r="C58" s="82" t="s">
        <v>172</v>
      </c>
      <c r="D58" s="95" t="s">
        <v>196</v>
      </c>
      <c r="E58" s="82" t="s">
        <v>309</v>
      </c>
      <c r="F58" s="82" t="s">
        <v>549</v>
      </c>
      <c r="G58" s="82" t="s">
        <v>137</v>
      </c>
      <c r="H58" s="82" t="s">
        <v>137</v>
      </c>
      <c r="I58" s="82" t="s">
        <v>66</v>
      </c>
      <c r="J58" s="82" t="s">
        <v>531</v>
      </c>
      <c r="K58" s="92" t="s">
        <v>137</v>
      </c>
      <c r="L58" s="92" t="s">
        <v>137</v>
      </c>
      <c r="M58" s="92" t="s">
        <v>137</v>
      </c>
      <c r="N58" s="92" t="s">
        <v>137</v>
      </c>
      <c r="O58" s="92" t="s">
        <v>137</v>
      </c>
      <c r="P58" s="92" t="s">
        <v>137</v>
      </c>
      <c r="Q58" s="82" t="s">
        <v>552</v>
      </c>
      <c r="R58" s="82" t="s">
        <v>715</v>
      </c>
      <c r="S58" s="82" t="s">
        <v>555</v>
      </c>
      <c r="T58" s="82" t="s">
        <v>320</v>
      </c>
      <c r="U58" s="83">
        <v>0.95</v>
      </c>
      <c r="V58" s="83">
        <v>0.95</v>
      </c>
      <c r="W58" s="83">
        <v>0.95</v>
      </c>
      <c r="X58" s="83">
        <v>0.95</v>
      </c>
      <c r="Y58" s="83">
        <v>0.95</v>
      </c>
      <c r="Z58" s="83">
        <v>0.95</v>
      </c>
      <c r="AA58" s="83">
        <v>0.95</v>
      </c>
      <c r="AB58" s="83">
        <v>0.95</v>
      </c>
      <c r="AC58" s="83">
        <v>0.95</v>
      </c>
      <c r="AD58" s="83">
        <v>0.95</v>
      </c>
      <c r="AE58" s="83">
        <v>0.95</v>
      </c>
      <c r="AF58" s="83">
        <v>0.95</v>
      </c>
      <c r="AG58" s="82" t="s">
        <v>533</v>
      </c>
      <c r="AH58" s="82" t="s">
        <v>529</v>
      </c>
      <c r="AI58" s="88" t="s">
        <v>538</v>
      </c>
      <c r="AJ58" s="89" t="s">
        <v>538</v>
      </c>
      <c r="AK58" s="90">
        <v>46023</v>
      </c>
      <c r="AL58" s="90">
        <v>46387</v>
      </c>
      <c r="AM58" s="89"/>
      <c r="AN58" s="89"/>
      <c r="AO58" s="89"/>
      <c r="AP58" s="91" t="s">
        <v>542</v>
      </c>
      <c r="AQ58" s="90" cm="1">
        <f t="array" ref="AQ58">IFERROR(DATE(2026, _xlfn.AGGREGATE(15, 6, (COLUMN(BY58:CJ58)-COLUMN(BY58)+1)/(BY58:CJ58&lt;&gt;0), 1), 1),"N/A")</f>
        <v>46113</v>
      </c>
      <c r="AR58" s="90" cm="1">
        <f t="array" ref="AR58">IFERROR(EOMONTH(DATE(2026, _xlfn.AGGREGATE(14, 6, (COLUMN(BY58:CJ58)-COLUMN(BY58)+1)/(BY58:CJ58&lt;&gt;0), 1), 1), 0),"N/A")</f>
        <v>46265</v>
      </c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2" t="s">
        <v>728</v>
      </c>
      <c r="BF58" s="82" t="s">
        <v>1028</v>
      </c>
      <c r="BG58" s="82" t="str">
        <f t="shared" si="0"/>
        <v>000</v>
      </c>
      <c r="BH58" s="88">
        <v>530606</v>
      </c>
      <c r="BI58" s="92" t="s">
        <v>74</v>
      </c>
      <c r="BJ58" s="93">
        <v>12500</v>
      </c>
      <c r="BK58" s="74">
        <v>2500</v>
      </c>
      <c r="BL58" s="74">
        <v>2500</v>
      </c>
      <c r="BM58" s="74">
        <v>2500</v>
      </c>
      <c r="BN58" s="74">
        <v>2500</v>
      </c>
      <c r="BO58" s="74">
        <v>2500</v>
      </c>
      <c r="BP58" s="74"/>
      <c r="BQ58" s="74"/>
      <c r="BR58" s="74"/>
      <c r="BS58" s="74"/>
      <c r="BT58" s="74"/>
      <c r="BU58" s="74"/>
      <c r="BV58" s="143"/>
      <c r="BW58" s="143"/>
      <c r="BX58" s="143">
        <f t="shared" si="5"/>
        <v>12500</v>
      </c>
      <c r="BY58" s="74"/>
      <c r="BZ58" s="74"/>
      <c r="CA58" s="74"/>
      <c r="CB58" s="74">
        <v>2500</v>
      </c>
      <c r="CC58" s="74">
        <v>2500</v>
      </c>
      <c r="CD58" s="74">
        <v>2500</v>
      </c>
      <c r="CE58" s="74">
        <v>2500</v>
      </c>
      <c r="CF58" s="74">
        <v>2500</v>
      </c>
      <c r="CG58" s="74"/>
      <c r="CH58" s="74"/>
      <c r="CI58" s="74"/>
      <c r="CJ58" s="143"/>
      <c r="CK58" s="143"/>
      <c r="CL58" s="142">
        <f t="shared" si="1"/>
        <v>0</v>
      </c>
      <c r="CM58" s="171">
        <v>0</v>
      </c>
      <c r="CN58" s="171">
        <v>12500</v>
      </c>
      <c r="CO58" s="171">
        <v>0</v>
      </c>
      <c r="CP58" s="171">
        <v>0</v>
      </c>
      <c r="CQ58" s="171">
        <v>12500</v>
      </c>
      <c r="CR58" s="171">
        <v>0</v>
      </c>
      <c r="CS58" s="171">
        <f t="shared" si="2"/>
        <v>0</v>
      </c>
      <c r="CT58" s="171">
        <f t="shared" si="3"/>
        <v>25000</v>
      </c>
      <c r="CU58" s="171">
        <f t="shared" si="4"/>
        <v>0</v>
      </c>
      <c r="CV58" s="149"/>
      <c r="CW58" s="149"/>
      <c r="CX58" s="130"/>
      <c r="CY58" s="130"/>
      <c r="CZ58" s="130"/>
      <c r="DA58" s="130"/>
      <c r="DB58" s="130"/>
      <c r="DC58" s="130"/>
      <c r="DD58" s="130"/>
      <c r="DE58" s="130"/>
      <c r="DF58" s="130"/>
      <c r="DG58" s="130"/>
      <c r="DH58" s="130"/>
      <c r="DI58" s="130"/>
      <c r="DJ58" s="130"/>
      <c r="DK58" s="130"/>
      <c r="DL58" s="130"/>
      <c r="DM58" s="130"/>
      <c r="DN58" s="130"/>
      <c r="DO58" s="130"/>
      <c r="DP58" s="130"/>
      <c r="DQ58" s="130"/>
      <c r="DR58" s="130"/>
      <c r="DS58" s="130"/>
      <c r="DT58" s="130"/>
      <c r="DU58" s="130"/>
      <c r="DV58" s="130"/>
      <c r="DW58" s="130"/>
      <c r="DX58" s="130"/>
      <c r="DY58" s="130"/>
      <c r="DZ58" s="130"/>
      <c r="EA58" s="130"/>
      <c r="EB58" s="130"/>
      <c r="EC58" s="130"/>
      <c r="ED58" s="130"/>
      <c r="EE58" s="130"/>
      <c r="EF58" s="130"/>
      <c r="EG58" s="130"/>
      <c r="EH58" s="130"/>
      <c r="EI58" s="130"/>
      <c r="EJ58" s="130"/>
      <c r="EK58" s="130"/>
      <c r="EL58" s="130"/>
      <c r="EM58" s="130"/>
      <c r="EN58" s="130"/>
      <c r="EO58" s="130"/>
      <c r="EP58" s="130"/>
      <c r="EQ58" s="130"/>
      <c r="ER58" s="130"/>
      <c r="ES58" s="130"/>
      <c r="ET58" s="130"/>
      <c r="EU58" s="130"/>
      <c r="EV58" s="130"/>
      <c r="EW58" s="130"/>
      <c r="EX58" s="130"/>
      <c r="EY58" s="130"/>
      <c r="EZ58" s="130"/>
      <c r="FA58" s="130"/>
      <c r="FB58" s="201"/>
      <c r="FC58" s="201"/>
      <c r="FD58" s="201"/>
      <c r="FE58" s="201"/>
      <c r="FF58" s="201"/>
      <c r="FG58" s="201"/>
      <c r="FH58" s="201"/>
      <c r="FI58" s="201"/>
      <c r="FJ58" s="201"/>
      <c r="FK58" s="201"/>
      <c r="FL58" s="201"/>
      <c r="FM58" s="201"/>
      <c r="FN58" s="201"/>
      <c r="FO58" s="201"/>
      <c r="FP58" s="201"/>
      <c r="FQ58" s="201"/>
      <c r="FR58" s="201"/>
      <c r="FS58" s="201"/>
      <c r="FT58" s="201"/>
      <c r="FU58" s="201"/>
      <c r="FV58" s="201"/>
      <c r="FW58" s="201"/>
      <c r="FX58" s="201"/>
      <c r="FY58" s="201"/>
      <c r="FZ58" s="201"/>
      <c r="GA58" s="201"/>
      <c r="GB58" s="201"/>
      <c r="GC58" s="201"/>
      <c r="GD58" s="201"/>
      <c r="GE58" s="201"/>
      <c r="GF58" s="201"/>
      <c r="GG58" s="201"/>
      <c r="GH58" s="201"/>
      <c r="GI58" s="201"/>
      <c r="GJ58" s="201"/>
      <c r="GK58" s="201"/>
      <c r="GL58" s="201"/>
      <c r="GM58" s="201"/>
      <c r="GN58" s="201"/>
      <c r="GO58" s="201"/>
      <c r="GP58" s="201"/>
      <c r="GQ58" s="201"/>
    </row>
    <row r="59" spans="1:204" s="68" customFormat="1" ht="14.45" customHeight="1" x14ac:dyDescent="0.25">
      <c r="A59" s="68" t="s">
        <v>699</v>
      </c>
      <c r="B59" s="82" t="s">
        <v>154</v>
      </c>
      <c r="C59" s="82" t="s">
        <v>172</v>
      </c>
      <c r="D59" s="95" t="s">
        <v>196</v>
      </c>
      <c r="E59" s="82" t="s">
        <v>309</v>
      </c>
      <c r="F59" s="82" t="s">
        <v>549</v>
      </c>
      <c r="G59" s="82" t="s">
        <v>137</v>
      </c>
      <c r="H59" s="82" t="s">
        <v>137</v>
      </c>
      <c r="I59" s="82" t="s">
        <v>66</v>
      </c>
      <c r="J59" s="82" t="s">
        <v>531</v>
      </c>
      <c r="K59" s="92" t="s">
        <v>137</v>
      </c>
      <c r="L59" s="92" t="s">
        <v>137</v>
      </c>
      <c r="M59" s="92" t="s">
        <v>137</v>
      </c>
      <c r="N59" s="92" t="s">
        <v>137</v>
      </c>
      <c r="O59" s="92" t="s">
        <v>137</v>
      </c>
      <c r="P59" s="92" t="s">
        <v>137</v>
      </c>
      <c r="Q59" s="82" t="s">
        <v>552</v>
      </c>
      <c r="R59" s="82" t="s">
        <v>715</v>
      </c>
      <c r="S59" s="82" t="s">
        <v>555</v>
      </c>
      <c r="T59" s="82" t="s">
        <v>320</v>
      </c>
      <c r="U59" s="83">
        <v>0.95</v>
      </c>
      <c r="V59" s="83">
        <v>0.95</v>
      </c>
      <c r="W59" s="83">
        <v>0.95</v>
      </c>
      <c r="X59" s="83">
        <v>0.95</v>
      </c>
      <c r="Y59" s="83">
        <v>0.95</v>
      </c>
      <c r="Z59" s="83">
        <v>0.95</v>
      </c>
      <c r="AA59" s="83">
        <v>0.95</v>
      </c>
      <c r="AB59" s="83">
        <v>0.95</v>
      </c>
      <c r="AC59" s="83">
        <v>0.95</v>
      </c>
      <c r="AD59" s="83">
        <v>0.95</v>
      </c>
      <c r="AE59" s="83">
        <v>0.95</v>
      </c>
      <c r="AF59" s="83">
        <v>0.95</v>
      </c>
      <c r="AG59" s="82" t="s">
        <v>533</v>
      </c>
      <c r="AH59" s="82" t="s">
        <v>529</v>
      </c>
      <c r="AI59" s="88" t="s">
        <v>538</v>
      </c>
      <c r="AJ59" s="89" t="s">
        <v>538</v>
      </c>
      <c r="AK59" s="90">
        <v>46023</v>
      </c>
      <c r="AL59" s="90">
        <v>46387</v>
      </c>
      <c r="AM59" s="89"/>
      <c r="AN59" s="89"/>
      <c r="AO59" s="89"/>
      <c r="AP59" s="91" t="s">
        <v>542</v>
      </c>
      <c r="AQ59" s="90" cm="1">
        <f t="array" ref="AQ59">IFERROR(DATE(2026, _xlfn.AGGREGATE(15, 6, (COLUMN(BY59:CJ59)-COLUMN(BY59)+1)/(BY59:CJ59&lt;&gt;0), 1), 1),"N/A")</f>
        <v>46113</v>
      </c>
      <c r="AR59" s="90" cm="1">
        <f t="array" ref="AR59">IFERROR(EOMONTH(DATE(2026, _xlfn.AGGREGATE(14, 6, (COLUMN(BY59:CJ59)-COLUMN(BY59)+1)/(BY59:CJ59&lt;&gt;0), 1), 1), 0),"N/A")</f>
        <v>46142</v>
      </c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2" t="s">
        <v>728</v>
      </c>
      <c r="BF59" s="82" t="s">
        <v>1121</v>
      </c>
      <c r="BG59" s="82" t="str">
        <f t="shared" si="0"/>
        <v>000</v>
      </c>
      <c r="BH59" s="88">
        <v>530801</v>
      </c>
      <c r="BI59" s="92" t="s">
        <v>74</v>
      </c>
      <c r="BJ59" s="93">
        <v>0</v>
      </c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143"/>
      <c r="BW59" s="143">
        <v>14500</v>
      </c>
      <c r="BX59" s="143">
        <f t="shared" si="5"/>
        <v>14500</v>
      </c>
      <c r="BY59" s="74"/>
      <c r="BZ59" s="74"/>
      <c r="CA59" s="74"/>
      <c r="CB59" s="74">
        <v>14500</v>
      </c>
      <c r="CC59" s="74"/>
      <c r="CD59" s="74"/>
      <c r="CE59" s="74"/>
      <c r="CF59" s="74"/>
      <c r="CG59" s="74"/>
      <c r="CH59" s="74"/>
      <c r="CI59" s="74"/>
      <c r="CJ59" s="143"/>
      <c r="CK59" s="143"/>
      <c r="CL59" s="142">
        <f t="shared" si="1"/>
        <v>0</v>
      </c>
      <c r="CM59" s="171">
        <v>0</v>
      </c>
      <c r="CN59" s="171">
        <v>0</v>
      </c>
      <c r="CO59" s="171">
        <v>0</v>
      </c>
      <c r="CP59" s="171">
        <v>0</v>
      </c>
      <c r="CQ59" s="171">
        <v>0</v>
      </c>
      <c r="CR59" s="171">
        <v>0</v>
      </c>
      <c r="CS59" s="171">
        <f t="shared" si="2"/>
        <v>0</v>
      </c>
      <c r="CT59" s="171">
        <f t="shared" si="3"/>
        <v>0</v>
      </c>
      <c r="CU59" s="171">
        <f t="shared" si="4"/>
        <v>0</v>
      </c>
      <c r="CV59" s="149"/>
      <c r="CW59" s="149"/>
      <c r="CX59" s="130"/>
      <c r="CY59" s="130"/>
      <c r="CZ59" s="130"/>
      <c r="DA59" s="130"/>
      <c r="DB59" s="130"/>
      <c r="DC59" s="130"/>
      <c r="DD59" s="130"/>
      <c r="DE59" s="130"/>
      <c r="DF59" s="130"/>
      <c r="DG59" s="130"/>
      <c r="DH59" s="130"/>
      <c r="DI59" s="130"/>
      <c r="DJ59" s="130"/>
      <c r="DK59" s="130"/>
      <c r="DL59" s="130"/>
      <c r="DM59" s="130"/>
      <c r="DN59" s="130"/>
      <c r="DO59" s="130"/>
      <c r="DP59" s="130"/>
      <c r="DQ59" s="130"/>
      <c r="DR59" s="130"/>
      <c r="DS59" s="130"/>
      <c r="DT59" s="130"/>
      <c r="DU59" s="130"/>
      <c r="DV59" s="130"/>
      <c r="DW59" s="130"/>
      <c r="DX59" s="130"/>
      <c r="DY59" s="130"/>
      <c r="DZ59" s="130"/>
      <c r="EA59" s="130"/>
      <c r="EB59" s="130"/>
      <c r="EC59" s="130"/>
      <c r="ED59" s="130"/>
      <c r="EE59" s="130"/>
      <c r="EF59" s="130"/>
      <c r="EG59" s="130"/>
      <c r="EH59" s="130"/>
      <c r="EI59" s="130"/>
      <c r="EJ59" s="130"/>
      <c r="EK59" s="130"/>
      <c r="EL59" s="130"/>
      <c r="EM59" s="130"/>
      <c r="EN59" s="130"/>
      <c r="EO59" s="130"/>
      <c r="EP59" s="130"/>
      <c r="EQ59" s="130"/>
      <c r="ER59" s="130"/>
      <c r="ES59" s="130"/>
      <c r="ET59" s="130"/>
      <c r="EU59" s="130"/>
      <c r="EV59" s="130"/>
      <c r="EW59" s="130"/>
      <c r="EX59" s="130"/>
      <c r="EY59" s="130"/>
      <c r="EZ59" s="130"/>
      <c r="FA59" s="130"/>
      <c r="FB59" s="201"/>
      <c r="FC59" s="201"/>
      <c r="FD59" s="201"/>
      <c r="FE59" s="201"/>
      <c r="FF59" s="201"/>
      <c r="FG59" s="201"/>
      <c r="FH59" s="201"/>
      <c r="FI59" s="201"/>
      <c r="FJ59" s="201"/>
      <c r="FK59" s="201"/>
      <c r="FL59" s="201"/>
      <c r="FM59" s="201"/>
      <c r="FN59" s="201"/>
      <c r="FO59" s="201"/>
      <c r="FP59" s="201"/>
      <c r="FQ59" s="201"/>
      <c r="FR59" s="201"/>
      <c r="FS59" s="201"/>
      <c r="FT59" s="201"/>
      <c r="FU59" s="201"/>
      <c r="FV59" s="201"/>
      <c r="FW59" s="201"/>
      <c r="FX59" s="201"/>
      <c r="FY59" s="201"/>
      <c r="FZ59" s="201"/>
      <c r="GA59" s="201"/>
      <c r="GB59" s="201"/>
      <c r="GC59" s="201"/>
      <c r="GD59" s="201"/>
      <c r="GE59" s="201"/>
      <c r="GF59" s="201"/>
      <c r="GG59" s="201"/>
      <c r="GH59" s="201"/>
      <c r="GI59" s="201"/>
      <c r="GJ59" s="201"/>
      <c r="GK59" s="201"/>
      <c r="GL59" s="201"/>
      <c r="GM59" s="201"/>
      <c r="GN59" s="201"/>
      <c r="GO59" s="201"/>
      <c r="GP59" s="201"/>
      <c r="GQ59" s="201"/>
    </row>
    <row r="60" spans="1:204" s="68" customFormat="1" ht="14.45" customHeight="1" x14ac:dyDescent="0.25">
      <c r="A60" s="68" t="s">
        <v>691</v>
      </c>
      <c r="B60" s="82" t="s">
        <v>154</v>
      </c>
      <c r="C60" s="82" t="s">
        <v>172</v>
      </c>
      <c r="D60" s="82" t="s">
        <v>196</v>
      </c>
      <c r="E60" s="82" t="s">
        <v>309</v>
      </c>
      <c r="F60" s="82" t="s">
        <v>549</v>
      </c>
      <c r="G60" s="82" t="s">
        <v>137</v>
      </c>
      <c r="H60" s="82" t="s">
        <v>137</v>
      </c>
      <c r="I60" s="82" t="s">
        <v>66</v>
      </c>
      <c r="J60" s="82" t="s">
        <v>29</v>
      </c>
      <c r="K60" s="92" t="s">
        <v>137</v>
      </c>
      <c r="L60" s="92" t="s">
        <v>137</v>
      </c>
      <c r="M60" s="92" t="s">
        <v>137</v>
      </c>
      <c r="N60" s="92" t="s">
        <v>137</v>
      </c>
      <c r="O60" s="92" t="s">
        <v>137</v>
      </c>
      <c r="P60" s="92" t="s">
        <v>137</v>
      </c>
      <c r="Q60" s="82" t="s">
        <v>87</v>
      </c>
      <c r="R60" s="82" t="s">
        <v>714</v>
      </c>
      <c r="S60" s="82" t="s">
        <v>40</v>
      </c>
      <c r="T60" s="82" t="s">
        <v>2</v>
      </c>
      <c r="U60" s="83"/>
      <c r="V60" s="83">
        <v>0.05</v>
      </c>
      <c r="W60" s="83">
        <v>0.08</v>
      </c>
      <c r="X60" s="83">
        <v>0.15</v>
      </c>
      <c r="Y60" s="83">
        <v>0.2</v>
      </c>
      <c r="Z60" s="83">
        <v>0.25</v>
      </c>
      <c r="AA60" s="83">
        <v>0.37</v>
      </c>
      <c r="AB60" s="83">
        <v>0.42</v>
      </c>
      <c r="AC60" s="83">
        <v>0.57999999999999996</v>
      </c>
      <c r="AD60" s="83">
        <v>0.67</v>
      </c>
      <c r="AE60" s="83">
        <v>0.83</v>
      </c>
      <c r="AF60" s="83">
        <v>1</v>
      </c>
      <c r="AG60" s="82" t="s">
        <v>532</v>
      </c>
      <c r="AH60" s="82" t="s">
        <v>529</v>
      </c>
      <c r="AI60" s="88" t="s">
        <v>538</v>
      </c>
      <c r="AJ60" s="89" t="s">
        <v>538</v>
      </c>
      <c r="AK60" s="90">
        <v>46023</v>
      </c>
      <c r="AL60" s="90">
        <v>46387</v>
      </c>
      <c r="AM60" s="89"/>
      <c r="AN60" s="89"/>
      <c r="AO60" s="89"/>
      <c r="AP60" s="91" t="s">
        <v>539</v>
      </c>
      <c r="AQ60" s="90" cm="1">
        <f t="array" ref="AQ60">IFERROR(DATE(2026, _xlfn.AGGREGATE(15, 6, (COLUMN(BY60:CJ60)-COLUMN(BY60)+1)/(BY60:CJ60&lt;&gt;0), 1), 1),"N/A")</f>
        <v>46054</v>
      </c>
      <c r="AR60" s="90" cm="1">
        <f t="array" ref="AR60">IFERROR(EOMONTH(DATE(2026, _xlfn.AGGREGATE(14, 6, (COLUMN(BY60:CJ60)-COLUMN(BY60)+1)/(BY60:CJ60&lt;&gt;0), 1), 1), 0),"N/A")</f>
        <v>46387</v>
      </c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2" t="s">
        <v>649</v>
      </c>
      <c r="BF60" s="82" t="s">
        <v>937</v>
      </c>
      <c r="BG60" s="82" t="str">
        <f t="shared" si="0"/>
        <v>000</v>
      </c>
      <c r="BH60" s="88">
        <v>530606</v>
      </c>
      <c r="BI60" s="92" t="s">
        <v>74</v>
      </c>
      <c r="BJ60" s="93">
        <v>13800</v>
      </c>
      <c r="BK60" s="94">
        <v>1150</v>
      </c>
      <c r="BL60" s="94">
        <v>1150</v>
      </c>
      <c r="BM60" s="94">
        <v>1150</v>
      </c>
      <c r="BN60" s="72">
        <v>1150</v>
      </c>
      <c r="BO60" s="94">
        <v>1150</v>
      </c>
      <c r="BP60" s="94">
        <v>1150</v>
      </c>
      <c r="BQ60" s="94">
        <v>1150</v>
      </c>
      <c r="BR60" s="94">
        <v>1150</v>
      </c>
      <c r="BS60" s="94">
        <v>1150</v>
      </c>
      <c r="BT60" s="94">
        <v>1150</v>
      </c>
      <c r="BU60" s="94">
        <v>1150</v>
      </c>
      <c r="BV60" s="142">
        <v>1150</v>
      </c>
      <c r="BW60" s="142">
        <v>-450</v>
      </c>
      <c r="BX60" s="143">
        <f t="shared" si="5"/>
        <v>13350</v>
      </c>
      <c r="BY60" s="94"/>
      <c r="BZ60" s="94">
        <v>1150</v>
      </c>
      <c r="CA60" s="94">
        <v>1150</v>
      </c>
      <c r="CB60" s="72">
        <v>1150</v>
      </c>
      <c r="CC60" s="94">
        <v>1150</v>
      </c>
      <c r="CD60" s="94">
        <v>1150</v>
      </c>
      <c r="CE60" s="94">
        <v>1150</v>
      </c>
      <c r="CF60" s="94">
        <v>1150</v>
      </c>
      <c r="CG60" s="94">
        <v>1150</v>
      </c>
      <c r="CH60" s="94">
        <v>1150</v>
      </c>
      <c r="CI60" s="94">
        <v>1150</v>
      </c>
      <c r="CJ60" s="142">
        <v>1850</v>
      </c>
      <c r="CK60" s="142"/>
      <c r="CL60" s="142">
        <f t="shared" si="1"/>
        <v>0</v>
      </c>
      <c r="CM60" s="171">
        <v>0</v>
      </c>
      <c r="CN60" s="171">
        <v>0</v>
      </c>
      <c r="CO60" s="171">
        <v>0</v>
      </c>
      <c r="CP60" s="171">
        <v>0</v>
      </c>
      <c r="CQ60" s="171">
        <v>0</v>
      </c>
      <c r="CR60" s="171">
        <v>0</v>
      </c>
      <c r="CS60" s="171">
        <f t="shared" si="2"/>
        <v>0</v>
      </c>
      <c r="CT60" s="171">
        <f t="shared" si="3"/>
        <v>0</v>
      </c>
      <c r="CU60" s="171">
        <f t="shared" si="4"/>
        <v>0</v>
      </c>
      <c r="CV60" s="149"/>
      <c r="CW60" s="149"/>
      <c r="CX60" s="130"/>
      <c r="CY60" s="130"/>
      <c r="CZ60" s="130"/>
      <c r="DA60" s="130"/>
      <c r="DB60" s="130"/>
      <c r="DC60" s="130"/>
      <c r="DD60" s="130"/>
      <c r="DE60" s="130"/>
      <c r="DF60" s="130"/>
      <c r="DG60" s="130"/>
      <c r="DH60" s="130"/>
      <c r="DI60" s="130"/>
      <c r="DJ60" s="130"/>
      <c r="DK60" s="130"/>
      <c r="DL60" s="130"/>
      <c r="DM60" s="130"/>
      <c r="DN60" s="130"/>
      <c r="DO60" s="130"/>
      <c r="DP60" s="130"/>
      <c r="DQ60" s="130"/>
      <c r="DR60" s="130"/>
      <c r="DS60" s="130"/>
      <c r="DT60" s="130"/>
      <c r="DU60" s="130"/>
      <c r="DV60" s="130"/>
      <c r="DW60" s="130"/>
      <c r="DX60" s="130"/>
      <c r="DY60" s="130"/>
      <c r="DZ60" s="130"/>
      <c r="EA60" s="130"/>
      <c r="EB60" s="130"/>
      <c r="EC60" s="130"/>
      <c r="ED60" s="130"/>
      <c r="EE60" s="130"/>
      <c r="EF60" s="130"/>
      <c r="EG60" s="130"/>
      <c r="EH60" s="130"/>
      <c r="EI60" s="130"/>
      <c r="EJ60" s="130"/>
      <c r="EK60" s="130"/>
      <c r="EL60" s="130"/>
      <c r="EM60" s="130"/>
      <c r="EN60" s="130"/>
      <c r="EO60" s="130"/>
      <c r="EP60" s="130"/>
      <c r="EQ60" s="130"/>
      <c r="ER60" s="130"/>
      <c r="ES60" s="130"/>
      <c r="ET60" s="130"/>
      <c r="EU60" s="130"/>
      <c r="EV60" s="130"/>
      <c r="EW60" s="130"/>
      <c r="EX60" s="130"/>
      <c r="EY60" s="130"/>
      <c r="EZ60" s="130"/>
      <c r="FA60" s="130"/>
      <c r="FB60" s="201"/>
      <c r="FC60" s="201"/>
      <c r="FD60" s="201"/>
      <c r="FE60" s="201"/>
      <c r="FF60" s="201"/>
      <c r="FG60" s="201"/>
      <c r="FH60" s="201"/>
      <c r="FI60" s="201"/>
      <c r="FJ60" s="201"/>
      <c r="FK60" s="201"/>
      <c r="FL60" s="201"/>
      <c r="FM60" s="201"/>
      <c r="FN60" s="201"/>
      <c r="FO60" s="201"/>
      <c r="FP60" s="201"/>
      <c r="FQ60" s="201"/>
      <c r="FR60" s="201"/>
      <c r="FS60" s="201"/>
      <c r="FT60" s="201"/>
      <c r="FU60" s="201"/>
      <c r="FV60" s="201"/>
      <c r="FW60" s="201"/>
      <c r="FX60" s="201"/>
      <c r="FY60" s="201"/>
      <c r="FZ60" s="201"/>
      <c r="GA60" s="201"/>
      <c r="GB60" s="201"/>
      <c r="GC60" s="201"/>
      <c r="GD60" s="201"/>
      <c r="GE60" s="201"/>
      <c r="GF60" s="201"/>
      <c r="GG60" s="201"/>
      <c r="GH60" s="201"/>
      <c r="GI60" s="201"/>
      <c r="GJ60" s="201"/>
      <c r="GK60" s="201"/>
      <c r="GL60" s="201"/>
      <c r="GM60" s="201"/>
      <c r="GN60" s="201"/>
      <c r="GO60" s="201"/>
      <c r="GP60" s="201"/>
      <c r="GQ60" s="201"/>
    </row>
    <row r="61" spans="1:204" s="68" customFormat="1" ht="14.45" customHeight="1" x14ac:dyDescent="0.25">
      <c r="A61" s="68" t="s">
        <v>693</v>
      </c>
      <c r="B61" s="82" t="s">
        <v>154</v>
      </c>
      <c r="C61" s="82" t="s">
        <v>172</v>
      </c>
      <c r="D61" s="82" t="s">
        <v>196</v>
      </c>
      <c r="E61" s="82" t="s">
        <v>309</v>
      </c>
      <c r="F61" s="82" t="s">
        <v>549</v>
      </c>
      <c r="G61" s="82" t="s">
        <v>137</v>
      </c>
      <c r="H61" s="82" t="s">
        <v>137</v>
      </c>
      <c r="I61" s="82" t="s">
        <v>66</v>
      </c>
      <c r="J61" s="82" t="s">
        <v>29</v>
      </c>
      <c r="K61" s="92" t="s">
        <v>137</v>
      </c>
      <c r="L61" s="92" t="s">
        <v>137</v>
      </c>
      <c r="M61" s="92" t="s">
        <v>137</v>
      </c>
      <c r="N61" s="92" t="s">
        <v>137</v>
      </c>
      <c r="O61" s="92" t="s">
        <v>137</v>
      </c>
      <c r="P61" s="92" t="s">
        <v>137</v>
      </c>
      <c r="Q61" s="82" t="s">
        <v>87</v>
      </c>
      <c r="R61" s="82" t="s">
        <v>714</v>
      </c>
      <c r="S61" s="82" t="s">
        <v>40</v>
      </c>
      <c r="T61" s="82" t="s">
        <v>2</v>
      </c>
      <c r="U61" s="83"/>
      <c r="V61" s="83">
        <v>0.05</v>
      </c>
      <c r="W61" s="83">
        <v>0.08</v>
      </c>
      <c r="X61" s="83">
        <v>0.15</v>
      </c>
      <c r="Y61" s="83">
        <v>0.2</v>
      </c>
      <c r="Z61" s="83">
        <v>0.25</v>
      </c>
      <c r="AA61" s="83">
        <v>0.37</v>
      </c>
      <c r="AB61" s="83">
        <v>0.42</v>
      </c>
      <c r="AC61" s="83">
        <v>0.57999999999999996</v>
      </c>
      <c r="AD61" s="83">
        <v>0.67</v>
      </c>
      <c r="AE61" s="83">
        <v>0.83</v>
      </c>
      <c r="AF61" s="83">
        <v>1</v>
      </c>
      <c r="AG61" s="82" t="s">
        <v>778</v>
      </c>
      <c r="AH61" s="82" t="s">
        <v>530</v>
      </c>
      <c r="AI61" s="88" t="s">
        <v>538</v>
      </c>
      <c r="AJ61" s="89" t="s">
        <v>538</v>
      </c>
      <c r="AK61" s="90">
        <v>46023</v>
      </c>
      <c r="AL61" s="90">
        <v>46387</v>
      </c>
      <c r="AM61" s="89"/>
      <c r="AN61" s="89"/>
      <c r="AO61" s="89"/>
      <c r="AP61" s="91" t="s">
        <v>539</v>
      </c>
      <c r="AQ61" s="90" cm="1">
        <f t="array" ref="AQ61">IFERROR(DATE(2026, _xlfn.AGGREGATE(15, 6, (COLUMN(BY61:CJ61)-COLUMN(BY61)+1)/(BY61:CJ61&lt;&gt;0), 1), 1),"N/A")</f>
        <v>46023</v>
      </c>
      <c r="AR61" s="90" cm="1">
        <f t="array" ref="AR61">IFERROR(EOMONTH(DATE(2026, _xlfn.AGGREGATE(14, 6, (COLUMN(BY61:CJ61)-COLUMN(BY61)+1)/(BY61:CJ61&lt;&gt;0), 1), 1), 0),"N/A")</f>
        <v>46387</v>
      </c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2" t="s">
        <v>718</v>
      </c>
      <c r="BF61" s="82" t="s">
        <v>752</v>
      </c>
      <c r="BG61" s="82" t="str">
        <f t="shared" si="0"/>
        <v>000</v>
      </c>
      <c r="BH61" s="88">
        <v>530606</v>
      </c>
      <c r="BI61" s="92" t="s">
        <v>74</v>
      </c>
      <c r="BJ61" s="93">
        <v>6000</v>
      </c>
      <c r="BK61" s="94">
        <v>2000</v>
      </c>
      <c r="BL61" s="94">
        <v>2000</v>
      </c>
      <c r="BM61" s="94">
        <v>2000</v>
      </c>
      <c r="BN61" s="74">
        <v>0</v>
      </c>
      <c r="BO61" s="74">
        <v>0</v>
      </c>
      <c r="BP61" s="74">
        <v>0</v>
      </c>
      <c r="BQ61" s="74">
        <v>0</v>
      </c>
      <c r="BR61" s="74">
        <v>0</v>
      </c>
      <c r="BS61" s="74">
        <v>0</v>
      </c>
      <c r="BT61" s="74">
        <v>0</v>
      </c>
      <c r="BU61" s="74">
        <v>0</v>
      </c>
      <c r="BV61" s="143">
        <v>0</v>
      </c>
      <c r="BW61" s="143">
        <v>18000</v>
      </c>
      <c r="BX61" s="143">
        <f t="shared" si="5"/>
        <v>24000</v>
      </c>
      <c r="BY61" s="94">
        <v>2000</v>
      </c>
      <c r="BZ61" s="94">
        <v>2000</v>
      </c>
      <c r="CA61" s="94">
        <v>2000</v>
      </c>
      <c r="CB61" s="94">
        <v>2000</v>
      </c>
      <c r="CC61" s="94">
        <v>2000</v>
      </c>
      <c r="CD61" s="94">
        <v>2000</v>
      </c>
      <c r="CE61" s="94">
        <v>2000</v>
      </c>
      <c r="CF61" s="94">
        <v>2000</v>
      </c>
      <c r="CG61" s="94">
        <v>2000</v>
      </c>
      <c r="CH61" s="94">
        <v>2000</v>
      </c>
      <c r="CI61" s="94">
        <v>2000</v>
      </c>
      <c r="CJ61" s="94">
        <v>2000</v>
      </c>
      <c r="CK61" s="142"/>
      <c r="CL61" s="142">
        <f t="shared" si="1"/>
        <v>0</v>
      </c>
      <c r="CM61" s="171">
        <v>0</v>
      </c>
      <c r="CN61" s="171">
        <v>5000</v>
      </c>
      <c r="CO61" s="171">
        <v>0</v>
      </c>
      <c r="CP61" s="171">
        <v>0</v>
      </c>
      <c r="CQ61" s="171">
        <v>1000</v>
      </c>
      <c r="CR61" s="171">
        <v>4000</v>
      </c>
      <c r="CS61" s="171">
        <f t="shared" si="2"/>
        <v>0</v>
      </c>
      <c r="CT61" s="171">
        <f t="shared" si="3"/>
        <v>6000</v>
      </c>
      <c r="CU61" s="171">
        <f t="shared" si="4"/>
        <v>4000</v>
      </c>
      <c r="CV61" s="149"/>
      <c r="CW61" s="149"/>
      <c r="CX61" s="130"/>
      <c r="CY61" s="130"/>
      <c r="CZ61" s="130"/>
      <c r="DA61" s="130"/>
      <c r="DB61" s="130"/>
      <c r="DC61" s="130"/>
      <c r="DD61" s="130" t="s">
        <v>884</v>
      </c>
      <c r="DE61" s="130"/>
      <c r="DF61" s="130"/>
      <c r="DG61" s="130"/>
      <c r="DH61" s="130"/>
      <c r="DI61" s="130"/>
      <c r="DJ61" s="130"/>
      <c r="DK61" s="130"/>
      <c r="DL61" s="130"/>
      <c r="DM61" s="130"/>
      <c r="DN61" s="130"/>
      <c r="DO61" s="130"/>
      <c r="DP61" s="130"/>
      <c r="DQ61" s="130"/>
      <c r="DR61" s="130"/>
      <c r="DS61" s="130"/>
      <c r="DT61" s="130"/>
      <c r="DU61" s="130"/>
      <c r="DV61" s="130"/>
      <c r="DW61" s="130"/>
      <c r="DX61" s="130"/>
      <c r="DY61" s="130"/>
      <c r="DZ61" s="130"/>
      <c r="EA61" s="130"/>
      <c r="EB61" s="130"/>
      <c r="EC61" s="130"/>
      <c r="ED61" s="130"/>
      <c r="EE61" s="130"/>
      <c r="EF61" s="130"/>
      <c r="EG61" s="130"/>
      <c r="EH61" s="130"/>
      <c r="EI61" s="130"/>
      <c r="EJ61" s="130"/>
      <c r="EK61" s="130"/>
      <c r="EL61" s="130"/>
      <c r="EM61" s="130"/>
      <c r="EN61" s="130"/>
      <c r="EO61" s="130"/>
      <c r="EP61" s="130"/>
      <c r="EQ61" s="130"/>
      <c r="ER61" s="130"/>
      <c r="ES61" s="130"/>
      <c r="ET61" s="130"/>
      <c r="EU61" s="130"/>
      <c r="EV61" s="130"/>
      <c r="EW61" s="130"/>
      <c r="EX61" s="130"/>
      <c r="EY61" s="130"/>
      <c r="EZ61" s="130"/>
      <c r="FA61" s="130"/>
      <c r="FB61" s="201"/>
      <c r="FC61" s="201"/>
      <c r="FD61" s="201"/>
      <c r="FE61" s="201"/>
      <c r="FF61" s="201"/>
      <c r="FG61" s="201"/>
      <c r="FH61" s="201"/>
      <c r="FI61" s="201"/>
      <c r="FJ61" s="201"/>
      <c r="FK61" s="201"/>
      <c r="FL61" s="201"/>
      <c r="FM61" s="201"/>
      <c r="FN61" s="201"/>
      <c r="FO61" s="201"/>
      <c r="FP61" s="201"/>
      <c r="FQ61" s="201"/>
      <c r="FR61" s="201"/>
      <c r="FS61" s="201"/>
      <c r="FT61" s="201"/>
      <c r="FU61" s="201"/>
      <c r="FV61" s="201"/>
      <c r="FW61" s="201"/>
      <c r="FX61" s="201"/>
      <c r="FY61" s="201"/>
      <c r="FZ61" s="201"/>
      <c r="GA61" s="201"/>
      <c r="GB61" s="201"/>
      <c r="GC61" s="201"/>
      <c r="GD61" s="201"/>
      <c r="GE61" s="201"/>
      <c r="GF61" s="201"/>
      <c r="GG61" s="201"/>
      <c r="GH61" s="201"/>
      <c r="GI61" s="201"/>
      <c r="GJ61" s="201"/>
      <c r="GK61" s="201"/>
      <c r="GL61" s="201"/>
      <c r="GM61" s="201"/>
      <c r="GN61" s="201"/>
      <c r="GO61" s="201"/>
      <c r="GP61" s="201"/>
      <c r="GQ61" s="201"/>
    </row>
    <row r="62" spans="1:204" s="68" customFormat="1" ht="14.45" customHeight="1" x14ac:dyDescent="0.25">
      <c r="A62" s="68" t="s">
        <v>691</v>
      </c>
      <c r="B62" s="82" t="s">
        <v>154</v>
      </c>
      <c r="C62" s="82" t="s">
        <v>172</v>
      </c>
      <c r="D62" s="82" t="s">
        <v>196</v>
      </c>
      <c r="E62" s="82" t="s">
        <v>309</v>
      </c>
      <c r="F62" s="82" t="s">
        <v>549</v>
      </c>
      <c r="G62" s="82" t="s">
        <v>137</v>
      </c>
      <c r="H62" s="82" t="s">
        <v>137</v>
      </c>
      <c r="I62" s="82" t="s">
        <v>66</v>
      </c>
      <c r="J62" s="82" t="s">
        <v>29</v>
      </c>
      <c r="K62" s="92" t="s">
        <v>137</v>
      </c>
      <c r="L62" s="92" t="s">
        <v>137</v>
      </c>
      <c r="M62" s="92" t="s">
        <v>137</v>
      </c>
      <c r="N62" s="92" t="s">
        <v>137</v>
      </c>
      <c r="O62" s="92" t="s">
        <v>137</v>
      </c>
      <c r="P62" s="92" t="s">
        <v>137</v>
      </c>
      <c r="Q62" s="82" t="s">
        <v>87</v>
      </c>
      <c r="R62" s="82" t="s">
        <v>714</v>
      </c>
      <c r="S62" s="82" t="s">
        <v>40</v>
      </c>
      <c r="T62" s="82" t="s">
        <v>2</v>
      </c>
      <c r="U62" s="83"/>
      <c r="V62" s="83">
        <v>0.05</v>
      </c>
      <c r="W62" s="83">
        <v>0.08</v>
      </c>
      <c r="X62" s="83">
        <v>0.15</v>
      </c>
      <c r="Y62" s="83">
        <v>0.2</v>
      </c>
      <c r="Z62" s="83">
        <v>0.25</v>
      </c>
      <c r="AA62" s="83">
        <v>0.37</v>
      </c>
      <c r="AB62" s="83">
        <v>0.42</v>
      </c>
      <c r="AC62" s="83">
        <v>0.57999999999999996</v>
      </c>
      <c r="AD62" s="83">
        <v>0.67</v>
      </c>
      <c r="AE62" s="83">
        <v>0.83</v>
      </c>
      <c r="AF62" s="83">
        <v>1</v>
      </c>
      <c r="AG62" s="82" t="s">
        <v>532</v>
      </c>
      <c r="AH62" s="82" t="s">
        <v>794</v>
      </c>
      <c r="AI62" s="88" t="s">
        <v>538</v>
      </c>
      <c r="AJ62" s="89" t="s">
        <v>538</v>
      </c>
      <c r="AK62" s="90">
        <v>46023</v>
      </c>
      <c r="AL62" s="90">
        <v>46387</v>
      </c>
      <c r="AM62" s="89"/>
      <c r="AN62" s="89"/>
      <c r="AO62" s="89"/>
      <c r="AP62" s="91" t="s">
        <v>539</v>
      </c>
      <c r="AQ62" s="90" cm="1">
        <f t="array" ref="AQ62">IFERROR(DATE(2026, _xlfn.AGGREGATE(15, 6, (COLUMN(BY62:CJ62)-COLUMN(BY62)+1)/(BY62:CJ62&lt;&gt;0), 1), 1),"N/A")</f>
        <v>46357</v>
      </c>
      <c r="AR62" s="90" cm="1">
        <f t="array" ref="AR62">IFERROR(EOMONTH(DATE(2026, _xlfn.AGGREGATE(14, 6, (COLUMN(BY62:CJ62)-COLUMN(BY62)+1)/(BY62:CJ62&lt;&gt;0), 1), 1), 0),"N/A")</f>
        <v>46387</v>
      </c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2" t="s">
        <v>576</v>
      </c>
      <c r="BF62" s="82" t="s">
        <v>938</v>
      </c>
      <c r="BG62" s="82" t="str">
        <f t="shared" si="0"/>
        <v>000</v>
      </c>
      <c r="BH62" s="88">
        <v>530606</v>
      </c>
      <c r="BI62" s="92" t="s">
        <v>74</v>
      </c>
      <c r="BJ62" s="93">
        <v>450</v>
      </c>
      <c r="BK62" s="74">
        <v>0</v>
      </c>
      <c r="BL62" s="74">
        <v>0</v>
      </c>
      <c r="BM62" s="74">
        <v>0</v>
      </c>
      <c r="BN62" s="74">
        <v>0</v>
      </c>
      <c r="BO62" s="74">
        <v>0</v>
      </c>
      <c r="BP62" s="74">
        <v>0</v>
      </c>
      <c r="BQ62" s="74">
        <v>0</v>
      </c>
      <c r="BR62" s="74">
        <v>0</v>
      </c>
      <c r="BS62" s="74">
        <v>0</v>
      </c>
      <c r="BT62" s="74">
        <v>0</v>
      </c>
      <c r="BU62" s="74">
        <v>0</v>
      </c>
      <c r="BV62" s="142">
        <v>450</v>
      </c>
      <c r="BW62" s="142"/>
      <c r="BX62" s="143">
        <f t="shared" si="5"/>
        <v>450</v>
      </c>
      <c r="BY62" s="74">
        <v>0</v>
      </c>
      <c r="BZ62" s="74">
        <v>0</v>
      </c>
      <c r="CA62" s="74">
        <v>0</v>
      </c>
      <c r="CB62" s="74">
        <v>0</v>
      </c>
      <c r="CC62" s="74">
        <v>0</v>
      </c>
      <c r="CD62" s="74">
        <v>0</v>
      </c>
      <c r="CE62" s="74">
        <v>0</v>
      </c>
      <c r="CF62" s="74">
        <v>0</v>
      </c>
      <c r="CG62" s="74">
        <v>0</v>
      </c>
      <c r="CH62" s="74">
        <v>0</v>
      </c>
      <c r="CI62" s="74">
        <v>0</v>
      </c>
      <c r="CJ62" s="142">
        <v>450</v>
      </c>
      <c r="CK62" s="142"/>
      <c r="CL62" s="142">
        <f t="shared" si="1"/>
        <v>0</v>
      </c>
      <c r="CM62" s="171">
        <v>0</v>
      </c>
      <c r="CN62" s="171">
        <v>0</v>
      </c>
      <c r="CO62" s="171">
        <v>397.5</v>
      </c>
      <c r="CP62" s="171">
        <v>0</v>
      </c>
      <c r="CQ62" s="171">
        <v>0</v>
      </c>
      <c r="CR62" s="171">
        <v>0</v>
      </c>
      <c r="CS62" s="171">
        <f t="shared" si="2"/>
        <v>0</v>
      </c>
      <c r="CT62" s="171">
        <f t="shared" si="3"/>
        <v>0</v>
      </c>
      <c r="CU62" s="171">
        <f t="shared" si="4"/>
        <v>397.5</v>
      </c>
      <c r="CV62" s="149"/>
      <c r="CW62" s="149"/>
      <c r="CX62" s="130"/>
      <c r="CY62" s="130"/>
      <c r="CZ62" s="130"/>
      <c r="DA62" s="130"/>
      <c r="DB62" s="130"/>
      <c r="DC62" s="130"/>
      <c r="DD62" s="130"/>
      <c r="DE62" s="130"/>
      <c r="DF62" s="130"/>
      <c r="DG62" s="130"/>
      <c r="DH62" s="130"/>
      <c r="DI62" s="130"/>
      <c r="DJ62" s="130"/>
      <c r="DK62" s="130"/>
      <c r="DL62" s="130"/>
      <c r="DM62" s="130"/>
      <c r="DN62" s="130"/>
      <c r="DO62" s="130"/>
      <c r="DP62" s="130"/>
      <c r="DQ62" s="130"/>
      <c r="DR62" s="130"/>
      <c r="DS62" s="130"/>
      <c r="DT62" s="130"/>
      <c r="DU62" s="130"/>
      <c r="DV62" s="130"/>
      <c r="DW62" s="130"/>
      <c r="DX62" s="130"/>
      <c r="DY62" s="130"/>
      <c r="DZ62" s="130"/>
      <c r="EA62" s="130"/>
      <c r="EB62" s="130"/>
      <c r="EC62" s="130"/>
      <c r="ED62" s="130"/>
      <c r="EE62" s="130"/>
      <c r="EF62" s="130"/>
      <c r="EG62" s="130"/>
      <c r="EH62" s="130"/>
      <c r="EI62" s="130"/>
      <c r="EJ62" s="130"/>
      <c r="EK62" s="130"/>
      <c r="EL62" s="130"/>
      <c r="EM62" s="130"/>
      <c r="EN62" s="130"/>
      <c r="EO62" s="130"/>
      <c r="EP62" s="130"/>
      <c r="EQ62" s="130"/>
      <c r="ER62" s="130"/>
      <c r="ES62" s="130"/>
      <c r="ET62" s="130"/>
      <c r="EU62" s="130"/>
      <c r="EV62" s="130"/>
      <c r="EW62" s="130"/>
      <c r="EX62" s="130"/>
      <c r="EY62" s="130"/>
      <c r="EZ62" s="130"/>
      <c r="FA62" s="130"/>
      <c r="FB62" s="201"/>
      <c r="FC62" s="201"/>
      <c r="FD62" s="201"/>
      <c r="FE62" s="201"/>
      <c r="FF62" s="201"/>
      <c r="FG62" s="201"/>
      <c r="FH62" s="201"/>
      <c r="FI62" s="201"/>
      <c r="FJ62" s="201"/>
      <c r="FK62" s="201"/>
      <c r="FL62" s="201"/>
      <c r="FM62" s="201"/>
      <c r="FN62" s="201"/>
      <c r="FO62" s="201"/>
      <c r="FP62" s="201"/>
      <c r="FQ62" s="201"/>
      <c r="FR62" s="201"/>
      <c r="FS62" s="201"/>
      <c r="FT62" s="201"/>
      <c r="FU62" s="201"/>
      <c r="FV62" s="201"/>
      <c r="FW62" s="201"/>
      <c r="FX62" s="201"/>
      <c r="FY62" s="201"/>
      <c r="FZ62" s="201"/>
      <c r="GA62" s="201"/>
      <c r="GB62" s="201"/>
      <c r="GC62" s="201"/>
      <c r="GD62" s="201"/>
      <c r="GE62" s="201"/>
      <c r="GF62" s="201"/>
      <c r="GG62" s="201"/>
      <c r="GH62" s="201"/>
      <c r="GI62" s="201"/>
      <c r="GJ62" s="201"/>
      <c r="GK62" s="201"/>
      <c r="GL62" s="201"/>
      <c r="GM62" s="201"/>
      <c r="GN62" s="201"/>
      <c r="GO62" s="201"/>
      <c r="GP62" s="201"/>
      <c r="GQ62" s="201"/>
    </row>
    <row r="63" spans="1:204" s="68" customFormat="1" ht="14.45" customHeight="1" x14ac:dyDescent="0.25">
      <c r="A63" s="68" t="s">
        <v>691</v>
      </c>
      <c r="B63" s="82" t="s">
        <v>154</v>
      </c>
      <c r="C63" s="82" t="s">
        <v>172</v>
      </c>
      <c r="D63" s="82" t="s">
        <v>196</v>
      </c>
      <c r="E63" s="82" t="s">
        <v>309</v>
      </c>
      <c r="F63" s="82" t="s">
        <v>549</v>
      </c>
      <c r="G63" s="82" t="s">
        <v>137</v>
      </c>
      <c r="H63" s="82" t="s">
        <v>137</v>
      </c>
      <c r="I63" s="82" t="s">
        <v>66</v>
      </c>
      <c r="J63" s="82" t="s">
        <v>29</v>
      </c>
      <c r="K63" s="92" t="s">
        <v>137</v>
      </c>
      <c r="L63" s="92" t="s">
        <v>137</v>
      </c>
      <c r="M63" s="92" t="s">
        <v>137</v>
      </c>
      <c r="N63" s="92" t="s">
        <v>137</v>
      </c>
      <c r="O63" s="92" t="s">
        <v>137</v>
      </c>
      <c r="P63" s="92" t="s">
        <v>137</v>
      </c>
      <c r="Q63" s="82" t="s">
        <v>87</v>
      </c>
      <c r="R63" s="82" t="s">
        <v>714</v>
      </c>
      <c r="S63" s="82" t="s">
        <v>40</v>
      </c>
      <c r="T63" s="82" t="s">
        <v>2</v>
      </c>
      <c r="U63" s="83"/>
      <c r="V63" s="83">
        <v>0.05</v>
      </c>
      <c r="W63" s="83">
        <v>0.08</v>
      </c>
      <c r="X63" s="83">
        <v>0.15</v>
      </c>
      <c r="Y63" s="83">
        <v>0.2</v>
      </c>
      <c r="Z63" s="83">
        <v>0.25</v>
      </c>
      <c r="AA63" s="83">
        <v>0.37</v>
      </c>
      <c r="AB63" s="83">
        <v>0.42</v>
      </c>
      <c r="AC63" s="83">
        <v>0.57999999999999996</v>
      </c>
      <c r="AD63" s="83">
        <v>0.67</v>
      </c>
      <c r="AE63" s="83">
        <v>0.83</v>
      </c>
      <c r="AF63" s="83">
        <v>1</v>
      </c>
      <c r="AG63" s="82" t="s">
        <v>532</v>
      </c>
      <c r="AH63" s="82" t="s">
        <v>794</v>
      </c>
      <c r="AI63" s="88" t="s">
        <v>538</v>
      </c>
      <c r="AJ63" s="89" t="s">
        <v>538</v>
      </c>
      <c r="AK63" s="90">
        <v>46023</v>
      </c>
      <c r="AL63" s="90">
        <v>46387</v>
      </c>
      <c r="AM63" s="89"/>
      <c r="AN63" s="89"/>
      <c r="AO63" s="89"/>
      <c r="AP63" s="91" t="s">
        <v>539</v>
      </c>
      <c r="AQ63" s="90" cm="1">
        <f t="array" ref="AQ63">IFERROR(DATE(2026, _xlfn.AGGREGATE(15, 6, (COLUMN(BY63:CJ63)-COLUMN(BY63)+1)/(BY63:CJ63&lt;&gt;0), 1), 1),"N/A")</f>
        <v>46357</v>
      </c>
      <c r="AR63" s="90" cm="1">
        <f t="array" ref="AR63">IFERROR(EOMONTH(DATE(2026, _xlfn.AGGREGATE(14, 6, (COLUMN(BY63:CJ63)-COLUMN(BY63)+1)/(BY63:CJ63&lt;&gt;0), 1), 1), 0),"N/A")</f>
        <v>46387</v>
      </c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2" t="s">
        <v>1108</v>
      </c>
      <c r="BF63" s="82" t="s">
        <v>1109</v>
      </c>
      <c r="BG63" s="82" t="str">
        <f t="shared" si="0"/>
        <v>000</v>
      </c>
      <c r="BH63" s="88">
        <v>530606</v>
      </c>
      <c r="BI63" s="92" t="s">
        <v>74</v>
      </c>
      <c r="BJ63" s="93">
        <v>0</v>
      </c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142"/>
      <c r="BW63" s="142">
        <v>450</v>
      </c>
      <c r="BX63" s="143">
        <f t="shared" si="5"/>
        <v>450</v>
      </c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142">
        <v>450</v>
      </c>
      <c r="CK63" s="142"/>
      <c r="CL63" s="142">
        <f t="shared" si="1"/>
        <v>0</v>
      </c>
      <c r="CM63" s="171">
        <v>0</v>
      </c>
      <c r="CN63" s="171">
        <v>0</v>
      </c>
      <c r="CO63" s="171">
        <v>0</v>
      </c>
      <c r="CP63" s="171">
        <v>0</v>
      </c>
      <c r="CQ63" s="171">
        <v>0</v>
      </c>
      <c r="CR63" s="171">
        <v>0</v>
      </c>
      <c r="CS63" s="171">
        <f t="shared" si="2"/>
        <v>0</v>
      </c>
      <c r="CT63" s="171">
        <f t="shared" si="3"/>
        <v>0</v>
      </c>
      <c r="CU63" s="171">
        <f t="shared" si="4"/>
        <v>0</v>
      </c>
      <c r="CV63" s="149"/>
      <c r="CW63" s="149"/>
      <c r="CX63" s="130"/>
      <c r="CY63" s="130"/>
      <c r="CZ63" s="130"/>
      <c r="DA63" s="130"/>
      <c r="DB63" s="130"/>
      <c r="DC63" s="130"/>
      <c r="DD63" s="130"/>
      <c r="DE63" s="130"/>
      <c r="DF63" s="130"/>
      <c r="DG63" s="130"/>
      <c r="DH63" s="130"/>
      <c r="DI63" s="130"/>
      <c r="DJ63" s="130"/>
      <c r="DK63" s="130"/>
      <c r="DL63" s="130"/>
      <c r="DM63" s="130"/>
      <c r="DN63" s="130"/>
      <c r="DO63" s="130"/>
      <c r="DP63" s="130"/>
      <c r="DQ63" s="130"/>
      <c r="DR63" s="130"/>
      <c r="DS63" s="130"/>
      <c r="DT63" s="130"/>
      <c r="DU63" s="130"/>
      <c r="DV63" s="130"/>
      <c r="DW63" s="130"/>
      <c r="DX63" s="130"/>
      <c r="DY63" s="130"/>
      <c r="DZ63" s="130"/>
      <c r="EA63" s="130"/>
      <c r="EB63" s="130"/>
      <c r="EC63" s="130"/>
      <c r="ED63" s="130"/>
      <c r="EE63" s="130"/>
      <c r="EF63" s="130"/>
      <c r="EG63" s="130"/>
      <c r="EH63" s="130"/>
      <c r="EI63" s="130"/>
      <c r="EJ63" s="130"/>
      <c r="EK63" s="130"/>
      <c r="EL63" s="130"/>
      <c r="EM63" s="130"/>
      <c r="EN63" s="130"/>
      <c r="EO63" s="130"/>
      <c r="EP63" s="130"/>
      <c r="EQ63" s="130"/>
      <c r="ER63" s="130"/>
      <c r="ES63" s="130"/>
      <c r="ET63" s="130"/>
      <c r="EU63" s="130"/>
      <c r="EV63" s="130"/>
      <c r="EW63" s="130"/>
      <c r="EX63" s="130"/>
      <c r="EY63" s="130"/>
      <c r="EZ63" s="130"/>
      <c r="FA63" s="130"/>
      <c r="FB63" s="201"/>
      <c r="FC63" s="201"/>
      <c r="FD63" s="201"/>
      <c r="FE63" s="201"/>
      <c r="FF63" s="201"/>
      <c r="FG63" s="201"/>
      <c r="FH63" s="201"/>
      <c r="FI63" s="201"/>
      <c r="FJ63" s="201"/>
      <c r="FK63" s="201"/>
      <c r="FL63" s="201"/>
      <c r="FM63" s="201"/>
      <c r="FN63" s="201"/>
      <c r="FO63" s="201"/>
      <c r="FP63" s="201"/>
      <c r="FQ63" s="201"/>
      <c r="FR63" s="201"/>
      <c r="FS63" s="201"/>
      <c r="FT63" s="201"/>
      <c r="FU63" s="201"/>
      <c r="FV63" s="201"/>
      <c r="FW63" s="201"/>
      <c r="FX63" s="201"/>
      <c r="FY63" s="201"/>
      <c r="FZ63" s="201"/>
      <c r="GA63" s="201"/>
      <c r="GB63" s="201"/>
      <c r="GC63" s="201"/>
      <c r="GD63" s="201"/>
      <c r="GE63" s="201"/>
      <c r="GF63" s="201"/>
      <c r="GG63" s="201"/>
      <c r="GH63" s="201"/>
      <c r="GI63" s="201"/>
      <c r="GJ63" s="201"/>
      <c r="GK63" s="201"/>
      <c r="GL63" s="201"/>
      <c r="GM63" s="201"/>
      <c r="GN63" s="201"/>
      <c r="GO63" s="201"/>
      <c r="GP63" s="201"/>
      <c r="GQ63" s="201"/>
    </row>
    <row r="64" spans="1:204" s="68" customFormat="1" ht="14.45" customHeight="1" x14ac:dyDescent="0.25">
      <c r="A64" s="68" t="s">
        <v>692</v>
      </c>
      <c r="B64" s="82" t="s">
        <v>154</v>
      </c>
      <c r="C64" s="82" t="s">
        <v>172</v>
      </c>
      <c r="D64" s="82" t="s">
        <v>196</v>
      </c>
      <c r="E64" s="82" t="s">
        <v>309</v>
      </c>
      <c r="F64" s="82" t="s">
        <v>549</v>
      </c>
      <c r="G64" s="82" t="s">
        <v>137</v>
      </c>
      <c r="H64" s="82" t="s">
        <v>137</v>
      </c>
      <c r="I64" s="82" t="s">
        <v>66</v>
      </c>
      <c r="J64" s="82" t="s">
        <v>29</v>
      </c>
      <c r="K64" s="92" t="s">
        <v>137</v>
      </c>
      <c r="L64" s="92" t="s">
        <v>137</v>
      </c>
      <c r="M64" s="92" t="s">
        <v>137</v>
      </c>
      <c r="N64" s="92" t="s">
        <v>137</v>
      </c>
      <c r="O64" s="92" t="s">
        <v>137</v>
      </c>
      <c r="P64" s="92" t="s">
        <v>137</v>
      </c>
      <c r="Q64" s="82" t="s">
        <v>87</v>
      </c>
      <c r="R64" s="82" t="s">
        <v>714</v>
      </c>
      <c r="S64" s="82" t="s">
        <v>40</v>
      </c>
      <c r="T64" s="82" t="s">
        <v>2</v>
      </c>
      <c r="U64" s="83"/>
      <c r="V64" s="83">
        <v>0.05</v>
      </c>
      <c r="W64" s="83">
        <v>0.08</v>
      </c>
      <c r="X64" s="83">
        <v>0.15</v>
      </c>
      <c r="Y64" s="83">
        <v>0.2</v>
      </c>
      <c r="Z64" s="83">
        <v>0.25</v>
      </c>
      <c r="AA64" s="83">
        <v>0.37</v>
      </c>
      <c r="AB64" s="83">
        <v>0.42</v>
      </c>
      <c r="AC64" s="83">
        <v>0.57999999999999996</v>
      </c>
      <c r="AD64" s="83">
        <v>0.67</v>
      </c>
      <c r="AE64" s="83">
        <v>0.83</v>
      </c>
      <c r="AF64" s="83">
        <v>1</v>
      </c>
      <c r="AG64" s="82" t="s">
        <v>532</v>
      </c>
      <c r="AH64" s="82" t="s">
        <v>529</v>
      </c>
      <c r="AI64" s="88" t="s">
        <v>538</v>
      </c>
      <c r="AJ64" s="89" t="s">
        <v>538</v>
      </c>
      <c r="AK64" s="90">
        <v>46023</v>
      </c>
      <c r="AL64" s="90">
        <v>46387</v>
      </c>
      <c r="AM64" s="89"/>
      <c r="AN64" s="89"/>
      <c r="AO64" s="89"/>
      <c r="AP64" s="91" t="s">
        <v>539</v>
      </c>
      <c r="AQ64" s="90" cm="1">
        <f t="array" ref="AQ64">IFERROR(DATE(2026, _xlfn.AGGREGATE(15, 6, (COLUMN(BY64:CJ64)-COLUMN(BY64)+1)/(BY64:CJ64&lt;&gt;0), 1), 1),"N/A")</f>
        <v>46357</v>
      </c>
      <c r="AR64" s="90" cm="1">
        <f t="array" ref="AR64">IFERROR(EOMONTH(DATE(2026, _xlfn.AGGREGATE(14, 6, (COLUMN(BY64:CJ64)-COLUMN(BY64)+1)/(BY64:CJ64&lt;&gt;0), 1), 1), 0),"N/A")</f>
        <v>46387</v>
      </c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2" t="s">
        <v>605</v>
      </c>
      <c r="BF64" s="82" t="s">
        <v>939</v>
      </c>
      <c r="BG64" s="82" t="str">
        <f t="shared" si="0"/>
        <v>000</v>
      </c>
      <c r="BH64" s="88">
        <v>530301</v>
      </c>
      <c r="BI64" s="92" t="s">
        <v>74</v>
      </c>
      <c r="BJ64" s="93">
        <v>3000</v>
      </c>
      <c r="BK64" s="74">
        <v>0</v>
      </c>
      <c r="BL64" s="94">
        <v>250</v>
      </c>
      <c r="BM64" s="94">
        <v>250</v>
      </c>
      <c r="BN64" s="72">
        <v>250</v>
      </c>
      <c r="BO64" s="94">
        <v>250</v>
      </c>
      <c r="BP64" s="94">
        <v>250</v>
      </c>
      <c r="BQ64" s="94">
        <v>250</v>
      </c>
      <c r="BR64" s="94">
        <v>300</v>
      </c>
      <c r="BS64" s="94">
        <v>300</v>
      </c>
      <c r="BT64" s="94">
        <v>300</v>
      </c>
      <c r="BU64" s="94">
        <v>300</v>
      </c>
      <c r="BV64" s="142">
        <v>300</v>
      </c>
      <c r="BW64" s="142">
        <v>-1500</v>
      </c>
      <c r="BX64" s="143">
        <f t="shared" si="5"/>
        <v>1500</v>
      </c>
      <c r="BY64" s="74">
        <v>0</v>
      </c>
      <c r="BZ64" s="94">
        <v>0</v>
      </c>
      <c r="CA64" s="94">
        <v>0</v>
      </c>
      <c r="CB64" s="94">
        <v>0</v>
      </c>
      <c r="CC64" s="94">
        <v>0</v>
      </c>
      <c r="CD64" s="94">
        <v>0</v>
      </c>
      <c r="CE64" s="94">
        <v>0</v>
      </c>
      <c r="CF64" s="94">
        <v>0</v>
      </c>
      <c r="CG64" s="94">
        <v>0</v>
      </c>
      <c r="CH64" s="94">
        <v>0</v>
      </c>
      <c r="CI64" s="94">
        <v>0</v>
      </c>
      <c r="CJ64" s="94">
        <v>1500</v>
      </c>
      <c r="CK64" s="142"/>
      <c r="CL64" s="142">
        <f t="shared" si="1"/>
        <v>0</v>
      </c>
      <c r="CM64" s="171">
        <v>0</v>
      </c>
      <c r="CN64" s="171">
        <v>0</v>
      </c>
      <c r="CO64" s="171">
        <v>0</v>
      </c>
      <c r="CP64" s="171">
        <v>0</v>
      </c>
      <c r="CQ64" s="171">
        <v>0</v>
      </c>
      <c r="CR64" s="171">
        <v>0</v>
      </c>
      <c r="CS64" s="171">
        <f t="shared" si="2"/>
        <v>0</v>
      </c>
      <c r="CT64" s="171">
        <f t="shared" si="3"/>
        <v>0</v>
      </c>
      <c r="CU64" s="171">
        <f t="shared" si="4"/>
        <v>0</v>
      </c>
      <c r="CV64" s="150">
        <v>3000</v>
      </c>
      <c r="CW64" s="150">
        <v>1500</v>
      </c>
      <c r="CX64" s="130">
        <v>1</v>
      </c>
      <c r="CY64" s="130">
        <v>1</v>
      </c>
      <c r="CZ64" s="130"/>
      <c r="DA64" s="130"/>
      <c r="DB64" s="130"/>
      <c r="DC64" s="130"/>
      <c r="DD64" s="130"/>
      <c r="DE64" s="131">
        <v>46058</v>
      </c>
      <c r="DF64" s="132"/>
      <c r="DG64" s="132"/>
      <c r="DH64" s="132"/>
      <c r="DI64" s="132"/>
      <c r="DJ64" s="131">
        <v>46059</v>
      </c>
      <c r="DK64" s="131">
        <v>46062</v>
      </c>
      <c r="DL64" s="131">
        <v>46062</v>
      </c>
      <c r="DM64" s="131"/>
      <c r="DN64" s="131"/>
      <c r="DO64" s="131"/>
      <c r="DP64" s="131">
        <v>46062</v>
      </c>
      <c r="DQ64" s="131">
        <v>46297</v>
      </c>
      <c r="DR64" s="133"/>
      <c r="DS64" s="133"/>
      <c r="DT64" s="133"/>
      <c r="DU64" s="133"/>
      <c r="DV64" s="133"/>
      <c r="DW64" s="133"/>
      <c r="DX64" s="133"/>
      <c r="DY64" s="133"/>
      <c r="DZ64" s="133"/>
      <c r="EA64" s="133">
        <v>46297</v>
      </c>
      <c r="EB64" s="133"/>
      <c r="EC64" s="135" t="s">
        <v>854</v>
      </c>
      <c r="ED64" s="132" t="s">
        <v>871</v>
      </c>
      <c r="EE64" s="131" t="e">
        <v>#VALUE!</v>
      </c>
      <c r="EF64" s="131" t="e">
        <v>#VALUE!</v>
      </c>
      <c r="EG64" s="131"/>
      <c r="EH64" s="131"/>
      <c r="EI64" s="131"/>
      <c r="EJ64" s="131" t="e">
        <v>#VALUE!</v>
      </c>
      <c r="EK64" s="131">
        <v>46297</v>
      </c>
      <c r="EL64" s="132">
        <v>18</v>
      </c>
      <c r="EM64" s="133"/>
      <c r="EN64" s="133"/>
      <c r="EO64" s="133"/>
      <c r="EP64" s="133"/>
      <c r="EQ64" s="133"/>
      <c r="ER64" s="133"/>
      <c r="ES64" s="133"/>
      <c r="ET64" s="133"/>
      <c r="EU64" s="133"/>
      <c r="EV64" s="134"/>
      <c r="EW64" s="133">
        <v>46297</v>
      </c>
      <c r="EX64" s="133"/>
      <c r="EY64" s="135" t="s">
        <v>854</v>
      </c>
      <c r="EZ64" s="132" t="s">
        <v>871</v>
      </c>
      <c r="FA64" s="130"/>
      <c r="FB64" s="203">
        <v>46055</v>
      </c>
      <c r="FC64" s="203">
        <v>46055</v>
      </c>
      <c r="FD64" s="203">
        <v>46056</v>
      </c>
      <c r="FE64" s="203">
        <v>46056</v>
      </c>
      <c r="FF64" s="203">
        <v>46056</v>
      </c>
      <c r="FG64" s="203">
        <v>46057</v>
      </c>
      <c r="FH64" s="203">
        <v>46058</v>
      </c>
      <c r="FI64" s="203">
        <v>46059</v>
      </c>
      <c r="FJ64" s="203">
        <v>46062</v>
      </c>
      <c r="FK64" s="203">
        <v>46063</v>
      </c>
      <c r="FL64" s="203">
        <v>46064</v>
      </c>
      <c r="FM64" s="203">
        <v>46064</v>
      </c>
      <c r="FN64" s="203">
        <v>46065</v>
      </c>
      <c r="FO64" s="203">
        <v>46066</v>
      </c>
      <c r="FP64" s="203">
        <v>46069</v>
      </c>
      <c r="FQ64" s="203">
        <v>46071</v>
      </c>
      <c r="FR64" s="203">
        <v>46071</v>
      </c>
      <c r="FS64" s="203">
        <v>46072</v>
      </c>
      <c r="FT64" s="203">
        <v>46072</v>
      </c>
      <c r="FU64" s="203"/>
      <c r="FV64" s="203"/>
      <c r="FW64" s="203"/>
      <c r="FX64" s="203"/>
      <c r="FY64" s="203">
        <v>46073</v>
      </c>
      <c r="FZ64" s="203">
        <v>46076</v>
      </c>
      <c r="GA64" s="203">
        <v>46076</v>
      </c>
      <c r="GB64" s="203">
        <v>46077</v>
      </c>
      <c r="GC64" s="203">
        <v>46078</v>
      </c>
      <c r="GD64" s="203">
        <v>46079</v>
      </c>
      <c r="GE64" s="203">
        <v>46080</v>
      </c>
      <c r="GF64" s="203">
        <v>46080</v>
      </c>
      <c r="GG64" s="203">
        <v>18</v>
      </c>
      <c r="GH64" s="203">
        <v>46084</v>
      </c>
      <c r="GI64" s="203">
        <v>46086</v>
      </c>
      <c r="GJ64" s="203">
        <v>46090</v>
      </c>
      <c r="GK64" s="203">
        <v>46091</v>
      </c>
      <c r="GL64" s="203">
        <v>46092</v>
      </c>
      <c r="GM64" s="203">
        <v>46094</v>
      </c>
      <c r="GN64" s="203">
        <v>46097</v>
      </c>
      <c r="GO64" s="203">
        <v>46097</v>
      </c>
      <c r="GP64" s="203">
        <v>46100</v>
      </c>
      <c r="GQ64" s="203">
        <v>46105</v>
      </c>
      <c r="GR64" s="187"/>
      <c r="GS64" s="187" t="s">
        <v>1180</v>
      </c>
      <c r="GT64" s="187" t="s">
        <v>863</v>
      </c>
      <c r="GU64" s="187" t="s">
        <v>871</v>
      </c>
      <c r="GV64" s="187" t="s">
        <v>1156</v>
      </c>
    </row>
    <row r="65" spans="1:204" s="68" customFormat="1" ht="14.45" customHeight="1" x14ac:dyDescent="0.25">
      <c r="A65" s="68" t="s">
        <v>692</v>
      </c>
      <c r="B65" s="82" t="s">
        <v>154</v>
      </c>
      <c r="C65" s="82" t="s">
        <v>172</v>
      </c>
      <c r="D65" s="82" t="s">
        <v>196</v>
      </c>
      <c r="E65" s="82" t="s">
        <v>309</v>
      </c>
      <c r="F65" s="82" t="s">
        <v>549</v>
      </c>
      <c r="G65" s="82" t="s">
        <v>137</v>
      </c>
      <c r="H65" s="82" t="s">
        <v>137</v>
      </c>
      <c r="I65" s="82" t="s">
        <v>66</v>
      </c>
      <c r="J65" s="82" t="s">
        <v>29</v>
      </c>
      <c r="K65" s="92" t="s">
        <v>137</v>
      </c>
      <c r="L65" s="92" t="s">
        <v>137</v>
      </c>
      <c r="M65" s="92" t="s">
        <v>137</v>
      </c>
      <c r="N65" s="92" t="s">
        <v>137</v>
      </c>
      <c r="O65" s="92" t="s">
        <v>137</v>
      </c>
      <c r="P65" s="92" t="s">
        <v>137</v>
      </c>
      <c r="Q65" s="82" t="s">
        <v>87</v>
      </c>
      <c r="R65" s="82" t="s">
        <v>714</v>
      </c>
      <c r="S65" s="82" t="s">
        <v>40</v>
      </c>
      <c r="T65" s="82" t="s">
        <v>2</v>
      </c>
      <c r="U65" s="83"/>
      <c r="V65" s="83">
        <v>0.05</v>
      </c>
      <c r="W65" s="83">
        <v>0.08</v>
      </c>
      <c r="X65" s="83">
        <v>0.15</v>
      </c>
      <c r="Y65" s="83">
        <v>0.2</v>
      </c>
      <c r="Z65" s="83">
        <v>0.25</v>
      </c>
      <c r="AA65" s="83">
        <v>0.37</v>
      </c>
      <c r="AB65" s="83">
        <v>0.42</v>
      </c>
      <c r="AC65" s="83">
        <v>0.57999999999999996</v>
      </c>
      <c r="AD65" s="83">
        <v>0.67</v>
      </c>
      <c r="AE65" s="83">
        <v>0.83</v>
      </c>
      <c r="AF65" s="83">
        <v>1</v>
      </c>
      <c r="AG65" s="82" t="s">
        <v>532</v>
      </c>
      <c r="AH65" s="82" t="s">
        <v>529</v>
      </c>
      <c r="AI65" s="88" t="s">
        <v>538</v>
      </c>
      <c r="AJ65" s="89" t="s">
        <v>538</v>
      </c>
      <c r="AK65" s="90">
        <v>46023</v>
      </c>
      <c r="AL65" s="90">
        <v>46387</v>
      </c>
      <c r="AM65" s="89"/>
      <c r="AN65" s="89"/>
      <c r="AO65" s="89"/>
      <c r="AP65" s="91" t="s">
        <v>539</v>
      </c>
      <c r="AQ65" s="90" cm="1">
        <f t="array" ref="AQ65">IFERROR(DATE(2026, _xlfn.AGGREGATE(15, 6, (COLUMN(BY65:CJ65)-COLUMN(BY65)+1)/(BY65:CJ65&lt;&gt;0), 1), 1),"N/A")</f>
        <v>46357</v>
      </c>
      <c r="AR65" s="90" cm="1">
        <f t="array" ref="AR65">IFERROR(EOMONTH(DATE(2026, _xlfn.AGGREGATE(14, 6, (COLUMN(BY65:CJ65)-COLUMN(BY65)+1)/(BY65:CJ65&lt;&gt;0), 1), 1), 0),"N/A")</f>
        <v>46387</v>
      </c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2" t="s">
        <v>605</v>
      </c>
      <c r="BF65" s="82" t="s">
        <v>940</v>
      </c>
      <c r="BG65" s="82" t="str">
        <f t="shared" si="0"/>
        <v>000</v>
      </c>
      <c r="BH65" s="88">
        <v>530302</v>
      </c>
      <c r="BI65" s="92" t="s">
        <v>74</v>
      </c>
      <c r="BJ65" s="93">
        <v>60000</v>
      </c>
      <c r="BK65" s="74">
        <v>0</v>
      </c>
      <c r="BL65" s="94">
        <v>5400</v>
      </c>
      <c r="BM65" s="94">
        <v>5400</v>
      </c>
      <c r="BN65" s="72">
        <v>5400</v>
      </c>
      <c r="BO65" s="94">
        <v>5400</v>
      </c>
      <c r="BP65" s="94">
        <v>5400</v>
      </c>
      <c r="BQ65" s="94">
        <v>5500</v>
      </c>
      <c r="BR65" s="94">
        <v>5500</v>
      </c>
      <c r="BS65" s="94">
        <v>5500</v>
      </c>
      <c r="BT65" s="94">
        <v>5500</v>
      </c>
      <c r="BU65" s="94">
        <v>5500</v>
      </c>
      <c r="BV65" s="142">
        <v>5500</v>
      </c>
      <c r="BW65" s="142">
        <v>9293.27</v>
      </c>
      <c r="BX65" s="143">
        <f t="shared" si="5"/>
        <v>69293.27</v>
      </c>
      <c r="BY65" s="74">
        <v>0</v>
      </c>
      <c r="BZ65" s="94">
        <v>0</v>
      </c>
      <c r="CA65" s="94">
        <v>0</v>
      </c>
      <c r="CB65" s="94">
        <v>0</v>
      </c>
      <c r="CC65" s="94">
        <v>0</v>
      </c>
      <c r="CD65" s="94">
        <v>0</v>
      </c>
      <c r="CE65" s="94">
        <v>0</v>
      </c>
      <c r="CF65" s="94">
        <v>0</v>
      </c>
      <c r="CG65" s="94">
        <v>0</v>
      </c>
      <c r="CH65" s="94">
        <v>0</v>
      </c>
      <c r="CI65" s="94">
        <v>0</v>
      </c>
      <c r="CJ65" s="94">
        <v>69293.27</v>
      </c>
      <c r="CK65" s="142"/>
      <c r="CL65" s="142">
        <f t="shared" si="1"/>
        <v>0</v>
      </c>
      <c r="CM65" s="171">
        <v>0</v>
      </c>
      <c r="CN65" s="171">
        <v>6200</v>
      </c>
      <c r="CO65" s="171">
        <v>0</v>
      </c>
      <c r="CP65" s="171">
        <v>4863.95</v>
      </c>
      <c r="CQ65" s="171">
        <v>7539.55</v>
      </c>
      <c r="CR65" s="171">
        <v>13975.95</v>
      </c>
      <c r="CS65" s="171">
        <f t="shared" si="2"/>
        <v>4863.95</v>
      </c>
      <c r="CT65" s="171">
        <f t="shared" si="3"/>
        <v>13739.55</v>
      </c>
      <c r="CU65" s="171">
        <f t="shared" si="4"/>
        <v>13975.95</v>
      </c>
      <c r="CV65" s="152">
        <v>60000</v>
      </c>
      <c r="CW65" s="149">
        <v>40000</v>
      </c>
      <c r="CX65" s="130">
        <v>1</v>
      </c>
      <c r="CY65" s="130">
        <v>1</v>
      </c>
      <c r="CZ65" s="130" t="s">
        <v>321</v>
      </c>
      <c r="DA65" s="130" t="s">
        <v>863</v>
      </c>
      <c r="DB65" s="130" t="s">
        <v>850</v>
      </c>
      <c r="DC65" s="130" t="s">
        <v>851</v>
      </c>
      <c r="DD65" s="130"/>
      <c r="DE65" s="131">
        <v>46042</v>
      </c>
      <c r="DF65" s="131">
        <v>46042</v>
      </c>
      <c r="DG65" s="132">
        <v>1</v>
      </c>
      <c r="DH65" s="131">
        <v>46043</v>
      </c>
      <c r="DI65" s="131">
        <v>46043</v>
      </c>
      <c r="DJ65" s="131">
        <v>46043</v>
      </c>
      <c r="DK65" s="131">
        <v>46044</v>
      </c>
      <c r="DL65" s="131">
        <v>46045</v>
      </c>
      <c r="DM65" s="131">
        <v>46048</v>
      </c>
      <c r="DN65" s="131">
        <v>46049</v>
      </c>
      <c r="DO65" s="131">
        <v>46050</v>
      </c>
      <c r="DP65" s="131">
        <v>46051</v>
      </c>
      <c r="DQ65" s="131">
        <v>46051</v>
      </c>
      <c r="DR65" s="132">
        <v>1</v>
      </c>
      <c r="DS65" s="131">
        <v>46052</v>
      </c>
      <c r="DT65" s="131">
        <v>46055</v>
      </c>
      <c r="DU65" s="131">
        <v>46056</v>
      </c>
      <c r="DV65" s="131">
        <v>46057</v>
      </c>
      <c r="DW65" s="131">
        <v>46057</v>
      </c>
      <c r="DX65" s="131">
        <v>46058</v>
      </c>
      <c r="DY65" s="131">
        <v>46058</v>
      </c>
      <c r="DZ65" s="132"/>
      <c r="EA65" s="132"/>
      <c r="EB65" s="132"/>
      <c r="EC65" s="132"/>
      <c r="ED65" s="131">
        <v>46059</v>
      </c>
      <c r="EE65" s="131">
        <v>46062</v>
      </c>
      <c r="EF65" s="131">
        <v>46062</v>
      </c>
      <c r="EG65" s="131">
        <v>46063</v>
      </c>
      <c r="EH65" s="131">
        <v>46064</v>
      </c>
      <c r="EI65" s="131">
        <v>46065</v>
      </c>
      <c r="EJ65" s="131">
        <v>46066</v>
      </c>
      <c r="EK65" s="131">
        <v>46066</v>
      </c>
      <c r="EL65" s="132">
        <v>18</v>
      </c>
      <c r="EM65" s="131">
        <v>46070</v>
      </c>
      <c r="EN65" s="131">
        <v>46072</v>
      </c>
      <c r="EO65" s="133">
        <v>46076</v>
      </c>
      <c r="EP65" s="133">
        <v>46077</v>
      </c>
      <c r="EQ65" s="133">
        <v>46078</v>
      </c>
      <c r="ER65" s="133">
        <v>46080</v>
      </c>
      <c r="ES65" s="133">
        <v>46083</v>
      </c>
      <c r="ET65" s="133">
        <v>46083</v>
      </c>
      <c r="EU65" s="133">
        <v>46086</v>
      </c>
      <c r="EV65" s="134">
        <v>1</v>
      </c>
      <c r="EW65" s="133">
        <v>46091</v>
      </c>
      <c r="EX65" s="133"/>
      <c r="EY65" s="154" t="s">
        <v>863</v>
      </c>
      <c r="EZ65" s="132" t="s">
        <v>871</v>
      </c>
      <c r="FA65" s="136"/>
      <c r="FB65" s="203">
        <v>46055</v>
      </c>
      <c r="FC65" s="203">
        <v>46055</v>
      </c>
      <c r="FD65" s="203">
        <v>46056</v>
      </c>
      <c r="FE65" s="203">
        <v>46056</v>
      </c>
      <c r="FF65" s="203">
        <v>46056</v>
      </c>
      <c r="FG65" s="203">
        <v>46057</v>
      </c>
      <c r="FH65" s="203">
        <v>46058</v>
      </c>
      <c r="FI65" s="203">
        <v>46059</v>
      </c>
      <c r="FJ65" s="203">
        <v>46062</v>
      </c>
      <c r="FK65" s="203">
        <v>46063</v>
      </c>
      <c r="FL65" s="203">
        <v>46064</v>
      </c>
      <c r="FM65" s="203">
        <v>46064</v>
      </c>
      <c r="FN65" s="203">
        <v>46065</v>
      </c>
      <c r="FO65" s="203">
        <v>46066</v>
      </c>
      <c r="FP65" s="203">
        <v>46069</v>
      </c>
      <c r="FQ65" s="203">
        <v>46071</v>
      </c>
      <c r="FR65" s="203">
        <v>46071</v>
      </c>
      <c r="FS65" s="203">
        <v>46072</v>
      </c>
      <c r="FT65" s="203">
        <v>46072</v>
      </c>
      <c r="FU65" s="203"/>
      <c r="FV65" s="203"/>
      <c r="FW65" s="203"/>
      <c r="FX65" s="203"/>
      <c r="FY65" s="203">
        <v>46073</v>
      </c>
      <c r="FZ65" s="203">
        <v>46076</v>
      </c>
      <c r="GA65" s="203">
        <v>46076</v>
      </c>
      <c r="GB65" s="203">
        <v>46077</v>
      </c>
      <c r="GC65" s="203">
        <v>46078</v>
      </c>
      <c r="GD65" s="203">
        <v>46079</v>
      </c>
      <c r="GE65" s="203">
        <v>46080</v>
      </c>
      <c r="GF65" s="203">
        <v>46080</v>
      </c>
      <c r="GG65" s="203">
        <v>18</v>
      </c>
      <c r="GH65" s="203">
        <v>46084</v>
      </c>
      <c r="GI65" s="203">
        <v>46086</v>
      </c>
      <c r="GJ65" s="203">
        <v>46090</v>
      </c>
      <c r="GK65" s="203">
        <v>46091</v>
      </c>
      <c r="GL65" s="203">
        <v>46092</v>
      </c>
      <c r="GM65" s="203">
        <v>46094</v>
      </c>
      <c r="GN65" s="203">
        <v>46097</v>
      </c>
      <c r="GO65" s="203">
        <v>46097</v>
      </c>
      <c r="GP65" s="203">
        <v>46100</v>
      </c>
      <c r="GQ65" s="203">
        <v>46105</v>
      </c>
      <c r="GR65" s="187"/>
      <c r="GS65" s="187" t="s">
        <v>1180</v>
      </c>
      <c r="GT65" s="187" t="s">
        <v>863</v>
      </c>
      <c r="GU65" s="187" t="s">
        <v>871</v>
      </c>
      <c r="GV65" s="187" t="s">
        <v>1156</v>
      </c>
    </row>
    <row r="66" spans="1:204" s="68" customFormat="1" ht="14.45" customHeight="1" x14ac:dyDescent="0.25">
      <c r="A66" s="68" t="s">
        <v>692</v>
      </c>
      <c r="B66" s="82" t="s">
        <v>154</v>
      </c>
      <c r="C66" s="82" t="s">
        <v>172</v>
      </c>
      <c r="D66" s="82" t="s">
        <v>196</v>
      </c>
      <c r="E66" s="82" t="s">
        <v>309</v>
      </c>
      <c r="F66" s="82" t="s">
        <v>549</v>
      </c>
      <c r="G66" s="82" t="s">
        <v>137</v>
      </c>
      <c r="H66" s="82" t="s">
        <v>137</v>
      </c>
      <c r="I66" s="82" t="s">
        <v>66</v>
      </c>
      <c r="J66" s="82" t="s">
        <v>29</v>
      </c>
      <c r="K66" s="92" t="s">
        <v>137</v>
      </c>
      <c r="L66" s="92" t="s">
        <v>137</v>
      </c>
      <c r="M66" s="92" t="s">
        <v>137</v>
      </c>
      <c r="N66" s="92" t="s">
        <v>137</v>
      </c>
      <c r="O66" s="92" t="s">
        <v>137</v>
      </c>
      <c r="P66" s="92" t="s">
        <v>137</v>
      </c>
      <c r="Q66" s="82" t="s">
        <v>87</v>
      </c>
      <c r="R66" s="82" t="s">
        <v>714</v>
      </c>
      <c r="S66" s="82" t="s">
        <v>40</v>
      </c>
      <c r="T66" s="82" t="s">
        <v>2</v>
      </c>
      <c r="U66" s="83"/>
      <c r="V66" s="83">
        <v>0.05</v>
      </c>
      <c r="W66" s="83">
        <v>0.08</v>
      </c>
      <c r="X66" s="83">
        <v>0.15</v>
      </c>
      <c r="Y66" s="83">
        <v>0.2</v>
      </c>
      <c r="Z66" s="83">
        <v>0.25</v>
      </c>
      <c r="AA66" s="83">
        <v>0.37</v>
      </c>
      <c r="AB66" s="83">
        <v>0.42</v>
      </c>
      <c r="AC66" s="83">
        <v>0.57999999999999996</v>
      </c>
      <c r="AD66" s="83">
        <v>0.67</v>
      </c>
      <c r="AE66" s="83">
        <v>0.83</v>
      </c>
      <c r="AF66" s="83">
        <v>1</v>
      </c>
      <c r="AG66" s="82" t="s">
        <v>778</v>
      </c>
      <c r="AH66" s="82" t="s">
        <v>530</v>
      </c>
      <c r="AI66" s="88" t="s">
        <v>538</v>
      </c>
      <c r="AJ66" s="89" t="s">
        <v>538</v>
      </c>
      <c r="AK66" s="90">
        <v>46023</v>
      </c>
      <c r="AL66" s="90">
        <v>46387</v>
      </c>
      <c r="AM66" s="89"/>
      <c r="AN66" s="89"/>
      <c r="AO66" s="89"/>
      <c r="AP66" s="91" t="s">
        <v>539</v>
      </c>
      <c r="AQ66" s="90" cm="1">
        <f t="array" ref="AQ66">IFERROR(DATE(2026, _xlfn.AGGREGATE(15, 6, (COLUMN(BY66:CJ66)-COLUMN(BY66)+1)/(BY66:CJ66&lt;&gt;0), 1), 1),"N/A")</f>
        <v>46023</v>
      </c>
      <c r="AR66" s="90" cm="1">
        <f t="array" ref="AR66">IFERROR(EOMONTH(DATE(2026, _xlfn.AGGREGATE(14, 6, (COLUMN(BY66:CJ66)-COLUMN(BY66)+1)/(BY66:CJ66&lt;&gt;0), 1), 1), 0),"N/A")</f>
        <v>46387</v>
      </c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2" t="s">
        <v>653</v>
      </c>
      <c r="BF66" s="82" t="s">
        <v>744</v>
      </c>
      <c r="BG66" s="82" t="str">
        <f t="shared" si="0"/>
        <v>000</v>
      </c>
      <c r="BH66" s="88">
        <v>530502</v>
      </c>
      <c r="BI66" s="92" t="s">
        <v>74</v>
      </c>
      <c r="BJ66" s="93">
        <v>18000</v>
      </c>
      <c r="BK66" s="94">
        <v>1500</v>
      </c>
      <c r="BL66" s="94">
        <v>1500</v>
      </c>
      <c r="BM66" s="94">
        <v>1500</v>
      </c>
      <c r="BN66" s="72">
        <v>1500</v>
      </c>
      <c r="BO66" s="94">
        <v>1500</v>
      </c>
      <c r="BP66" s="94">
        <v>1500</v>
      </c>
      <c r="BQ66" s="94">
        <v>1500</v>
      </c>
      <c r="BR66" s="94">
        <v>1500</v>
      </c>
      <c r="BS66" s="94">
        <v>1500</v>
      </c>
      <c r="BT66" s="94">
        <v>1500</v>
      </c>
      <c r="BU66" s="94">
        <v>1500</v>
      </c>
      <c r="BV66" s="142">
        <v>1500</v>
      </c>
      <c r="BW66" s="142"/>
      <c r="BX66" s="143">
        <f t="shared" si="5"/>
        <v>18000</v>
      </c>
      <c r="BY66" s="94">
        <v>1500</v>
      </c>
      <c r="BZ66" s="94">
        <v>1500</v>
      </c>
      <c r="CA66" s="94">
        <v>1500</v>
      </c>
      <c r="CB66" s="72">
        <v>1500</v>
      </c>
      <c r="CC66" s="94">
        <v>1500</v>
      </c>
      <c r="CD66" s="94">
        <v>1500</v>
      </c>
      <c r="CE66" s="94">
        <v>1500</v>
      </c>
      <c r="CF66" s="94">
        <v>1500</v>
      </c>
      <c r="CG66" s="94">
        <v>1500</v>
      </c>
      <c r="CH66" s="94">
        <v>1500</v>
      </c>
      <c r="CI66" s="94">
        <v>1500</v>
      </c>
      <c r="CJ66" s="142">
        <v>1500</v>
      </c>
      <c r="CK66" s="142"/>
      <c r="CL66" s="142">
        <f t="shared" si="1"/>
        <v>0</v>
      </c>
      <c r="CM66" s="171">
        <v>0</v>
      </c>
      <c r="CN66" s="171">
        <v>18000</v>
      </c>
      <c r="CO66" s="171">
        <v>0</v>
      </c>
      <c r="CP66" s="171">
        <v>0</v>
      </c>
      <c r="CQ66" s="171">
        <v>0</v>
      </c>
      <c r="CR66" s="171">
        <v>18000</v>
      </c>
      <c r="CS66" s="171">
        <f t="shared" si="2"/>
        <v>0</v>
      </c>
      <c r="CT66" s="171">
        <f t="shared" si="3"/>
        <v>18000</v>
      </c>
      <c r="CU66" s="171">
        <f t="shared" si="4"/>
        <v>18000</v>
      </c>
      <c r="CV66" s="149"/>
      <c r="CW66" s="149"/>
      <c r="CX66" s="130"/>
      <c r="CY66" s="130"/>
      <c r="CZ66" s="130"/>
      <c r="DA66" s="130"/>
      <c r="DB66" s="130"/>
      <c r="DC66" s="130"/>
      <c r="DD66" s="130" t="s">
        <v>848</v>
      </c>
      <c r="DE66" s="130"/>
      <c r="DF66" s="130"/>
      <c r="DG66" s="130"/>
      <c r="DH66" s="130"/>
      <c r="DI66" s="130"/>
      <c r="DJ66" s="130"/>
      <c r="DK66" s="130"/>
      <c r="DL66" s="130"/>
      <c r="DM66" s="130"/>
      <c r="DN66" s="130"/>
      <c r="DO66" s="130"/>
      <c r="DP66" s="130"/>
      <c r="DQ66" s="130"/>
      <c r="DR66" s="130"/>
      <c r="DS66" s="130"/>
      <c r="DT66" s="130"/>
      <c r="DU66" s="130"/>
      <c r="DV66" s="130"/>
      <c r="DW66" s="130"/>
      <c r="DX66" s="130"/>
      <c r="DY66" s="130"/>
      <c r="DZ66" s="130"/>
      <c r="EA66" s="130"/>
      <c r="EB66" s="130"/>
      <c r="EC66" s="130"/>
      <c r="ED66" s="130"/>
      <c r="EE66" s="130"/>
      <c r="EF66" s="130"/>
      <c r="EG66" s="130"/>
      <c r="EH66" s="130"/>
      <c r="EI66" s="130"/>
      <c r="EJ66" s="130"/>
      <c r="EK66" s="130"/>
      <c r="EL66" s="130"/>
      <c r="EM66" s="130"/>
      <c r="EN66" s="130"/>
      <c r="EO66" s="130"/>
      <c r="EP66" s="130"/>
      <c r="EQ66" s="130"/>
      <c r="ER66" s="130"/>
      <c r="ES66" s="130"/>
      <c r="ET66" s="130"/>
      <c r="EU66" s="130"/>
      <c r="EV66" s="130"/>
      <c r="EW66" s="130"/>
      <c r="EX66" s="130"/>
      <c r="EY66" s="130"/>
      <c r="EZ66" s="130"/>
      <c r="FA66" s="130"/>
      <c r="FB66" s="201"/>
      <c r="FC66" s="201"/>
      <c r="FD66" s="201"/>
      <c r="FE66" s="201"/>
      <c r="FF66" s="201"/>
      <c r="FG66" s="201"/>
      <c r="FH66" s="201"/>
      <c r="FI66" s="201"/>
      <c r="FJ66" s="201"/>
      <c r="FK66" s="201"/>
      <c r="FL66" s="201"/>
      <c r="FM66" s="201"/>
      <c r="FN66" s="201"/>
      <c r="FO66" s="201"/>
      <c r="FP66" s="201"/>
      <c r="FQ66" s="201"/>
      <c r="FR66" s="201"/>
      <c r="FS66" s="201"/>
      <c r="FT66" s="201"/>
      <c r="FU66" s="201"/>
      <c r="FV66" s="201"/>
      <c r="FW66" s="201"/>
      <c r="FX66" s="201"/>
      <c r="FY66" s="201"/>
      <c r="FZ66" s="201"/>
      <c r="GA66" s="201"/>
      <c r="GB66" s="201"/>
      <c r="GC66" s="201"/>
      <c r="GD66" s="201"/>
      <c r="GE66" s="201"/>
      <c r="GF66" s="201"/>
      <c r="GG66" s="201"/>
      <c r="GH66" s="201"/>
      <c r="GI66" s="201"/>
      <c r="GJ66" s="201"/>
      <c r="GK66" s="201"/>
      <c r="GL66" s="201"/>
      <c r="GM66" s="201"/>
      <c r="GN66" s="201"/>
      <c r="GO66" s="201"/>
      <c r="GP66" s="201"/>
      <c r="GQ66" s="201"/>
    </row>
    <row r="67" spans="1:204" s="68" customFormat="1" ht="14.45" customHeight="1" x14ac:dyDescent="0.25">
      <c r="A67" s="68" t="s">
        <v>692</v>
      </c>
      <c r="B67" s="82" t="s">
        <v>154</v>
      </c>
      <c r="C67" s="82" t="s">
        <v>172</v>
      </c>
      <c r="D67" s="82" t="s">
        <v>196</v>
      </c>
      <c r="E67" s="82" t="s">
        <v>309</v>
      </c>
      <c r="F67" s="82" t="s">
        <v>549</v>
      </c>
      <c r="G67" s="82" t="s">
        <v>137</v>
      </c>
      <c r="H67" s="82" t="s">
        <v>137</v>
      </c>
      <c r="I67" s="82" t="s">
        <v>66</v>
      </c>
      <c r="J67" s="82" t="s">
        <v>29</v>
      </c>
      <c r="K67" s="92" t="s">
        <v>137</v>
      </c>
      <c r="L67" s="92" t="s">
        <v>137</v>
      </c>
      <c r="M67" s="92" t="s">
        <v>137</v>
      </c>
      <c r="N67" s="92" t="s">
        <v>137</v>
      </c>
      <c r="O67" s="92" t="s">
        <v>137</v>
      </c>
      <c r="P67" s="92" t="s">
        <v>137</v>
      </c>
      <c r="Q67" s="82" t="s">
        <v>87</v>
      </c>
      <c r="R67" s="82" t="s">
        <v>714</v>
      </c>
      <c r="S67" s="82" t="s">
        <v>40</v>
      </c>
      <c r="T67" s="82" t="s">
        <v>2</v>
      </c>
      <c r="U67" s="83"/>
      <c r="V67" s="83">
        <v>0.05</v>
      </c>
      <c r="W67" s="83">
        <v>0.08</v>
      </c>
      <c r="X67" s="83">
        <v>0.15</v>
      </c>
      <c r="Y67" s="83">
        <v>0.2</v>
      </c>
      <c r="Z67" s="83">
        <v>0.25</v>
      </c>
      <c r="AA67" s="83">
        <v>0.37</v>
      </c>
      <c r="AB67" s="83">
        <v>0.42</v>
      </c>
      <c r="AC67" s="83">
        <v>0.57999999999999996</v>
      </c>
      <c r="AD67" s="83">
        <v>0.67</v>
      </c>
      <c r="AE67" s="83">
        <v>0.83</v>
      </c>
      <c r="AF67" s="83">
        <v>1</v>
      </c>
      <c r="AG67" s="82" t="s">
        <v>532</v>
      </c>
      <c r="AH67" s="82" t="s">
        <v>529</v>
      </c>
      <c r="AI67" s="88" t="s">
        <v>538</v>
      </c>
      <c r="AJ67" s="89" t="s">
        <v>538</v>
      </c>
      <c r="AK67" s="90">
        <v>46023</v>
      </c>
      <c r="AL67" s="90">
        <v>46387</v>
      </c>
      <c r="AM67" s="89"/>
      <c r="AN67" s="89"/>
      <c r="AO67" s="89"/>
      <c r="AP67" s="91" t="s">
        <v>539</v>
      </c>
      <c r="AQ67" s="90" cm="1">
        <f t="array" ref="AQ67">IFERROR(DATE(2026, _xlfn.AGGREGATE(15, 6, (COLUMN(BY67:CJ67)-COLUMN(BY67)+1)/(BY67:CJ67&lt;&gt;0), 1), 1),"N/A")</f>
        <v>46296</v>
      </c>
      <c r="AR67" s="90" cm="1">
        <f t="array" ref="AR67">IFERROR(EOMONTH(DATE(2026, _xlfn.AGGREGATE(14, 6, (COLUMN(BY67:CJ67)-COLUMN(BY67)+1)/(BY67:CJ67&lt;&gt;0), 1), 1), 0),"N/A")</f>
        <v>46326</v>
      </c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2" t="s">
        <v>624</v>
      </c>
      <c r="BF67" s="82" t="s">
        <v>941</v>
      </c>
      <c r="BG67" s="82" t="str">
        <f t="shared" si="0"/>
        <v>000</v>
      </c>
      <c r="BH67" s="88">
        <v>530209</v>
      </c>
      <c r="BI67" s="92" t="s">
        <v>74</v>
      </c>
      <c r="BJ67" s="93">
        <v>6600</v>
      </c>
      <c r="BK67" s="74">
        <v>0</v>
      </c>
      <c r="BL67" s="74">
        <v>0</v>
      </c>
      <c r="BM67" s="74">
        <v>0</v>
      </c>
      <c r="BN67" s="74">
        <v>0</v>
      </c>
      <c r="BO67" s="74">
        <v>0</v>
      </c>
      <c r="BP67" s="74">
        <v>0</v>
      </c>
      <c r="BQ67" s="74">
        <v>0</v>
      </c>
      <c r="BR67" s="74">
        <v>0</v>
      </c>
      <c r="BS67" s="74">
        <v>0</v>
      </c>
      <c r="BT67" s="94">
        <v>6600</v>
      </c>
      <c r="BU67" s="74">
        <v>0</v>
      </c>
      <c r="BV67" s="143">
        <v>0</v>
      </c>
      <c r="BW67" s="143">
        <v>-5000</v>
      </c>
      <c r="BX67" s="143">
        <f t="shared" si="5"/>
        <v>1600</v>
      </c>
      <c r="BY67" s="74">
        <v>0</v>
      </c>
      <c r="BZ67" s="74">
        <v>0</v>
      </c>
      <c r="CA67" s="74">
        <v>0</v>
      </c>
      <c r="CB67" s="74">
        <v>0</v>
      </c>
      <c r="CC67" s="74">
        <v>0</v>
      </c>
      <c r="CD67" s="74">
        <v>0</v>
      </c>
      <c r="CE67" s="74">
        <v>0</v>
      </c>
      <c r="CF67" s="74">
        <v>0</v>
      </c>
      <c r="CG67" s="74">
        <v>0</v>
      </c>
      <c r="CH67" s="94">
        <v>1600</v>
      </c>
      <c r="CI67" s="74">
        <v>0</v>
      </c>
      <c r="CJ67" s="143">
        <v>0</v>
      </c>
      <c r="CK67" s="143"/>
      <c r="CL67" s="142">
        <f t="shared" si="1"/>
        <v>0</v>
      </c>
      <c r="CM67" s="171">
        <v>0</v>
      </c>
      <c r="CN67" s="171">
        <v>0</v>
      </c>
      <c r="CO67" s="171">
        <v>0</v>
      </c>
      <c r="CP67" s="171">
        <v>0</v>
      </c>
      <c r="CQ67" s="171">
        <v>0</v>
      </c>
      <c r="CR67" s="171">
        <v>0</v>
      </c>
      <c r="CS67" s="171">
        <f t="shared" si="2"/>
        <v>0</v>
      </c>
      <c r="CT67" s="171">
        <f t="shared" si="3"/>
        <v>0</v>
      </c>
      <c r="CU67" s="171">
        <f t="shared" si="4"/>
        <v>0</v>
      </c>
      <c r="CV67" s="150">
        <v>6600</v>
      </c>
      <c r="CW67" s="150">
        <v>1600</v>
      </c>
      <c r="CX67" s="130">
        <v>1</v>
      </c>
      <c r="CY67" s="130">
        <v>1</v>
      </c>
      <c r="CZ67" s="130"/>
      <c r="DA67" s="130"/>
      <c r="DB67" s="130"/>
      <c r="DC67" s="130"/>
      <c r="DD67" s="130"/>
      <c r="DE67" s="131">
        <v>46274</v>
      </c>
      <c r="DF67" s="131">
        <v>46274</v>
      </c>
      <c r="DG67" s="132">
        <v>3</v>
      </c>
      <c r="DH67" s="131">
        <v>46275</v>
      </c>
      <c r="DI67" s="131">
        <v>46275</v>
      </c>
      <c r="DJ67" s="131">
        <v>46275</v>
      </c>
      <c r="DK67" s="131">
        <v>46276</v>
      </c>
      <c r="DL67" s="131">
        <v>46279</v>
      </c>
      <c r="DM67" s="131">
        <v>46280</v>
      </c>
      <c r="DN67" s="131">
        <v>46281</v>
      </c>
      <c r="DO67" s="131">
        <v>46282</v>
      </c>
      <c r="DP67" s="131">
        <v>46283</v>
      </c>
      <c r="DQ67" s="131">
        <v>46283</v>
      </c>
      <c r="DR67" s="132">
        <v>3</v>
      </c>
      <c r="DS67" s="131">
        <v>46286</v>
      </c>
      <c r="DT67" s="131">
        <v>46287</v>
      </c>
      <c r="DU67" s="131">
        <v>46288</v>
      </c>
      <c r="DV67" s="131">
        <v>46289</v>
      </c>
      <c r="DW67" s="131">
        <v>46289</v>
      </c>
      <c r="DX67" s="131">
        <v>46290</v>
      </c>
      <c r="DY67" s="131">
        <v>46290</v>
      </c>
      <c r="DZ67" s="132"/>
      <c r="EA67" s="132"/>
      <c r="EB67" s="132"/>
      <c r="EC67" s="132"/>
      <c r="ED67" s="131">
        <v>46293</v>
      </c>
      <c r="EE67" s="131">
        <v>46294</v>
      </c>
      <c r="EF67" s="131">
        <v>46294</v>
      </c>
      <c r="EG67" s="131"/>
      <c r="EH67" s="131"/>
      <c r="EI67" s="131"/>
      <c r="EJ67" s="131">
        <v>46294</v>
      </c>
      <c r="EK67" s="131">
        <v>46298</v>
      </c>
      <c r="EL67" s="132">
        <v>18</v>
      </c>
      <c r="EM67" s="133"/>
      <c r="EN67" s="133"/>
      <c r="EO67" s="133"/>
      <c r="EP67" s="133"/>
      <c r="EQ67" s="133"/>
      <c r="ER67" s="133"/>
      <c r="ES67" s="133"/>
      <c r="ET67" s="133"/>
      <c r="EU67" s="133"/>
      <c r="EV67" s="134"/>
      <c r="EW67" s="133">
        <v>46298</v>
      </c>
      <c r="EX67" s="133"/>
      <c r="EY67" s="135" t="s">
        <v>854</v>
      </c>
      <c r="EZ67" s="132" t="s">
        <v>867</v>
      </c>
      <c r="FA67" s="130"/>
      <c r="FB67" s="203">
        <v>46076</v>
      </c>
      <c r="FC67" s="203">
        <v>46076</v>
      </c>
      <c r="FD67" s="203">
        <v>46077</v>
      </c>
      <c r="FE67" s="203">
        <v>46077</v>
      </c>
      <c r="FF67" s="203">
        <v>46077</v>
      </c>
      <c r="FG67" s="203">
        <v>46078</v>
      </c>
      <c r="FH67" s="203">
        <v>46079</v>
      </c>
      <c r="FI67" s="203">
        <v>46080</v>
      </c>
      <c r="FJ67" s="203">
        <v>46083</v>
      </c>
      <c r="FK67" s="203">
        <v>46084</v>
      </c>
      <c r="FL67" s="203">
        <v>46085</v>
      </c>
      <c r="FM67" s="203">
        <v>46085</v>
      </c>
      <c r="FN67" s="203">
        <v>46086</v>
      </c>
      <c r="FO67" s="203">
        <v>46087</v>
      </c>
      <c r="FP67" s="203">
        <v>46090</v>
      </c>
      <c r="FQ67" s="203">
        <v>46091</v>
      </c>
      <c r="FR67" s="203">
        <v>46091</v>
      </c>
      <c r="FS67" s="203">
        <v>46092</v>
      </c>
      <c r="FT67" s="203">
        <v>46092</v>
      </c>
      <c r="FU67" s="203"/>
      <c r="FV67" s="203"/>
      <c r="FW67" s="203"/>
      <c r="FX67" s="203"/>
      <c r="FY67" s="203">
        <v>46093</v>
      </c>
      <c r="FZ67" s="203">
        <v>46094</v>
      </c>
      <c r="GA67" s="203">
        <v>46094</v>
      </c>
      <c r="GB67" s="203"/>
      <c r="GC67" s="203"/>
      <c r="GD67" s="203"/>
      <c r="GE67" s="203">
        <v>46094</v>
      </c>
      <c r="GF67" s="203">
        <v>46100</v>
      </c>
      <c r="GG67" s="203">
        <v>18</v>
      </c>
      <c r="GH67" s="203"/>
      <c r="GI67" s="203"/>
      <c r="GJ67" s="203"/>
      <c r="GK67" s="203"/>
      <c r="GL67" s="203"/>
      <c r="GM67" s="203"/>
      <c r="GN67" s="203"/>
      <c r="GO67" s="203"/>
      <c r="GP67" s="203"/>
      <c r="GQ67" s="203">
        <v>46100</v>
      </c>
      <c r="GR67" s="187"/>
      <c r="GS67" s="187" t="s">
        <v>1181</v>
      </c>
      <c r="GT67" s="187" t="s">
        <v>854</v>
      </c>
      <c r="GU67" s="187" t="s">
        <v>867</v>
      </c>
      <c r="GV67" s="187" t="s">
        <v>1159</v>
      </c>
    </row>
    <row r="68" spans="1:204" s="68" customFormat="1" ht="14.45" customHeight="1" x14ac:dyDescent="0.25">
      <c r="A68" s="68" t="s">
        <v>692</v>
      </c>
      <c r="B68" s="82" t="s">
        <v>154</v>
      </c>
      <c r="C68" s="82" t="s">
        <v>172</v>
      </c>
      <c r="D68" s="82" t="s">
        <v>196</v>
      </c>
      <c r="E68" s="82" t="s">
        <v>309</v>
      </c>
      <c r="F68" s="82" t="s">
        <v>549</v>
      </c>
      <c r="G68" s="82" t="s">
        <v>137</v>
      </c>
      <c r="H68" s="82" t="s">
        <v>137</v>
      </c>
      <c r="I68" s="82" t="s">
        <v>66</v>
      </c>
      <c r="J68" s="82" t="s">
        <v>29</v>
      </c>
      <c r="K68" s="92" t="s">
        <v>137</v>
      </c>
      <c r="L68" s="92" t="s">
        <v>137</v>
      </c>
      <c r="M68" s="92" t="s">
        <v>137</v>
      </c>
      <c r="N68" s="92" t="s">
        <v>137</v>
      </c>
      <c r="O68" s="92" t="s">
        <v>137</v>
      </c>
      <c r="P68" s="92" t="s">
        <v>137</v>
      </c>
      <c r="Q68" s="82" t="s">
        <v>87</v>
      </c>
      <c r="R68" s="82" t="s">
        <v>714</v>
      </c>
      <c r="S68" s="82" t="s">
        <v>40</v>
      </c>
      <c r="T68" s="82" t="s">
        <v>2</v>
      </c>
      <c r="U68" s="83"/>
      <c r="V68" s="83">
        <v>0.05</v>
      </c>
      <c r="W68" s="83">
        <v>0.08</v>
      </c>
      <c r="X68" s="83">
        <v>0.15</v>
      </c>
      <c r="Y68" s="83">
        <v>0.2</v>
      </c>
      <c r="Z68" s="83">
        <v>0.25</v>
      </c>
      <c r="AA68" s="83">
        <v>0.37</v>
      </c>
      <c r="AB68" s="83">
        <v>0.42</v>
      </c>
      <c r="AC68" s="83">
        <v>0.57999999999999996</v>
      </c>
      <c r="AD68" s="83">
        <v>0.67</v>
      </c>
      <c r="AE68" s="83">
        <v>0.83</v>
      </c>
      <c r="AF68" s="83">
        <v>1</v>
      </c>
      <c r="AG68" s="82" t="s">
        <v>532</v>
      </c>
      <c r="AH68" s="82" t="s">
        <v>529</v>
      </c>
      <c r="AI68" s="88" t="s">
        <v>538</v>
      </c>
      <c r="AJ68" s="89" t="s">
        <v>538</v>
      </c>
      <c r="AK68" s="90">
        <v>46023</v>
      </c>
      <c r="AL68" s="90">
        <v>46387</v>
      </c>
      <c r="AM68" s="89"/>
      <c r="AN68" s="89"/>
      <c r="AO68" s="89"/>
      <c r="AP68" s="91" t="s">
        <v>539</v>
      </c>
      <c r="AQ68" s="90" cm="1">
        <f t="array" ref="AQ68">IFERROR(DATE(2026, _xlfn.AGGREGATE(15, 6, (COLUMN(BY68:CJ68)-COLUMN(BY68)+1)/(BY68:CJ68&lt;&gt;0), 1), 1),"N/A")</f>
        <v>46204</v>
      </c>
      <c r="AR68" s="90" cm="1">
        <f t="array" ref="AR68">IFERROR(EOMONTH(DATE(2026, _xlfn.AGGREGATE(14, 6, (COLUMN(BY68:CJ68)-COLUMN(BY68)+1)/(BY68:CJ68&lt;&gt;0), 1), 1), 0),"N/A")</f>
        <v>46234</v>
      </c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2" t="s">
        <v>651</v>
      </c>
      <c r="BF68" s="82" t="s">
        <v>942</v>
      </c>
      <c r="BG68" s="82" t="str">
        <f t="shared" si="0"/>
        <v>000</v>
      </c>
      <c r="BH68" s="88">
        <v>530811</v>
      </c>
      <c r="BI68" s="92" t="s">
        <v>74</v>
      </c>
      <c r="BJ68" s="93">
        <v>15000</v>
      </c>
      <c r="BK68" s="74">
        <v>0</v>
      </c>
      <c r="BL68" s="74">
        <v>0</v>
      </c>
      <c r="BM68" s="74">
        <v>0</v>
      </c>
      <c r="BN68" s="74">
        <v>0</v>
      </c>
      <c r="BO68" s="74">
        <v>0</v>
      </c>
      <c r="BP68" s="74">
        <v>0</v>
      </c>
      <c r="BQ68" s="94">
        <v>15000</v>
      </c>
      <c r="BR68" s="74">
        <v>0</v>
      </c>
      <c r="BS68" s="74">
        <v>0</v>
      </c>
      <c r="BT68" s="74">
        <v>0</v>
      </c>
      <c r="BU68" s="74">
        <v>0</v>
      </c>
      <c r="BV68" s="143">
        <v>0</v>
      </c>
      <c r="BW68" s="143"/>
      <c r="BX68" s="143">
        <f t="shared" si="5"/>
        <v>15000</v>
      </c>
      <c r="BY68" s="74">
        <v>0</v>
      </c>
      <c r="BZ68" s="74">
        <v>0</v>
      </c>
      <c r="CA68" s="74">
        <v>0</v>
      </c>
      <c r="CB68" s="74">
        <v>0</v>
      </c>
      <c r="CC68" s="74">
        <v>0</v>
      </c>
      <c r="CD68" s="74">
        <v>0</v>
      </c>
      <c r="CE68" s="94">
        <v>15000</v>
      </c>
      <c r="CF68" s="74">
        <v>0</v>
      </c>
      <c r="CG68" s="74">
        <v>0</v>
      </c>
      <c r="CH68" s="74">
        <v>0</v>
      </c>
      <c r="CI68" s="74">
        <v>0</v>
      </c>
      <c r="CJ68" s="143">
        <v>0</v>
      </c>
      <c r="CK68" s="143"/>
      <c r="CL68" s="142">
        <f t="shared" si="1"/>
        <v>0</v>
      </c>
      <c r="CM68" s="171">
        <v>0</v>
      </c>
      <c r="CN68" s="171">
        <v>0</v>
      </c>
      <c r="CO68" s="171">
        <v>0</v>
      </c>
      <c r="CP68" s="171">
        <v>0</v>
      </c>
      <c r="CQ68" s="171">
        <v>0</v>
      </c>
      <c r="CR68" s="171">
        <v>0</v>
      </c>
      <c r="CS68" s="171">
        <f t="shared" si="2"/>
        <v>0</v>
      </c>
      <c r="CT68" s="171">
        <f t="shared" si="3"/>
        <v>0</v>
      </c>
      <c r="CU68" s="171">
        <f t="shared" si="4"/>
        <v>0</v>
      </c>
      <c r="CV68" s="149"/>
      <c r="CW68" s="149"/>
      <c r="CX68" s="130"/>
      <c r="CY68" s="130"/>
      <c r="CZ68" s="130"/>
      <c r="DA68" s="130"/>
      <c r="DB68" s="130"/>
      <c r="DC68" s="130"/>
      <c r="DD68" s="130"/>
      <c r="DE68" s="130"/>
      <c r="DF68" s="130"/>
      <c r="DG68" s="130"/>
      <c r="DH68" s="130"/>
      <c r="DI68" s="130"/>
      <c r="DJ68" s="130"/>
      <c r="DK68" s="130"/>
      <c r="DL68" s="130"/>
      <c r="DM68" s="130"/>
      <c r="DN68" s="130"/>
      <c r="DO68" s="130"/>
      <c r="DP68" s="130"/>
      <c r="DQ68" s="130"/>
      <c r="DR68" s="130"/>
      <c r="DS68" s="130"/>
      <c r="DT68" s="130"/>
      <c r="DU68" s="130"/>
      <c r="DV68" s="130"/>
      <c r="DW68" s="130"/>
      <c r="DX68" s="130"/>
      <c r="DY68" s="130"/>
      <c r="DZ68" s="130"/>
      <c r="EA68" s="130"/>
      <c r="EB68" s="130"/>
      <c r="EC68" s="130"/>
      <c r="ED68" s="130"/>
      <c r="EE68" s="130"/>
      <c r="EF68" s="130"/>
      <c r="EG68" s="130"/>
      <c r="EH68" s="130"/>
      <c r="EI68" s="130"/>
      <c r="EJ68" s="130"/>
      <c r="EK68" s="130"/>
      <c r="EL68" s="130"/>
      <c r="EM68" s="130"/>
      <c r="EN68" s="130"/>
      <c r="EO68" s="130"/>
      <c r="EP68" s="130"/>
      <c r="EQ68" s="130"/>
      <c r="ER68" s="130"/>
      <c r="ES68" s="130"/>
      <c r="ET68" s="130"/>
      <c r="EU68" s="130"/>
      <c r="EV68" s="130"/>
      <c r="EW68" s="130"/>
      <c r="EX68" s="130"/>
      <c r="EY68" s="130"/>
      <c r="EZ68" s="130"/>
      <c r="FA68" s="130"/>
      <c r="FB68" s="201"/>
      <c r="FC68" s="201"/>
      <c r="FD68" s="201"/>
      <c r="FE68" s="201"/>
      <c r="FF68" s="201"/>
      <c r="FG68" s="201"/>
      <c r="FH68" s="201"/>
      <c r="FI68" s="201"/>
      <c r="FJ68" s="201"/>
      <c r="FK68" s="201"/>
      <c r="FL68" s="201"/>
      <c r="FM68" s="201"/>
      <c r="FN68" s="201"/>
      <c r="FO68" s="201"/>
      <c r="FP68" s="201"/>
      <c r="FQ68" s="201"/>
      <c r="FR68" s="201"/>
      <c r="FS68" s="201"/>
      <c r="FT68" s="201"/>
      <c r="FU68" s="201"/>
      <c r="FV68" s="201"/>
      <c r="FW68" s="201"/>
      <c r="FX68" s="201"/>
      <c r="FY68" s="201"/>
      <c r="FZ68" s="201"/>
      <c r="GA68" s="201"/>
      <c r="GB68" s="201"/>
      <c r="GC68" s="201"/>
      <c r="GD68" s="201"/>
      <c r="GE68" s="201"/>
      <c r="GF68" s="201"/>
      <c r="GG68" s="201"/>
      <c r="GH68" s="201"/>
      <c r="GI68" s="201"/>
      <c r="GJ68" s="201"/>
      <c r="GK68" s="201"/>
      <c r="GL68" s="201"/>
      <c r="GM68" s="201"/>
      <c r="GN68" s="201"/>
      <c r="GO68" s="201"/>
      <c r="GP68" s="201"/>
      <c r="GQ68" s="201"/>
    </row>
    <row r="69" spans="1:204" s="68" customFormat="1" ht="14.45" customHeight="1" x14ac:dyDescent="0.25">
      <c r="A69" s="68" t="s">
        <v>692</v>
      </c>
      <c r="B69" s="82" t="s">
        <v>154</v>
      </c>
      <c r="C69" s="82" t="s">
        <v>172</v>
      </c>
      <c r="D69" s="82" t="s">
        <v>196</v>
      </c>
      <c r="E69" s="82" t="s">
        <v>309</v>
      </c>
      <c r="F69" s="82" t="s">
        <v>549</v>
      </c>
      <c r="G69" s="82" t="s">
        <v>137</v>
      </c>
      <c r="H69" s="82" t="s">
        <v>137</v>
      </c>
      <c r="I69" s="82" t="s">
        <v>66</v>
      </c>
      <c r="J69" s="82" t="s">
        <v>29</v>
      </c>
      <c r="K69" s="92" t="s">
        <v>137</v>
      </c>
      <c r="L69" s="92" t="s">
        <v>137</v>
      </c>
      <c r="M69" s="92" t="s">
        <v>137</v>
      </c>
      <c r="N69" s="92" t="s">
        <v>137</v>
      </c>
      <c r="O69" s="92" t="s">
        <v>137</v>
      </c>
      <c r="P69" s="92" t="s">
        <v>137</v>
      </c>
      <c r="Q69" s="82" t="s">
        <v>87</v>
      </c>
      <c r="R69" s="82" t="s">
        <v>714</v>
      </c>
      <c r="S69" s="82" t="s">
        <v>40</v>
      </c>
      <c r="T69" s="82" t="s">
        <v>2</v>
      </c>
      <c r="U69" s="83"/>
      <c r="V69" s="83">
        <v>0.05</v>
      </c>
      <c r="W69" s="83">
        <v>0.08</v>
      </c>
      <c r="X69" s="83">
        <v>0.15</v>
      </c>
      <c r="Y69" s="83">
        <v>0.2</v>
      </c>
      <c r="Z69" s="83">
        <v>0.25</v>
      </c>
      <c r="AA69" s="83">
        <v>0.37</v>
      </c>
      <c r="AB69" s="83">
        <v>0.42</v>
      </c>
      <c r="AC69" s="83">
        <v>0.57999999999999996</v>
      </c>
      <c r="AD69" s="83">
        <v>0.67</v>
      </c>
      <c r="AE69" s="83">
        <v>0.83</v>
      </c>
      <c r="AF69" s="83">
        <v>1</v>
      </c>
      <c r="AG69" s="82" t="s">
        <v>532</v>
      </c>
      <c r="AH69" s="82" t="s">
        <v>529</v>
      </c>
      <c r="AI69" s="88" t="s">
        <v>538</v>
      </c>
      <c r="AJ69" s="89" t="s">
        <v>538</v>
      </c>
      <c r="AK69" s="90">
        <v>46023</v>
      </c>
      <c r="AL69" s="90">
        <v>46387</v>
      </c>
      <c r="AM69" s="89"/>
      <c r="AN69" s="89"/>
      <c r="AO69" s="89"/>
      <c r="AP69" s="91" t="s">
        <v>539</v>
      </c>
      <c r="AQ69" s="90" t="str" cm="1">
        <f t="array" ref="AQ69">IFERROR(DATE(2026, _xlfn.AGGREGATE(15, 6, (COLUMN(BY69:CJ69)-COLUMN(BY69)+1)/(BY69:CJ69&lt;&gt;0), 1), 1),"N/A")</f>
        <v>N/A</v>
      </c>
      <c r="AR69" s="90" t="str" cm="1">
        <f t="array" ref="AR69">IFERROR(EOMONTH(DATE(2026, _xlfn.AGGREGATE(14, 6, (COLUMN(BY69:CJ69)-COLUMN(BY69)+1)/(BY69:CJ69&lt;&gt;0), 1), 1), 0),"N/A")</f>
        <v>N/A</v>
      </c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2" t="s">
        <v>625</v>
      </c>
      <c r="BF69" s="82" t="s">
        <v>943</v>
      </c>
      <c r="BG69" s="82" t="str">
        <f t="shared" si="0"/>
        <v>000</v>
      </c>
      <c r="BH69" s="88">
        <v>530403</v>
      </c>
      <c r="BI69" s="92" t="s">
        <v>74</v>
      </c>
      <c r="BJ69" s="93">
        <v>6600</v>
      </c>
      <c r="BK69" s="74">
        <v>0</v>
      </c>
      <c r="BL69" s="74">
        <v>0</v>
      </c>
      <c r="BM69" s="74">
        <v>0</v>
      </c>
      <c r="BN69" s="74">
        <v>0</v>
      </c>
      <c r="BO69" s="74">
        <v>0</v>
      </c>
      <c r="BP69" s="74">
        <v>0</v>
      </c>
      <c r="BQ69" s="74">
        <v>0</v>
      </c>
      <c r="BR69" s="74">
        <v>0</v>
      </c>
      <c r="BS69" s="74">
        <v>0</v>
      </c>
      <c r="BT69" s="74">
        <v>0</v>
      </c>
      <c r="BU69" s="94">
        <v>6600</v>
      </c>
      <c r="BV69" s="143">
        <v>0</v>
      </c>
      <c r="BW69" s="143">
        <v>-6600</v>
      </c>
      <c r="BX69" s="143">
        <f t="shared" si="5"/>
        <v>0</v>
      </c>
      <c r="BY69" s="74">
        <v>0</v>
      </c>
      <c r="BZ69" s="74">
        <v>0</v>
      </c>
      <c r="CA69" s="74">
        <v>0</v>
      </c>
      <c r="CB69" s="74">
        <v>0</v>
      </c>
      <c r="CC69" s="74">
        <v>0</v>
      </c>
      <c r="CD69" s="74">
        <v>0</v>
      </c>
      <c r="CE69" s="74">
        <v>0</v>
      </c>
      <c r="CF69" s="74">
        <v>0</v>
      </c>
      <c r="CG69" s="74">
        <v>0</v>
      </c>
      <c r="CH69" s="74">
        <v>0</v>
      </c>
      <c r="CI69" s="94">
        <v>0</v>
      </c>
      <c r="CJ69" s="143">
        <v>0</v>
      </c>
      <c r="CK69" s="143"/>
      <c r="CL69" s="142">
        <f t="shared" si="1"/>
        <v>0</v>
      </c>
      <c r="CM69" s="171">
        <v>0</v>
      </c>
      <c r="CN69" s="171">
        <v>0</v>
      </c>
      <c r="CO69" s="171">
        <v>0</v>
      </c>
      <c r="CP69" s="171">
        <v>0</v>
      </c>
      <c r="CQ69" s="171">
        <v>0</v>
      </c>
      <c r="CR69" s="171">
        <v>0</v>
      </c>
      <c r="CS69" s="171">
        <f t="shared" si="2"/>
        <v>0</v>
      </c>
      <c r="CT69" s="171">
        <f t="shared" si="3"/>
        <v>0</v>
      </c>
      <c r="CU69" s="171">
        <f t="shared" si="4"/>
        <v>0</v>
      </c>
      <c r="CV69" s="150">
        <v>6600</v>
      </c>
      <c r="CW69" s="150">
        <v>0</v>
      </c>
      <c r="CX69" s="130">
        <v>1</v>
      </c>
      <c r="CY69" s="130">
        <v>0</v>
      </c>
      <c r="CZ69" s="130"/>
      <c r="DA69" s="130"/>
      <c r="DB69" s="130"/>
      <c r="DC69" s="130"/>
      <c r="DD69" s="130"/>
      <c r="DE69" s="131">
        <v>46274</v>
      </c>
      <c r="DF69" s="131">
        <v>46274</v>
      </c>
      <c r="DG69" s="132">
        <v>3</v>
      </c>
      <c r="DH69" s="131">
        <v>46275</v>
      </c>
      <c r="DI69" s="131">
        <v>46275</v>
      </c>
      <c r="DJ69" s="131">
        <v>46275</v>
      </c>
      <c r="DK69" s="131">
        <v>46276</v>
      </c>
      <c r="DL69" s="131">
        <v>46279</v>
      </c>
      <c r="DM69" s="131">
        <v>46280</v>
      </c>
      <c r="DN69" s="131">
        <v>46281</v>
      </c>
      <c r="DO69" s="131">
        <v>46282</v>
      </c>
      <c r="DP69" s="131">
        <v>46283</v>
      </c>
      <c r="DQ69" s="131">
        <v>46283</v>
      </c>
      <c r="DR69" s="132">
        <v>3</v>
      </c>
      <c r="DS69" s="131">
        <v>46286</v>
      </c>
      <c r="DT69" s="131">
        <v>46287</v>
      </c>
      <c r="DU69" s="131">
        <v>46288</v>
      </c>
      <c r="DV69" s="131">
        <v>46289</v>
      </c>
      <c r="DW69" s="131">
        <v>46289</v>
      </c>
      <c r="DX69" s="131">
        <v>46290</v>
      </c>
      <c r="DY69" s="131">
        <v>46290</v>
      </c>
      <c r="DZ69" s="132"/>
      <c r="EA69" s="132"/>
      <c r="EB69" s="132"/>
      <c r="EC69" s="132"/>
      <c r="ED69" s="131">
        <v>46293</v>
      </c>
      <c r="EE69" s="131">
        <v>46294</v>
      </c>
      <c r="EF69" s="131">
        <v>46294</v>
      </c>
      <c r="EG69" s="131"/>
      <c r="EH69" s="131"/>
      <c r="EI69" s="131"/>
      <c r="EJ69" s="131">
        <v>46294</v>
      </c>
      <c r="EK69" s="131">
        <v>46299</v>
      </c>
      <c r="EL69" s="132">
        <v>18</v>
      </c>
      <c r="EM69" s="133"/>
      <c r="EN69" s="133"/>
      <c r="EO69" s="133"/>
      <c r="EP69" s="133"/>
      <c r="EQ69" s="133"/>
      <c r="ER69" s="133"/>
      <c r="ES69" s="133"/>
      <c r="ET69" s="133"/>
      <c r="EU69" s="133"/>
      <c r="EV69" s="134"/>
      <c r="EW69" s="133">
        <v>46299</v>
      </c>
      <c r="EX69" s="133"/>
      <c r="EY69" s="135" t="s">
        <v>854</v>
      </c>
      <c r="EZ69" s="132" t="s">
        <v>867</v>
      </c>
      <c r="FA69" s="190"/>
      <c r="FB69" s="202" t="e">
        <v>#NUM!</v>
      </c>
      <c r="FC69" s="202" t="e">
        <v>#NUM!</v>
      </c>
      <c r="FD69" s="202" t="e">
        <v>#NUM!</v>
      </c>
      <c r="FE69" s="202" t="e">
        <v>#NUM!</v>
      </c>
      <c r="FF69" s="202" t="e">
        <v>#NUM!</v>
      </c>
      <c r="FG69" s="202" t="e">
        <v>#NUM!</v>
      </c>
      <c r="FH69" s="202" t="e">
        <v>#NUM!</v>
      </c>
      <c r="FI69" s="202" t="e">
        <v>#NUM!</v>
      </c>
      <c r="FJ69" s="202" t="e">
        <v>#NUM!</v>
      </c>
      <c r="FK69" s="202" t="e">
        <v>#NUM!</v>
      </c>
      <c r="FL69" s="202" t="e">
        <v>#NUM!</v>
      </c>
      <c r="FM69" s="202" t="e">
        <v>#NUM!</v>
      </c>
      <c r="FN69" s="202" t="e">
        <v>#NUM!</v>
      </c>
      <c r="FO69" s="202" t="e">
        <v>#NUM!</v>
      </c>
      <c r="FP69" s="202" t="e">
        <v>#NUM!</v>
      </c>
      <c r="FQ69" s="202" t="e">
        <v>#NUM!</v>
      </c>
      <c r="FR69" s="202" t="e">
        <v>#NUM!</v>
      </c>
      <c r="FS69" s="202" t="e">
        <v>#NUM!</v>
      </c>
      <c r="FT69" s="202" t="e">
        <v>#NUM!</v>
      </c>
      <c r="FU69" s="202"/>
      <c r="FV69" s="202"/>
      <c r="FW69" s="202"/>
      <c r="FX69" s="202"/>
      <c r="FY69" s="202" t="e">
        <v>#NUM!</v>
      </c>
      <c r="FZ69" s="202" t="e">
        <v>#NUM!</v>
      </c>
      <c r="GA69" s="202" t="e">
        <v>#NUM!</v>
      </c>
      <c r="GB69" s="202"/>
      <c r="GC69" s="202"/>
      <c r="GD69" s="202"/>
      <c r="GE69" s="202" t="e">
        <v>#NUM!</v>
      </c>
      <c r="GF69" s="202"/>
      <c r="GG69" s="202">
        <v>18</v>
      </c>
      <c r="GH69" s="202"/>
      <c r="GI69" s="202"/>
      <c r="GJ69" s="202"/>
      <c r="GK69" s="202"/>
      <c r="GL69" s="202"/>
      <c r="GM69" s="202"/>
      <c r="GN69" s="202"/>
      <c r="GO69" s="202"/>
      <c r="GP69" s="202"/>
      <c r="GQ69" s="202"/>
      <c r="GR69" s="189"/>
      <c r="GS69" s="189"/>
      <c r="GT69" s="189"/>
      <c r="GU69" s="189"/>
      <c r="GV69" s="188" t="s">
        <v>1160</v>
      </c>
    </row>
    <row r="70" spans="1:204" s="68" customFormat="1" ht="14.45" customHeight="1" x14ac:dyDescent="0.25">
      <c r="A70" s="68" t="s">
        <v>692</v>
      </c>
      <c r="B70" s="82" t="s">
        <v>154</v>
      </c>
      <c r="C70" s="82" t="s">
        <v>172</v>
      </c>
      <c r="D70" s="82" t="s">
        <v>196</v>
      </c>
      <c r="E70" s="82" t="s">
        <v>309</v>
      </c>
      <c r="F70" s="82" t="s">
        <v>549</v>
      </c>
      <c r="G70" s="82" t="s">
        <v>137</v>
      </c>
      <c r="H70" s="82" t="s">
        <v>137</v>
      </c>
      <c r="I70" s="82" t="s">
        <v>66</v>
      </c>
      <c r="J70" s="82" t="s">
        <v>29</v>
      </c>
      <c r="K70" s="92" t="s">
        <v>137</v>
      </c>
      <c r="L70" s="92" t="s">
        <v>137</v>
      </c>
      <c r="M70" s="92" t="s">
        <v>137</v>
      </c>
      <c r="N70" s="92" t="s">
        <v>137</v>
      </c>
      <c r="O70" s="92" t="s">
        <v>137</v>
      </c>
      <c r="P70" s="92" t="s">
        <v>137</v>
      </c>
      <c r="Q70" s="82" t="s">
        <v>87</v>
      </c>
      <c r="R70" s="82" t="s">
        <v>714</v>
      </c>
      <c r="S70" s="82" t="s">
        <v>40</v>
      </c>
      <c r="T70" s="82" t="s">
        <v>2</v>
      </c>
      <c r="U70" s="83"/>
      <c r="V70" s="83">
        <v>0.05</v>
      </c>
      <c r="W70" s="83">
        <v>0.08</v>
      </c>
      <c r="X70" s="83">
        <v>0.15</v>
      </c>
      <c r="Y70" s="83">
        <v>0.2</v>
      </c>
      <c r="Z70" s="83">
        <v>0.25</v>
      </c>
      <c r="AA70" s="83">
        <v>0.37</v>
      </c>
      <c r="AB70" s="83">
        <v>0.42</v>
      </c>
      <c r="AC70" s="83">
        <v>0.57999999999999996</v>
      </c>
      <c r="AD70" s="83">
        <v>0.67</v>
      </c>
      <c r="AE70" s="83">
        <v>0.83</v>
      </c>
      <c r="AF70" s="83">
        <v>1</v>
      </c>
      <c r="AG70" s="82" t="s">
        <v>532</v>
      </c>
      <c r="AH70" s="82" t="s">
        <v>529</v>
      </c>
      <c r="AI70" s="88" t="s">
        <v>538</v>
      </c>
      <c r="AJ70" s="89" t="s">
        <v>538</v>
      </c>
      <c r="AK70" s="90">
        <v>46023</v>
      </c>
      <c r="AL70" s="90">
        <v>46387</v>
      </c>
      <c r="AM70" s="89"/>
      <c r="AN70" s="89"/>
      <c r="AO70" s="89"/>
      <c r="AP70" s="91" t="s">
        <v>539</v>
      </c>
      <c r="AQ70" s="90" cm="1">
        <f t="array" ref="AQ70">IFERROR(DATE(2026, _xlfn.AGGREGATE(15, 6, (COLUMN(BY70:CJ70)-COLUMN(BY70)+1)/(BY70:CJ70&lt;&gt;0), 1), 1),"N/A")</f>
        <v>46327</v>
      </c>
      <c r="AR70" s="90" cm="1">
        <f t="array" ref="AR70">IFERROR(EOMONTH(DATE(2026, _xlfn.AGGREGATE(14, 6, (COLUMN(BY70:CJ70)-COLUMN(BY70)+1)/(BY70:CJ70&lt;&gt;0), 1), 1), 0),"N/A")</f>
        <v>46356</v>
      </c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2" t="s">
        <v>626</v>
      </c>
      <c r="BF70" s="82" t="s">
        <v>759</v>
      </c>
      <c r="BG70" s="82" t="str">
        <f t="shared" ref="BG70:BG133" si="6">MID(BF70,22,3)</f>
        <v>000</v>
      </c>
      <c r="BH70" s="88">
        <v>530404</v>
      </c>
      <c r="BI70" s="92" t="s">
        <v>74</v>
      </c>
      <c r="BJ70" s="93">
        <v>6600</v>
      </c>
      <c r="BK70" s="74">
        <v>0</v>
      </c>
      <c r="BL70" s="74">
        <v>0</v>
      </c>
      <c r="BM70" s="74">
        <v>0</v>
      </c>
      <c r="BN70" s="74">
        <v>0</v>
      </c>
      <c r="BO70" s="74">
        <v>0</v>
      </c>
      <c r="BP70" s="74">
        <v>0</v>
      </c>
      <c r="BQ70" s="74">
        <v>0</v>
      </c>
      <c r="BR70" s="74">
        <v>0</v>
      </c>
      <c r="BS70" s="74">
        <v>0</v>
      </c>
      <c r="BT70" s="74">
        <v>0</v>
      </c>
      <c r="BU70" s="94">
        <v>6600</v>
      </c>
      <c r="BV70" s="143">
        <v>0</v>
      </c>
      <c r="BW70" s="143"/>
      <c r="BX70" s="143">
        <f t="shared" si="5"/>
        <v>6600</v>
      </c>
      <c r="BY70" s="74">
        <v>0</v>
      </c>
      <c r="BZ70" s="74">
        <v>0</v>
      </c>
      <c r="CA70" s="74">
        <v>0</v>
      </c>
      <c r="CB70" s="74">
        <v>0</v>
      </c>
      <c r="CC70" s="74">
        <v>0</v>
      </c>
      <c r="CD70" s="74">
        <v>0</v>
      </c>
      <c r="CE70" s="74">
        <v>0</v>
      </c>
      <c r="CF70" s="74">
        <v>0</v>
      </c>
      <c r="CG70" s="74">
        <v>0</v>
      </c>
      <c r="CH70" s="74">
        <v>0</v>
      </c>
      <c r="CI70" s="94">
        <v>6600</v>
      </c>
      <c r="CJ70" s="143">
        <v>0</v>
      </c>
      <c r="CK70" s="143"/>
      <c r="CL70" s="142">
        <f t="shared" ref="CL70:CL133" si="7">+BX70-SUM(BY70:CK70)</f>
        <v>0</v>
      </c>
      <c r="CM70" s="171">
        <v>0</v>
      </c>
      <c r="CN70" s="171">
        <v>0</v>
      </c>
      <c r="CO70" s="171">
        <v>0</v>
      </c>
      <c r="CP70" s="171">
        <v>0</v>
      </c>
      <c r="CQ70" s="171">
        <v>0</v>
      </c>
      <c r="CR70" s="171">
        <v>0</v>
      </c>
      <c r="CS70" s="171">
        <f t="shared" ref="CS70:CS133" si="8">+CP70+CM70</f>
        <v>0</v>
      </c>
      <c r="CT70" s="171">
        <f t="shared" ref="CT70:CT133" si="9">+CQ70+CN70</f>
        <v>0</v>
      </c>
      <c r="CU70" s="171">
        <f t="shared" ref="CU70:CU133" si="10">+CR70+CO70</f>
        <v>0</v>
      </c>
      <c r="CV70" s="149"/>
      <c r="CW70" s="149"/>
      <c r="CX70" s="130"/>
      <c r="CY70" s="130"/>
      <c r="CZ70" s="130"/>
      <c r="DA70" s="130"/>
      <c r="DB70" s="130"/>
      <c r="DC70" s="130"/>
      <c r="DD70" s="130"/>
      <c r="DE70" s="130"/>
      <c r="DF70" s="130"/>
      <c r="DG70" s="130"/>
      <c r="DH70" s="130"/>
      <c r="DI70" s="130"/>
      <c r="DJ70" s="130"/>
      <c r="DK70" s="130"/>
      <c r="DL70" s="130"/>
      <c r="DM70" s="130"/>
      <c r="DN70" s="130"/>
      <c r="DO70" s="130"/>
      <c r="DP70" s="130"/>
      <c r="DQ70" s="130"/>
      <c r="DR70" s="130"/>
      <c r="DS70" s="130"/>
      <c r="DT70" s="130"/>
      <c r="DU70" s="130"/>
      <c r="DV70" s="130"/>
      <c r="DW70" s="130"/>
      <c r="DX70" s="130"/>
      <c r="DY70" s="130"/>
      <c r="DZ70" s="130"/>
      <c r="EA70" s="130"/>
      <c r="EB70" s="130"/>
      <c r="EC70" s="130"/>
      <c r="ED70" s="130"/>
      <c r="EE70" s="130"/>
      <c r="EF70" s="130"/>
      <c r="EG70" s="130"/>
      <c r="EH70" s="130"/>
      <c r="EI70" s="130"/>
      <c r="EJ70" s="130"/>
      <c r="EK70" s="130"/>
      <c r="EL70" s="130"/>
      <c r="EM70" s="130"/>
      <c r="EN70" s="130"/>
      <c r="EO70" s="130"/>
      <c r="EP70" s="130"/>
      <c r="EQ70" s="130"/>
      <c r="ER70" s="130"/>
      <c r="ES70" s="130"/>
      <c r="ET70" s="130"/>
      <c r="EU70" s="130"/>
      <c r="EV70" s="130"/>
      <c r="EW70" s="130"/>
      <c r="EX70" s="130"/>
      <c r="EY70" s="130"/>
      <c r="EZ70" s="130"/>
      <c r="FA70" s="130"/>
      <c r="FB70" s="201"/>
      <c r="FC70" s="201"/>
      <c r="FD70" s="201"/>
      <c r="FE70" s="201"/>
      <c r="FF70" s="201"/>
      <c r="FG70" s="201"/>
      <c r="FH70" s="201"/>
      <c r="FI70" s="201"/>
      <c r="FJ70" s="201"/>
      <c r="FK70" s="201"/>
      <c r="FL70" s="201"/>
      <c r="FM70" s="201"/>
      <c r="FN70" s="201"/>
      <c r="FO70" s="201"/>
      <c r="FP70" s="201"/>
      <c r="FQ70" s="201"/>
      <c r="FR70" s="201"/>
      <c r="FS70" s="201"/>
      <c r="FT70" s="201"/>
      <c r="FU70" s="201"/>
      <c r="FV70" s="201"/>
      <c r="FW70" s="201"/>
      <c r="FX70" s="201"/>
      <c r="FY70" s="201"/>
      <c r="FZ70" s="201"/>
      <c r="GA70" s="201"/>
      <c r="GB70" s="201"/>
      <c r="GC70" s="201"/>
      <c r="GD70" s="201"/>
      <c r="GE70" s="201"/>
      <c r="GF70" s="201"/>
      <c r="GG70" s="201"/>
      <c r="GH70" s="201"/>
      <c r="GI70" s="201"/>
      <c r="GJ70" s="201"/>
      <c r="GK70" s="201"/>
      <c r="GL70" s="201"/>
      <c r="GM70" s="201"/>
      <c r="GN70" s="201"/>
      <c r="GO70" s="201"/>
      <c r="GP70" s="201"/>
      <c r="GQ70" s="201"/>
    </row>
    <row r="71" spans="1:204" s="68" customFormat="1" ht="14.45" customHeight="1" x14ac:dyDescent="0.25">
      <c r="A71" s="68" t="s">
        <v>692</v>
      </c>
      <c r="B71" s="82" t="s">
        <v>154</v>
      </c>
      <c r="C71" s="82" t="s">
        <v>172</v>
      </c>
      <c r="D71" s="82" t="s">
        <v>196</v>
      </c>
      <c r="E71" s="82" t="s">
        <v>309</v>
      </c>
      <c r="F71" s="82" t="s">
        <v>549</v>
      </c>
      <c r="G71" s="82" t="s">
        <v>137</v>
      </c>
      <c r="H71" s="82" t="s">
        <v>137</v>
      </c>
      <c r="I71" s="82" t="s">
        <v>66</v>
      </c>
      <c r="J71" s="82" t="s">
        <v>29</v>
      </c>
      <c r="K71" s="92" t="s">
        <v>137</v>
      </c>
      <c r="L71" s="92" t="s">
        <v>137</v>
      </c>
      <c r="M71" s="92" t="s">
        <v>137</v>
      </c>
      <c r="N71" s="92" t="s">
        <v>137</v>
      </c>
      <c r="O71" s="92" t="s">
        <v>137</v>
      </c>
      <c r="P71" s="92" t="s">
        <v>137</v>
      </c>
      <c r="Q71" s="82" t="s">
        <v>87</v>
      </c>
      <c r="R71" s="82" t="s">
        <v>714</v>
      </c>
      <c r="S71" s="82" t="s">
        <v>40</v>
      </c>
      <c r="T71" s="82" t="s">
        <v>2</v>
      </c>
      <c r="U71" s="83"/>
      <c r="V71" s="83">
        <v>0.05</v>
      </c>
      <c r="W71" s="83">
        <v>0.08</v>
      </c>
      <c r="X71" s="83">
        <v>0.15</v>
      </c>
      <c r="Y71" s="83">
        <v>0.2</v>
      </c>
      <c r="Z71" s="83">
        <v>0.25</v>
      </c>
      <c r="AA71" s="83">
        <v>0.37</v>
      </c>
      <c r="AB71" s="83">
        <v>0.42</v>
      </c>
      <c r="AC71" s="83">
        <v>0.57999999999999996</v>
      </c>
      <c r="AD71" s="83">
        <v>0.67</v>
      </c>
      <c r="AE71" s="83">
        <v>0.83</v>
      </c>
      <c r="AF71" s="83">
        <v>1</v>
      </c>
      <c r="AG71" s="82" t="s">
        <v>532</v>
      </c>
      <c r="AH71" s="82" t="s">
        <v>529</v>
      </c>
      <c r="AI71" s="88" t="s">
        <v>538</v>
      </c>
      <c r="AJ71" s="89" t="s">
        <v>538</v>
      </c>
      <c r="AK71" s="90">
        <v>46023</v>
      </c>
      <c r="AL71" s="90">
        <v>46387</v>
      </c>
      <c r="AM71" s="89"/>
      <c r="AN71" s="89"/>
      <c r="AO71" s="89"/>
      <c r="AP71" s="91" t="s">
        <v>539</v>
      </c>
      <c r="AQ71" s="90" cm="1">
        <f t="array" ref="AQ71">IFERROR(DATE(2026, _xlfn.AGGREGATE(15, 6, (COLUMN(BY71:CJ71)-COLUMN(BY71)+1)/(BY71:CJ71&lt;&gt;0), 1), 1),"N/A")</f>
        <v>46296</v>
      </c>
      <c r="AR71" s="90" cm="1">
        <f t="array" ref="AR71">IFERROR(EOMONTH(DATE(2026, _xlfn.AGGREGATE(14, 6, (COLUMN(BY71:CJ71)-COLUMN(BY71)+1)/(BY71:CJ71&lt;&gt;0), 1), 1), 0),"N/A")</f>
        <v>46326</v>
      </c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2" t="s">
        <v>581</v>
      </c>
      <c r="BF71" s="82" t="s">
        <v>760</v>
      </c>
      <c r="BG71" s="82" t="str">
        <f t="shared" si="6"/>
        <v>000</v>
      </c>
      <c r="BH71" s="88">
        <v>530404</v>
      </c>
      <c r="BI71" s="92" t="s">
        <v>74</v>
      </c>
      <c r="BJ71" s="93">
        <v>1000</v>
      </c>
      <c r="BK71" s="74">
        <v>0</v>
      </c>
      <c r="BL71" s="74">
        <v>0</v>
      </c>
      <c r="BM71" s="74">
        <v>0</v>
      </c>
      <c r="BN71" s="74">
        <v>0</v>
      </c>
      <c r="BO71" s="74">
        <v>0</v>
      </c>
      <c r="BP71" s="74">
        <v>0</v>
      </c>
      <c r="BQ71" s="74">
        <v>0</v>
      </c>
      <c r="BR71" s="74">
        <v>0</v>
      </c>
      <c r="BS71" s="74">
        <v>0</v>
      </c>
      <c r="BT71" s="94">
        <v>1000</v>
      </c>
      <c r="BU71" s="74">
        <v>0</v>
      </c>
      <c r="BV71" s="143">
        <v>0</v>
      </c>
      <c r="BW71" s="143"/>
      <c r="BX71" s="143">
        <f t="shared" ref="BX71:BX134" si="11">+BJ71+BW71</f>
        <v>1000</v>
      </c>
      <c r="BY71" s="74">
        <v>0</v>
      </c>
      <c r="BZ71" s="74">
        <v>0</v>
      </c>
      <c r="CA71" s="74">
        <v>0</v>
      </c>
      <c r="CB71" s="74">
        <v>0</v>
      </c>
      <c r="CC71" s="74">
        <v>0</v>
      </c>
      <c r="CD71" s="74">
        <v>0</v>
      </c>
      <c r="CE71" s="74">
        <v>0</v>
      </c>
      <c r="CF71" s="74">
        <v>0</v>
      </c>
      <c r="CG71" s="74">
        <v>0</v>
      </c>
      <c r="CH71" s="94">
        <v>1000</v>
      </c>
      <c r="CI71" s="74">
        <v>0</v>
      </c>
      <c r="CJ71" s="143">
        <v>0</v>
      </c>
      <c r="CK71" s="143"/>
      <c r="CL71" s="142">
        <f t="shared" si="7"/>
        <v>0</v>
      </c>
      <c r="CM71" s="171">
        <v>0</v>
      </c>
      <c r="CN71" s="171">
        <v>0</v>
      </c>
      <c r="CO71" s="171">
        <v>0</v>
      </c>
      <c r="CP71" s="171">
        <v>0</v>
      </c>
      <c r="CQ71" s="171">
        <v>0</v>
      </c>
      <c r="CR71" s="171">
        <v>0</v>
      </c>
      <c r="CS71" s="171">
        <f t="shared" si="8"/>
        <v>0</v>
      </c>
      <c r="CT71" s="171">
        <f t="shared" si="9"/>
        <v>0</v>
      </c>
      <c r="CU71" s="171">
        <f t="shared" si="10"/>
        <v>0</v>
      </c>
      <c r="CV71" s="149"/>
      <c r="CW71" s="149"/>
      <c r="CX71" s="130"/>
      <c r="CY71" s="130"/>
      <c r="CZ71" s="130"/>
      <c r="DA71" s="130"/>
      <c r="DB71" s="130"/>
      <c r="DC71" s="130"/>
      <c r="DD71" s="130"/>
      <c r="DE71" s="130"/>
      <c r="DF71" s="130"/>
      <c r="DG71" s="130"/>
      <c r="DH71" s="130"/>
      <c r="DI71" s="130"/>
      <c r="DJ71" s="130"/>
      <c r="DK71" s="130"/>
      <c r="DL71" s="130"/>
      <c r="DM71" s="130"/>
      <c r="DN71" s="130"/>
      <c r="DO71" s="130"/>
      <c r="DP71" s="130"/>
      <c r="DQ71" s="130"/>
      <c r="DR71" s="130"/>
      <c r="DS71" s="130"/>
      <c r="DT71" s="130"/>
      <c r="DU71" s="130"/>
      <c r="DV71" s="130"/>
      <c r="DW71" s="130"/>
      <c r="DX71" s="130"/>
      <c r="DY71" s="130"/>
      <c r="DZ71" s="130"/>
      <c r="EA71" s="130"/>
      <c r="EB71" s="130"/>
      <c r="EC71" s="130"/>
      <c r="ED71" s="130"/>
      <c r="EE71" s="130"/>
      <c r="EF71" s="130"/>
      <c r="EG71" s="130"/>
      <c r="EH71" s="130"/>
      <c r="EI71" s="130"/>
      <c r="EJ71" s="130"/>
      <c r="EK71" s="130"/>
      <c r="EL71" s="130"/>
      <c r="EM71" s="130"/>
      <c r="EN71" s="130"/>
      <c r="EO71" s="130"/>
      <c r="EP71" s="130"/>
      <c r="EQ71" s="130"/>
      <c r="ER71" s="130"/>
      <c r="ES71" s="130"/>
      <c r="ET71" s="130"/>
      <c r="EU71" s="130"/>
      <c r="EV71" s="130"/>
      <c r="EW71" s="130"/>
      <c r="EX71" s="130"/>
      <c r="EY71" s="130"/>
      <c r="EZ71" s="130"/>
      <c r="FA71" s="130"/>
      <c r="FB71" s="201"/>
      <c r="FC71" s="201"/>
      <c r="FD71" s="201"/>
      <c r="FE71" s="201"/>
      <c r="FF71" s="201"/>
      <c r="FG71" s="201"/>
      <c r="FH71" s="201"/>
      <c r="FI71" s="201"/>
      <c r="FJ71" s="201"/>
      <c r="FK71" s="201"/>
      <c r="FL71" s="201"/>
      <c r="FM71" s="201"/>
      <c r="FN71" s="201"/>
      <c r="FO71" s="201"/>
      <c r="FP71" s="201"/>
      <c r="FQ71" s="201"/>
      <c r="FR71" s="201"/>
      <c r="FS71" s="201"/>
      <c r="FT71" s="201"/>
      <c r="FU71" s="201"/>
      <c r="FV71" s="201"/>
      <c r="FW71" s="201"/>
      <c r="FX71" s="201"/>
      <c r="FY71" s="201"/>
      <c r="FZ71" s="201"/>
      <c r="GA71" s="201"/>
      <c r="GB71" s="201"/>
      <c r="GC71" s="201"/>
      <c r="GD71" s="201"/>
      <c r="GE71" s="201"/>
      <c r="GF71" s="201"/>
      <c r="GG71" s="201"/>
      <c r="GH71" s="201"/>
      <c r="GI71" s="201"/>
      <c r="GJ71" s="201"/>
      <c r="GK71" s="201"/>
      <c r="GL71" s="201"/>
      <c r="GM71" s="201"/>
      <c r="GN71" s="201"/>
      <c r="GO71" s="201"/>
      <c r="GP71" s="201"/>
      <c r="GQ71" s="201"/>
    </row>
    <row r="72" spans="1:204" s="68" customFormat="1" ht="14.45" customHeight="1" x14ac:dyDescent="0.25">
      <c r="A72" s="68" t="s">
        <v>692</v>
      </c>
      <c r="B72" s="82" t="s">
        <v>154</v>
      </c>
      <c r="C72" s="82" t="s">
        <v>172</v>
      </c>
      <c r="D72" s="82" t="s">
        <v>196</v>
      </c>
      <c r="E72" s="82" t="s">
        <v>309</v>
      </c>
      <c r="F72" s="82" t="s">
        <v>549</v>
      </c>
      <c r="G72" s="82" t="s">
        <v>137</v>
      </c>
      <c r="H72" s="82" t="s">
        <v>137</v>
      </c>
      <c r="I72" s="82" t="s">
        <v>66</v>
      </c>
      <c r="J72" s="82" t="s">
        <v>29</v>
      </c>
      <c r="K72" s="92" t="s">
        <v>137</v>
      </c>
      <c r="L72" s="92" t="s">
        <v>137</v>
      </c>
      <c r="M72" s="92" t="s">
        <v>137</v>
      </c>
      <c r="N72" s="92" t="s">
        <v>137</v>
      </c>
      <c r="O72" s="92" t="s">
        <v>137</v>
      </c>
      <c r="P72" s="92" t="s">
        <v>137</v>
      </c>
      <c r="Q72" s="82" t="s">
        <v>87</v>
      </c>
      <c r="R72" s="82" t="s">
        <v>714</v>
      </c>
      <c r="S72" s="82" t="s">
        <v>40</v>
      </c>
      <c r="T72" s="82" t="s">
        <v>2</v>
      </c>
      <c r="U72" s="83"/>
      <c r="V72" s="83">
        <v>0.05</v>
      </c>
      <c r="W72" s="83">
        <v>0.08</v>
      </c>
      <c r="X72" s="83">
        <v>0.15</v>
      </c>
      <c r="Y72" s="83">
        <v>0.2</v>
      </c>
      <c r="Z72" s="83">
        <v>0.25</v>
      </c>
      <c r="AA72" s="83">
        <v>0.37</v>
      </c>
      <c r="AB72" s="83">
        <v>0.42</v>
      </c>
      <c r="AC72" s="83">
        <v>0.57999999999999996</v>
      </c>
      <c r="AD72" s="83">
        <v>0.67</v>
      </c>
      <c r="AE72" s="83">
        <v>0.83</v>
      </c>
      <c r="AF72" s="83">
        <v>1</v>
      </c>
      <c r="AG72" s="82" t="s">
        <v>532</v>
      </c>
      <c r="AH72" s="82" t="s">
        <v>529</v>
      </c>
      <c r="AI72" s="88" t="s">
        <v>538</v>
      </c>
      <c r="AJ72" s="89" t="s">
        <v>538</v>
      </c>
      <c r="AK72" s="90">
        <v>46023</v>
      </c>
      <c r="AL72" s="90">
        <v>46387</v>
      </c>
      <c r="AM72" s="89"/>
      <c r="AN72" s="89"/>
      <c r="AO72" s="89"/>
      <c r="AP72" s="91" t="s">
        <v>539</v>
      </c>
      <c r="AQ72" s="90" cm="1">
        <f t="array" ref="AQ72">IFERROR(DATE(2026, _xlfn.AGGREGATE(15, 6, (COLUMN(BY72:CJ72)-COLUMN(BY72)+1)/(BY72:CJ72&lt;&gt;0), 1), 1),"N/A")</f>
        <v>46082</v>
      </c>
      <c r="AR72" s="90" cm="1">
        <f t="array" ref="AR72">IFERROR(EOMONTH(DATE(2026, _xlfn.AGGREGATE(14, 6, (COLUMN(BY72:CJ72)-COLUMN(BY72)+1)/(BY72:CJ72&lt;&gt;0), 1), 1), 0),"N/A")</f>
        <v>46295</v>
      </c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2" t="s">
        <v>573</v>
      </c>
      <c r="BF72" s="82" t="s">
        <v>994</v>
      </c>
      <c r="BG72" s="82" t="str">
        <f t="shared" si="6"/>
        <v>000</v>
      </c>
      <c r="BH72" s="88">
        <v>530404</v>
      </c>
      <c r="BI72" s="92" t="s">
        <v>74</v>
      </c>
      <c r="BJ72" s="93">
        <v>180</v>
      </c>
      <c r="BK72" s="74">
        <v>0</v>
      </c>
      <c r="BL72" s="74">
        <v>0</v>
      </c>
      <c r="BM72" s="94">
        <v>90</v>
      </c>
      <c r="BN72" s="74">
        <v>0</v>
      </c>
      <c r="BO72" s="74">
        <v>0</v>
      </c>
      <c r="BP72" s="74">
        <v>0</v>
      </c>
      <c r="BQ72" s="74">
        <v>0</v>
      </c>
      <c r="BR72" s="74">
        <v>0</v>
      </c>
      <c r="BS72" s="94">
        <v>90</v>
      </c>
      <c r="BT72" s="74">
        <v>0</v>
      </c>
      <c r="BU72" s="74">
        <v>0</v>
      </c>
      <c r="BV72" s="143">
        <v>0</v>
      </c>
      <c r="BW72" s="143">
        <v>405.85</v>
      </c>
      <c r="BX72" s="143">
        <f t="shared" si="11"/>
        <v>585.85</v>
      </c>
      <c r="BY72" s="74">
        <v>0</v>
      </c>
      <c r="BZ72" s="74">
        <v>0</v>
      </c>
      <c r="CA72" s="94">
        <v>495.85</v>
      </c>
      <c r="CB72" s="74">
        <v>0</v>
      </c>
      <c r="CC72" s="74">
        <v>0</v>
      </c>
      <c r="CD72" s="74">
        <v>0</v>
      </c>
      <c r="CE72" s="74">
        <v>0</v>
      </c>
      <c r="CF72" s="74">
        <v>0</v>
      </c>
      <c r="CG72" s="94">
        <v>90</v>
      </c>
      <c r="CH72" s="74">
        <v>0</v>
      </c>
      <c r="CI72" s="74">
        <v>0</v>
      </c>
      <c r="CJ72" s="143">
        <v>0</v>
      </c>
      <c r="CK72" s="143"/>
      <c r="CL72" s="142">
        <f t="shared" si="7"/>
        <v>0</v>
      </c>
      <c r="CM72" s="171">
        <v>0</v>
      </c>
      <c r="CN72" s="171">
        <v>0</v>
      </c>
      <c r="CO72" s="171">
        <v>0</v>
      </c>
      <c r="CP72" s="171">
        <v>0</v>
      </c>
      <c r="CQ72" s="171">
        <v>0</v>
      </c>
      <c r="CR72" s="171">
        <v>0</v>
      </c>
      <c r="CS72" s="171">
        <f t="shared" si="8"/>
        <v>0</v>
      </c>
      <c r="CT72" s="171">
        <f t="shared" si="9"/>
        <v>0</v>
      </c>
      <c r="CU72" s="171">
        <f t="shared" si="10"/>
        <v>0</v>
      </c>
      <c r="CV72" s="150">
        <v>180</v>
      </c>
      <c r="CW72" s="150"/>
      <c r="CX72" s="130">
        <v>1</v>
      </c>
      <c r="CY72" s="130"/>
      <c r="CZ72" s="130"/>
      <c r="DA72" s="130"/>
      <c r="DB72" s="130"/>
      <c r="DC72" s="130"/>
      <c r="DD72" s="130"/>
      <c r="DE72" s="131">
        <v>46274</v>
      </c>
      <c r="DF72" s="131">
        <v>46274</v>
      </c>
      <c r="DG72" s="132">
        <v>3</v>
      </c>
      <c r="DH72" s="131">
        <v>46275</v>
      </c>
      <c r="DI72" s="131">
        <v>46275</v>
      </c>
      <c r="DJ72" s="131">
        <v>46275</v>
      </c>
      <c r="DK72" s="131">
        <v>46276</v>
      </c>
      <c r="DL72" s="131">
        <v>46279</v>
      </c>
      <c r="DM72" s="131">
        <v>46280</v>
      </c>
      <c r="DN72" s="131">
        <v>46281</v>
      </c>
      <c r="DO72" s="131">
        <v>46282</v>
      </c>
      <c r="DP72" s="131">
        <v>46283</v>
      </c>
      <c r="DQ72" s="131">
        <v>46283</v>
      </c>
      <c r="DR72" s="132">
        <v>3</v>
      </c>
      <c r="DS72" s="131">
        <v>46286</v>
      </c>
      <c r="DT72" s="131">
        <v>46287</v>
      </c>
      <c r="DU72" s="131">
        <v>46288</v>
      </c>
      <c r="DV72" s="131">
        <v>46289</v>
      </c>
      <c r="DW72" s="131">
        <v>46289</v>
      </c>
      <c r="DX72" s="131">
        <v>46290</v>
      </c>
      <c r="DY72" s="131">
        <v>46290</v>
      </c>
      <c r="DZ72" s="132"/>
      <c r="EA72" s="132"/>
      <c r="EB72" s="132"/>
      <c r="EC72" s="132"/>
      <c r="ED72" s="131">
        <v>46293</v>
      </c>
      <c r="EE72" s="131">
        <v>46294</v>
      </c>
      <c r="EF72" s="131">
        <v>46294</v>
      </c>
      <c r="EG72" s="131"/>
      <c r="EH72" s="131"/>
      <c r="EI72" s="131"/>
      <c r="EJ72" s="131">
        <v>46294</v>
      </c>
      <c r="EK72" s="131">
        <v>46300</v>
      </c>
      <c r="EL72" s="132">
        <v>18</v>
      </c>
      <c r="EM72" s="133"/>
      <c r="EN72" s="133"/>
      <c r="EO72" s="133"/>
      <c r="EP72" s="133"/>
      <c r="EQ72" s="133"/>
      <c r="ER72" s="133"/>
      <c r="ES72" s="133"/>
      <c r="ET72" s="133"/>
      <c r="EU72" s="133"/>
      <c r="EV72" s="134"/>
      <c r="EW72" s="133">
        <v>46300</v>
      </c>
      <c r="EX72" s="133"/>
      <c r="EY72" s="135" t="s">
        <v>854</v>
      </c>
      <c r="EZ72" s="132" t="s">
        <v>857</v>
      </c>
      <c r="FA72" s="130"/>
      <c r="FB72" s="201"/>
      <c r="FC72" s="201"/>
      <c r="FD72" s="201"/>
      <c r="FE72" s="201"/>
      <c r="FF72" s="201"/>
      <c r="FG72" s="201"/>
      <c r="FH72" s="201"/>
      <c r="FI72" s="201"/>
      <c r="FJ72" s="201"/>
      <c r="FK72" s="201"/>
      <c r="FL72" s="201"/>
      <c r="FM72" s="201"/>
      <c r="FN72" s="201"/>
      <c r="FO72" s="201"/>
      <c r="FP72" s="201"/>
      <c r="FQ72" s="201"/>
      <c r="FR72" s="201"/>
      <c r="FS72" s="201"/>
      <c r="FT72" s="201"/>
      <c r="FU72" s="201"/>
      <c r="FV72" s="201"/>
      <c r="FW72" s="201"/>
      <c r="FX72" s="201"/>
      <c r="FY72" s="201"/>
      <c r="FZ72" s="201"/>
      <c r="GA72" s="201"/>
      <c r="GB72" s="201"/>
      <c r="GC72" s="201"/>
      <c r="GD72" s="201"/>
      <c r="GE72" s="201"/>
      <c r="GF72" s="201"/>
      <c r="GG72" s="201"/>
      <c r="GH72" s="201"/>
      <c r="GI72" s="201"/>
      <c r="GJ72" s="201"/>
      <c r="GK72" s="201"/>
      <c r="GL72" s="201"/>
      <c r="GM72" s="201"/>
      <c r="GN72" s="201"/>
      <c r="GO72" s="201"/>
      <c r="GP72" s="201"/>
      <c r="GQ72" s="201"/>
    </row>
    <row r="73" spans="1:204" s="68" customFormat="1" ht="14.45" customHeight="1" x14ac:dyDescent="0.25">
      <c r="A73" s="68" t="s">
        <v>692</v>
      </c>
      <c r="B73" s="82" t="s">
        <v>154</v>
      </c>
      <c r="C73" s="82" t="s">
        <v>172</v>
      </c>
      <c r="D73" s="82" t="s">
        <v>196</v>
      </c>
      <c r="E73" s="82" t="s">
        <v>309</v>
      </c>
      <c r="F73" s="82" t="s">
        <v>549</v>
      </c>
      <c r="G73" s="82" t="s">
        <v>137</v>
      </c>
      <c r="H73" s="82" t="s">
        <v>137</v>
      </c>
      <c r="I73" s="82" t="s">
        <v>66</v>
      </c>
      <c r="J73" s="82" t="s">
        <v>29</v>
      </c>
      <c r="K73" s="92" t="s">
        <v>137</v>
      </c>
      <c r="L73" s="92" t="s">
        <v>137</v>
      </c>
      <c r="M73" s="92" t="s">
        <v>137</v>
      </c>
      <c r="N73" s="92" t="s">
        <v>137</v>
      </c>
      <c r="O73" s="92" t="s">
        <v>137</v>
      </c>
      <c r="P73" s="92" t="s">
        <v>137</v>
      </c>
      <c r="Q73" s="82" t="s">
        <v>87</v>
      </c>
      <c r="R73" s="82" t="s">
        <v>714</v>
      </c>
      <c r="S73" s="82" t="s">
        <v>40</v>
      </c>
      <c r="T73" s="82" t="s">
        <v>2</v>
      </c>
      <c r="U73" s="83"/>
      <c r="V73" s="83">
        <v>0.05</v>
      </c>
      <c r="W73" s="83">
        <v>0.08</v>
      </c>
      <c r="X73" s="83">
        <v>0.15</v>
      </c>
      <c r="Y73" s="83">
        <v>0.2</v>
      </c>
      <c r="Z73" s="83">
        <v>0.25</v>
      </c>
      <c r="AA73" s="83">
        <v>0.37</v>
      </c>
      <c r="AB73" s="83">
        <v>0.42</v>
      </c>
      <c r="AC73" s="83">
        <v>0.57999999999999996</v>
      </c>
      <c r="AD73" s="83">
        <v>0.67</v>
      </c>
      <c r="AE73" s="83">
        <v>0.83</v>
      </c>
      <c r="AF73" s="83">
        <v>1</v>
      </c>
      <c r="AG73" s="82" t="s">
        <v>532</v>
      </c>
      <c r="AH73" s="82" t="s">
        <v>794</v>
      </c>
      <c r="AI73" s="88" t="s">
        <v>538</v>
      </c>
      <c r="AJ73" s="89" t="s">
        <v>538</v>
      </c>
      <c r="AK73" s="90">
        <v>46023</v>
      </c>
      <c r="AL73" s="90">
        <v>46387</v>
      </c>
      <c r="AM73" s="89"/>
      <c r="AN73" s="89"/>
      <c r="AO73" s="89"/>
      <c r="AP73" s="91" t="s">
        <v>539</v>
      </c>
      <c r="AQ73" s="90" cm="1">
        <f t="array" ref="AQ73">IFERROR(DATE(2026, _xlfn.AGGREGATE(15, 6, (COLUMN(BY73:CJ73)-COLUMN(BY73)+1)/(BY73:CJ73&lt;&gt;0), 1), 1),"N/A")</f>
        <v>46082</v>
      </c>
      <c r="AR73" s="90" cm="1">
        <f t="array" ref="AR73">IFERROR(EOMONTH(DATE(2026, _xlfn.AGGREGATE(14, 6, (COLUMN(BY73:CJ73)-COLUMN(BY73)+1)/(BY73:CJ73&lt;&gt;0), 1), 1), 0),"N/A")</f>
        <v>46112</v>
      </c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2" t="s">
        <v>1114</v>
      </c>
      <c r="BF73" s="82" t="s">
        <v>1115</v>
      </c>
      <c r="BG73" s="82" t="str">
        <f t="shared" si="6"/>
        <v>000</v>
      </c>
      <c r="BH73" s="88">
        <v>840104</v>
      </c>
      <c r="BI73" s="92" t="s">
        <v>74</v>
      </c>
      <c r="BJ73" s="93">
        <v>0</v>
      </c>
      <c r="BK73" s="74"/>
      <c r="BL73" s="74"/>
      <c r="BM73" s="94"/>
      <c r="BN73" s="74"/>
      <c r="BO73" s="74"/>
      <c r="BP73" s="74"/>
      <c r="BQ73" s="74"/>
      <c r="BR73" s="74"/>
      <c r="BS73" s="94"/>
      <c r="BT73" s="74"/>
      <c r="BU73" s="74"/>
      <c r="BV73" s="143"/>
      <c r="BW73" s="143">
        <v>230.84</v>
      </c>
      <c r="BX73" s="143">
        <f t="shared" si="11"/>
        <v>230.84</v>
      </c>
      <c r="BY73" s="74"/>
      <c r="BZ73" s="74"/>
      <c r="CA73" s="94">
        <v>230.84</v>
      </c>
      <c r="CB73" s="74"/>
      <c r="CC73" s="74"/>
      <c r="CD73" s="74"/>
      <c r="CE73" s="74"/>
      <c r="CF73" s="74"/>
      <c r="CG73" s="94"/>
      <c r="CH73" s="74"/>
      <c r="CI73" s="74"/>
      <c r="CJ73" s="143"/>
      <c r="CK73" s="143"/>
      <c r="CL73" s="142">
        <f t="shared" si="7"/>
        <v>0</v>
      </c>
      <c r="CM73" s="171">
        <v>0</v>
      </c>
      <c r="CN73" s="171">
        <v>0</v>
      </c>
      <c r="CO73" s="171">
        <v>0</v>
      </c>
      <c r="CP73" s="171">
        <v>0</v>
      </c>
      <c r="CQ73" s="171">
        <v>0</v>
      </c>
      <c r="CR73" s="171">
        <v>0</v>
      </c>
      <c r="CS73" s="171">
        <f t="shared" si="8"/>
        <v>0</v>
      </c>
      <c r="CT73" s="171">
        <f t="shared" si="9"/>
        <v>0</v>
      </c>
      <c r="CU73" s="171">
        <f t="shared" si="10"/>
        <v>0</v>
      </c>
      <c r="CV73" s="150"/>
      <c r="CW73" s="150"/>
      <c r="CX73" s="130"/>
      <c r="CY73" s="130"/>
      <c r="CZ73" s="130"/>
      <c r="DA73" s="130"/>
      <c r="DB73" s="130"/>
      <c r="DC73" s="130"/>
      <c r="DD73" s="130"/>
      <c r="DE73" s="131"/>
      <c r="DF73" s="131"/>
      <c r="DG73" s="132"/>
      <c r="DH73" s="131"/>
      <c r="DI73" s="131"/>
      <c r="DJ73" s="131"/>
      <c r="DK73" s="131"/>
      <c r="DL73" s="131"/>
      <c r="DM73" s="131"/>
      <c r="DN73" s="131"/>
      <c r="DO73" s="131"/>
      <c r="DP73" s="131"/>
      <c r="DQ73" s="131"/>
      <c r="DR73" s="132"/>
      <c r="DS73" s="131"/>
      <c r="DT73" s="131"/>
      <c r="DU73" s="131"/>
      <c r="DV73" s="131"/>
      <c r="DW73" s="131"/>
      <c r="DX73" s="131"/>
      <c r="DY73" s="131"/>
      <c r="DZ73" s="132"/>
      <c r="EA73" s="132"/>
      <c r="EB73" s="132"/>
      <c r="EC73" s="132"/>
      <c r="ED73" s="131"/>
      <c r="EE73" s="131"/>
      <c r="EF73" s="131"/>
      <c r="EG73" s="131"/>
      <c r="EH73" s="131"/>
      <c r="EI73" s="131"/>
      <c r="EJ73" s="131"/>
      <c r="EK73" s="131"/>
      <c r="EL73" s="132"/>
      <c r="EM73" s="133"/>
      <c r="EN73" s="133"/>
      <c r="EO73" s="133"/>
      <c r="EP73" s="133"/>
      <c r="EQ73" s="133"/>
      <c r="ER73" s="133"/>
      <c r="ES73" s="133"/>
      <c r="ET73" s="133"/>
      <c r="EU73" s="133"/>
      <c r="EV73" s="134"/>
      <c r="EW73" s="133"/>
      <c r="EX73" s="133"/>
      <c r="EY73" s="135"/>
      <c r="EZ73" s="132"/>
      <c r="FA73" s="130"/>
      <c r="FB73" s="201"/>
      <c r="FC73" s="201"/>
      <c r="FD73" s="201"/>
      <c r="FE73" s="201"/>
      <c r="FF73" s="201"/>
      <c r="FG73" s="201"/>
      <c r="FH73" s="201"/>
      <c r="FI73" s="201"/>
      <c r="FJ73" s="201"/>
      <c r="FK73" s="201"/>
      <c r="FL73" s="201"/>
      <c r="FM73" s="201"/>
      <c r="FN73" s="201"/>
      <c r="FO73" s="201"/>
      <c r="FP73" s="201"/>
      <c r="FQ73" s="201"/>
      <c r="FR73" s="201"/>
      <c r="FS73" s="201"/>
      <c r="FT73" s="201"/>
      <c r="FU73" s="201"/>
      <c r="FV73" s="201"/>
      <c r="FW73" s="201"/>
      <c r="FX73" s="201"/>
      <c r="FY73" s="201"/>
      <c r="FZ73" s="201"/>
      <c r="GA73" s="201"/>
      <c r="GB73" s="201"/>
      <c r="GC73" s="201"/>
      <c r="GD73" s="201"/>
      <c r="GE73" s="201"/>
      <c r="GF73" s="201"/>
      <c r="GG73" s="201"/>
      <c r="GH73" s="201"/>
      <c r="GI73" s="201"/>
      <c r="GJ73" s="201"/>
      <c r="GK73" s="201"/>
      <c r="GL73" s="201"/>
      <c r="GM73" s="201"/>
      <c r="GN73" s="201"/>
      <c r="GO73" s="201"/>
      <c r="GP73" s="201"/>
      <c r="GQ73" s="201"/>
    </row>
    <row r="74" spans="1:204" s="68" customFormat="1" ht="14.45" customHeight="1" x14ac:dyDescent="0.25">
      <c r="A74" s="68" t="s">
        <v>692</v>
      </c>
      <c r="B74" s="82" t="s">
        <v>154</v>
      </c>
      <c r="C74" s="82" t="s">
        <v>172</v>
      </c>
      <c r="D74" s="82" t="s">
        <v>196</v>
      </c>
      <c r="E74" s="82" t="s">
        <v>309</v>
      </c>
      <c r="F74" s="82" t="s">
        <v>549</v>
      </c>
      <c r="G74" s="82" t="s">
        <v>137</v>
      </c>
      <c r="H74" s="82" t="s">
        <v>137</v>
      </c>
      <c r="I74" s="82" t="s">
        <v>66</v>
      </c>
      <c r="J74" s="82" t="s">
        <v>29</v>
      </c>
      <c r="K74" s="92" t="s">
        <v>137</v>
      </c>
      <c r="L74" s="92" t="s">
        <v>137</v>
      </c>
      <c r="M74" s="92" t="s">
        <v>137</v>
      </c>
      <c r="N74" s="92" t="s">
        <v>137</v>
      </c>
      <c r="O74" s="92" t="s">
        <v>137</v>
      </c>
      <c r="P74" s="92" t="s">
        <v>137</v>
      </c>
      <c r="Q74" s="82" t="s">
        <v>87</v>
      </c>
      <c r="R74" s="82" t="s">
        <v>714</v>
      </c>
      <c r="S74" s="82" t="s">
        <v>40</v>
      </c>
      <c r="T74" s="82" t="s">
        <v>2</v>
      </c>
      <c r="U74" s="83"/>
      <c r="V74" s="83">
        <v>0.05</v>
      </c>
      <c r="W74" s="83">
        <v>0.08</v>
      </c>
      <c r="X74" s="83">
        <v>0.15</v>
      </c>
      <c r="Y74" s="83">
        <v>0.2</v>
      </c>
      <c r="Z74" s="83">
        <v>0.25</v>
      </c>
      <c r="AA74" s="83">
        <v>0.37</v>
      </c>
      <c r="AB74" s="83">
        <v>0.42</v>
      </c>
      <c r="AC74" s="83">
        <v>0.57999999999999996</v>
      </c>
      <c r="AD74" s="83">
        <v>0.67</v>
      </c>
      <c r="AE74" s="83">
        <v>0.83</v>
      </c>
      <c r="AF74" s="83">
        <v>1</v>
      </c>
      <c r="AG74" s="82" t="s">
        <v>532</v>
      </c>
      <c r="AH74" s="82" t="s">
        <v>794</v>
      </c>
      <c r="AI74" s="88" t="s">
        <v>538</v>
      </c>
      <c r="AJ74" s="89" t="s">
        <v>538</v>
      </c>
      <c r="AK74" s="90">
        <v>46023</v>
      </c>
      <c r="AL74" s="90">
        <v>46387</v>
      </c>
      <c r="AM74" s="89"/>
      <c r="AN74" s="89"/>
      <c r="AO74" s="89"/>
      <c r="AP74" s="91" t="s">
        <v>539</v>
      </c>
      <c r="AQ74" s="90" cm="1">
        <f t="array" ref="AQ74">IFERROR(DATE(2026, _xlfn.AGGREGATE(15, 6, (COLUMN(BY74:CJ74)-COLUMN(BY74)+1)/(BY74:CJ74&lt;&gt;0), 1), 1),"N/A")</f>
        <v>46082</v>
      </c>
      <c r="AR74" s="90" cm="1">
        <f t="array" ref="AR74">IFERROR(EOMONTH(DATE(2026, _xlfn.AGGREGATE(14, 6, (COLUMN(BY74:CJ74)-COLUMN(BY74)+1)/(BY74:CJ74&lt;&gt;0), 1), 1), 0),"N/A")</f>
        <v>46112</v>
      </c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2" t="s">
        <v>1114</v>
      </c>
      <c r="BF74" s="82" t="s">
        <v>1116</v>
      </c>
      <c r="BG74" s="82" t="str">
        <f t="shared" si="6"/>
        <v>000</v>
      </c>
      <c r="BH74" s="88">
        <v>531407</v>
      </c>
      <c r="BI74" s="92" t="s">
        <v>74</v>
      </c>
      <c r="BJ74" s="93">
        <v>0</v>
      </c>
      <c r="BK74" s="74"/>
      <c r="BL74" s="74"/>
      <c r="BM74" s="94"/>
      <c r="BN74" s="74"/>
      <c r="BO74" s="74"/>
      <c r="BP74" s="74"/>
      <c r="BQ74" s="74"/>
      <c r="BR74" s="74"/>
      <c r="BS74" s="94"/>
      <c r="BT74" s="74"/>
      <c r="BU74" s="74"/>
      <c r="BV74" s="143"/>
      <c r="BW74" s="143">
        <v>270.04000000000002</v>
      </c>
      <c r="BX74" s="143">
        <f t="shared" si="11"/>
        <v>270.04000000000002</v>
      </c>
      <c r="BY74" s="74"/>
      <c r="BZ74" s="74"/>
      <c r="CA74" s="94">
        <v>270.04000000000002</v>
      </c>
      <c r="CB74" s="74"/>
      <c r="CC74" s="74"/>
      <c r="CD74" s="74"/>
      <c r="CE74" s="74"/>
      <c r="CF74" s="74"/>
      <c r="CG74" s="94"/>
      <c r="CH74" s="74"/>
      <c r="CI74" s="74"/>
      <c r="CJ74" s="143"/>
      <c r="CK74" s="143"/>
      <c r="CL74" s="142">
        <f t="shared" si="7"/>
        <v>0</v>
      </c>
      <c r="CM74" s="171">
        <v>0</v>
      </c>
      <c r="CN74" s="171">
        <v>0</v>
      </c>
      <c r="CO74" s="171">
        <v>0</v>
      </c>
      <c r="CP74" s="171">
        <v>0</v>
      </c>
      <c r="CQ74" s="171">
        <v>0</v>
      </c>
      <c r="CR74" s="171">
        <v>0</v>
      </c>
      <c r="CS74" s="171">
        <f t="shared" si="8"/>
        <v>0</v>
      </c>
      <c r="CT74" s="171">
        <f t="shared" si="9"/>
        <v>0</v>
      </c>
      <c r="CU74" s="171">
        <f t="shared" si="10"/>
        <v>0</v>
      </c>
      <c r="CV74" s="150"/>
      <c r="CW74" s="150"/>
      <c r="CX74" s="130"/>
      <c r="CY74" s="130"/>
      <c r="CZ74" s="130"/>
      <c r="DA74" s="130"/>
      <c r="DB74" s="130"/>
      <c r="DC74" s="130"/>
      <c r="DD74" s="130"/>
      <c r="DE74" s="131"/>
      <c r="DF74" s="131"/>
      <c r="DG74" s="132"/>
      <c r="DH74" s="131"/>
      <c r="DI74" s="131"/>
      <c r="DJ74" s="131"/>
      <c r="DK74" s="131"/>
      <c r="DL74" s="131"/>
      <c r="DM74" s="131"/>
      <c r="DN74" s="131"/>
      <c r="DO74" s="131"/>
      <c r="DP74" s="131"/>
      <c r="DQ74" s="131"/>
      <c r="DR74" s="132"/>
      <c r="DS74" s="131"/>
      <c r="DT74" s="131"/>
      <c r="DU74" s="131"/>
      <c r="DV74" s="131"/>
      <c r="DW74" s="131"/>
      <c r="DX74" s="131"/>
      <c r="DY74" s="131"/>
      <c r="DZ74" s="132"/>
      <c r="EA74" s="132"/>
      <c r="EB74" s="132"/>
      <c r="EC74" s="132"/>
      <c r="ED74" s="131"/>
      <c r="EE74" s="131"/>
      <c r="EF74" s="131"/>
      <c r="EG74" s="131"/>
      <c r="EH74" s="131"/>
      <c r="EI74" s="131"/>
      <c r="EJ74" s="131"/>
      <c r="EK74" s="131"/>
      <c r="EL74" s="132"/>
      <c r="EM74" s="133"/>
      <c r="EN74" s="133"/>
      <c r="EO74" s="133"/>
      <c r="EP74" s="133"/>
      <c r="EQ74" s="133"/>
      <c r="ER74" s="133"/>
      <c r="ES74" s="133"/>
      <c r="ET74" s="133"/>
      <c r="EU74" s="133"/>
      <c r="EV74" s="134"/>
      <c r="EW74" s="133"/>
      <c r="EX74" s="133"/>
      <c r="EY74" s="135"/>
      <c r="EZ74" s="132"/>
      <c r="FA74" s="130"/>
      <c r="FB74" s="201"/>
      <c r="FC74" s="201"/>
      <c r="FD74" s="201"/>
      <c r="FE74" s="201"/>
      <c r="FF74" s="201"/>
      <c r="FG74" s="201"/>
      <c r="FH74" s="201"/>
      <c r="FI74" s="201"/>
      <c r="FJ74" s="201"/>
      <c r="FK74" s="201"/>
      <c r="FL74" s="201"/>
      <c r="FM74" s="201"/>
      <c r="FN74" s="201"/>
      <c r="FO74" s="201"/>
      <c r="FP74" s="201"/>
      <c r="FQ74" s="201"/>
      <c r="FR74" s="201"/>
      <c r="FS74" s="201"/>
      <c r="FT74" s="201"/>
      <c r="FU74" s="201"/>
      <c r="FV74" s="201"/>
      <c r="FW74" s="201"/>
      <c r="FX74" s="201"/>
      <c r="FY74" s="201"/>
      <c r="FZ74" s="201"/>
      <c r="GA74" s="201"/>
      <c r="GB74" s="201"/>
      <c r="GC74" s="201"/>
      <c r="GD74" s="201"/>
      <c r="GE74" s="201"/>
      <c r="GF74" s="201"/>
      <c r="GG74" s="201"/>
      <c r="GH74" s="201"/>
      <c r="GI74" s="201"/>
      <c r="GJ74" s="201"/>
      <c r="GK74" s="201"/>
      <c r="GL74" s="201"/>
      <c r="GM74" s="201"/>
      <c r="GN74" s="201"/>
      <c r="GO74" s="201"/>
      <c r="GP74" s="201"/>
      <c r="GQ74" s="201"/>
    </row>
    <row r="75" spans="1:204" s="68" customFormat="1" ht="14.45" customHeight="1" x14ac:dyDescent="0.25">
      <c r="A75" s="68" t="s">
        <v>692</v>
      </c>
      <c r="B75" s="82" t="s">
        <v>154</v>
      </c>
      <c r="C75" s="82" t="s">
        <v>172</v>
      </c>
      <c r="D75" s="82" t="s">
        <v>196</v>
      </c>
      <c r="E75" s="82" t="s">
        <v>309</v>
      </c>
      <c r="F75" s="82" t="s">
        <v>549</v>
      </c>
      <c r="G75" s="82" t="s">
        <v>137</v>
      </c>
      <c r="H75" s="82" t="s">
        <v>137</v>
      </c>
      <c r="I75" s="82" t="s">
        <v>66</v>
      </c>
      <c r="J75" s="82" t="s">
        <v>29</v>
      </c>
      <c r="K75" s="92" t="s">
        <v>137</v>
      </c>
      <c r="L75" s="92" t="s">
        <v>137</v>
      </c>
      <c r="M75" s="92" t="s">
        <v>137</v>
      </c>
      <c r="N75" s="92" t="s">
        <v>137</v>
      </c>
      <c r="O75" s="92" t="s">
        <v>137</v>
      </c>
      <c r="P75" s="92" t="s">
        <v>137</v>
      </c>
      <c r="Q75" s="82" t="s">
        <v>87</v>
      </c>
      <c r="R75" s="82" t="s">
        <v>714</v>
      </c>
      <c r="S75" s="82" t="s">
        <v>40</v>
      </c>
      <c r="T75" s="82" t="s">
        <v>2</v>
      </c>
      <c r="U75" s="83"/>
      <c r="V75" s="83">
        <v>0.05</v>
      </c>
      <c r="W75" s="83">
        <v>0.08</v>
      </c>
      <c r="X75" s="83">
        <v>0.15</v>
      </c>
      <c r="Y75" s="83">
        <v>0.2</v>
      </c>
      <c r="Z75" s="83">
        <v>0.25</v>
      </c>
      <c r="AA75" s="83">
        <v>0.37</v>
      </c>
      <c r="AB75" s="83">
        <v>0.42</v>
      </c>
      <c r="AC75" s="83">
        <v>0.57999999999999996</v>
      </c>
      <c r="AD75" s="83">
        <v>0.67</v>
      </c>
      <c r="AE75" s="83">
        <v>0.83</v>
      </c>
      <c r="AF75" s="83">
        <v>1</v>
      </c>
      <c r="AG75" s="82" t="s">
        <v>532</v>
      </c>
      <c r="AH75" s="82" t="s">
        <v>529</v>
      </c>
      <c r="AI75" s="88" t="s">
        <v>538</v>
      </c>
      <c r="AJ75" s="89" t="s">
        <v>538</v>
      </c>
      <c r="AK75" s="90">
        <v>46023</v>
      </c>
      <c r="AL75" s="90">
        <v>46387</v>
      </c>
      <c r="AM75" s="89"/>
      <c r="AN75" s="89"/>
      <c r="AO75" s="89"/>
      <c r="AP75" s="91" t="s">
        <v>539</v>
      </c>
      <c r="AQ75" s="90" cm="1">
        <f t="array" ref="AQ75">IFERROR(DATE(2026, _xlfn.AGGREGATE(15, 6, (COLUMN(BY75:CJ75)-COLUMN(BY75)+1)/(BY75:CJ75&lt;&gt;0), 1), 1),"N/A")</f>
        <v>46174</v>
      </c>
      <c r="AR75" s="90" cm="1">
        <f t="array" ref="AR75">IFERROR(EOMONTH(DATE(2026, _xlfn.AGGREGATE(14, 6, (COLUMN(BY75:CJ75)-COLUMN(BY75)+1)/(BY75:CJ75&lt;&gt;0), 1), 1), 0),"N/A")</f>
        <v>46203</v>
      </c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2" t="s">
        <v>582</v>
      </c>
      <c r="BF75" s="82" t="s">
        <v>944</v>
      </c>
      <c r="BG75" s="82" t="str">
        <f t="shared" si="6"/>
        <v>000</v>
      </c>
      <c r="BH75" s="88">
        <v>530404</v>
      </c>
      <c r="BI75" s="92" t="s">
        <v>74</v>
      </c>
      <c r="BJ75" s="93">
        <v>1000</v>
      </c>
      <c r="BK75" s="74">
        <v>0</v>
      </c>
      <c r="BL75" s="74">
        <v>0</v>
      </c>
      <c r="BM75" s="74">
        <v>0</v>
      </c>
      <c r="BN75" s="74">
        <v>0</v>
      </c>
      <c r="BO75" s="74">
        <v>0</v>
      </c>
      <c r="BP75" s="94">
        <v>1000</v>
      </c>
      <c r="BQ75" s="74">
        <v>0</v>
      </c>
      <c r="BR75" s="74">
        <v>0</v>
      </c>
      <c r="BS75" s="74">
        <v>0</v>
      </c>
      <c r="BT75" s="74">
        <v>0</v>
      </c>
      <c r="BU75" s="74">
        <v>0</v>
      </c>
      <c r="BV75" s="143">
        <v>0</v>
      </c>
      <c r="BW75" s="143"/>
      <c r="BX75" s="143">
        <f t="shared" si="11"/>
        <v>1000</v>
      </c>
      <c r="BY75" s="74">
        <v>0</v>
      </c>
      <c r="BZ75" s="74">
        <v>0</v>
      </c>
      <c r="CA75" s="74">
        <v>0</v>
      </c>
      <c r="CB75" s="74">
        <v>0</v>
      </c>
      <c r="CC75" s="74">
        <v>0</v>
      </c>
      <c r="CD75" s="94">
        <v>1000</v>
      </c>
      <c r="CE75" s="74">
        <v>0</v>
      </c>
      <c r="CF75" s="74">
        <v>0</v>
      </c>
      <c r="CG75" s="74">
        <v>0</v>
      </c>
      <c r="CH75" s="74">
        <v>0</v>
      </c>
      <c r="CI75" s="74">
        <v>0</v>
      </c>
      <c r="CJ75" s="143">
        <v>0</v>
      </c>
      <c r="CK75" s="143"/>
      <c r="CL75" s="142">
        <f t="shared" si="7"/>
        <v>0</v>
      </c>
      <c r="CM75" s="171">
        <v>0</v>
      </c>
      <c r="CN75" s="171">
        <v>0</v>
      </c>
      <c r="CO75" s="171">
        <v>0</v>
      </c>
      <c r="CP75" s="171">
        <v>0</v>
      </c>
      <c r="CQ75" s="171">
        <v>0</v>
      </c>
      <c r="CR75" s="171">
        <v>0</v>
      </c>
      <c r="CS75" s="171">
        <f t="shared" si="8"/>
        <v>0</v>
      </c>
      <c r="CT75" s="171">
        <f t="shared" si="9"/>
        <v>0</v>
      </c>
      <c r="CU75" s="171">
        <f t="shared" si="10"/>
        <v>0</v>
      </c>
      <c r="CV75" s="150">
        <v>1000</v>
      </c>
      <c r="CW75" s="150">
        <v>1000</v>
      </c>
      <c r="CX75" s="130">
        <v>1</v>
      </c>
      <c r="CY75" s="130">
        <v>1</v>
      </c>
      <c r="CZ75" s="130"/>
      <c r="DA75" s="130"/>
      <c r="DB75" s="130"/>
      <c r="DC75" s="130"/>
      <c r="DD75" s="130"/>
      <c r="DE75" s="131">
        <v>46275</v>
      </c>
      <c r="DF75" s="131">
        <v>46275</v>
      </c>
      <c r="DG75" s="132">
        <v>3</v>
      </c>
      <c r="DH75" s="131">
        <v>46276</v>
      </c>
      <c r="DI75" s="131">
        <v>46276</v>
      </c>
      <c r="DJ75" s="131">
        <v>46276</v>
      </c>
      <c r="DK75" s="131">
        <v>46279</v>
      </c>
      <c r="DL75" s="131">
        <v>46280</v>
      </c>
      <c r="DM75" s="131">
        <v>46281</v>
      </c>
      <c r="DN75" s="131">
        <v>46282</v>
      </c>
      <c r="DO75" s="131">
        <v>46283</v>
      </c>
      <c r="DP75" s="131">
        <v>46286</v>
      </c>
      <c r="DQ75" s="131">
        <v>46286</v>
      </c>
      <c r="DR75" s="132">
        <v>3</v>
      </c>
      <c r="DS75" s="131">
        <v>46287</v>
      </c>
      <c r="DT75" s="131">
        <v>46288</v>
      </c>
      <c r="DU75" s="131">
        <v>46289</v>
      </c>
      <c r="DV75" s="131">
        <v>46290</v>
      </c>
      <c r="DW75" s="131">
        <v>46290</v>
      </c>
      <c r="DX75" s="131">
        <v>46293</v>
      </c>
      <c r="DY75" s="131">
        <v>46293</v>
      </c>
      <c r="DZ75" s="132"/>
      <c r="EA75" s="132"/>
      <c r="EB75" s="132"/>
      <c r="EC75" s="132"/>
      <c r="ED75" s="131">
        <v>46294</v>
      </c>
      <c r="EE75" s="131">
        <v>46295</v>
      </c>
      <c r="EF75" s="131">
        <v>46295</v>
      </c>
      <c r="EG75" s="131"/>
      <c r="EH75" s="131"/>
      <c r="EI75" s="131"/>
      <c r="EJ75" s="131">
        <v>46295</v>
      </c>
      <c r="EK75" s="131">
        <v>46301</v>
      </c>
      <c r="EL75" s="132">
        <v>18</v>
      </c>
      <c r="EM75" s="133"/>
      <c r="EN75" s="133"/>
      <c r="EO75" s="133"/>
      <c r="EP75" s="133"/>
      <c r="EQ75" s="133"/>
      <c r="ER75" s="133"/>
      <c r="ES75" s="133"/>
      <c r="ET75" s="133"/>
      <c r="EU75" s="133"/>
      <c r="EV75" s="134"/>
      <c r="EW75" s="133">
        <v>46301</v>
      </c>
      <c r="EX75" s="133"/>
      <c r="EY75" s="135" t="s">
        <v>854</v>
      </c>
      <c r="EZ75" s="132" t="s">
        <v>857</v>
      </c>
      <c r="FA75" s="130"/>
      <c r="FB75" s="203">
        <v>46098</v>
      </c>
      <c r="FC75" s="203">
        <v>46098</v>
      </c>
      <c r="FD75" s="203">
        <v>46099</v>
      </c>
      <c r="FE75" s="203">
        <v>46099</v>
      </c>
      <c r="FF75" s="203">
        <v>46099</v>
      </c>
      <c r="FG75" s="203">
        <v>46100</v>
      </c>
      <c r="FH75" s="203">
        <v>46101</v>
      </c>
      <c r="FI75" s="203">
        <v>46104</v>
      </c>
      <c r="FJ75" s="203">
        <v>46105</v>
      </c>
      <c r="FK75" s="203">
        <v>46106</v>
      </c>
      <c r="FL75" s="203">
        <v>46107</v>
      </c>
      <c r="FM75" s="203">
        <v>46107</v>
      </c>
      <c r="FN75" s="203">
        <v>46108</v>
      </c>
      <c r="FO75" s="203">
        <v>46111</v>
      </c>
      <c r="FP75" s="203">
        <v>46112</v>
      </c>
      <c r="FQ75" s="203">
        <v>46113</v>
      </c>
      <c r="FR75" s="203">
        <v>46113</v>
      </c>
      <c r="FS75" s="203">
        <v>46114</v>
      </c>
      <c r="FT75" s="203">
        <v>46114</v>
      </c>
      <c r="FU75" s="203"/>
      <c r="FV75" s="203"/>
      <c r="FW75" s="203"/>
      <c r="FX75" s="203"/>
      <c r="FY75" s="203">
        <v>46115</v>
      </c>
      <c r="FZ75" s="203">
        <v>46118</v>
      </c>
      <c r="GA75" s="203">
        <v>46118</v>
      </c>
      <c r="GB75" s="203"/>
      <c r="GC75" s="203"/>
      <c r="GD75" s="203"/>
      <c r="GE75" s="203">
        <v>46118</v>
      </c>
      <c r="GF75" s="203">
        <v>46122</v>
      </c>
      <c r="GG75" s="203">
        <v>18</v>
      </c>
      <c r="GH75" s="203"/>
      <c r="GI75" s="203"/>
      <c r="GJ75" s="203"/>
      <c r="GK75" s="203"/>
      <c r="GL75" s="203"/>
      <c r="GM75" s="203"/>
      <c r="GN75" s="203"/>
      <c r="GO75" s="203"/>
      <c r="GP75" s="203"/>
      <c r="GQ75" s="203">
        <v>46122</v>
      </c>
      <c r="GR75" s="187"/>
      <c r="GS75" s="187" t="s">
        <v>1181</v>
      </c>
      <c r="GT75" s="187" t="s">
        <v>854</v>
      </c>
      <c r="GU75" s="187" t="s">
        <v>857</v>
      </c>
      <c r="GV75" s="187"/>
    </row>
    <row r="76" spans="1:204" s="68" customFormat="1" ht="14.45" customHeight="1" x14ac:dyDescent="0.25">
      <c r="A76" s="68" t="s">
        <v>692</v>
      </c>
      <c r="B76" s="82" t="s">
        <v>154</v>
      </c>
      <c r="C76" s="82" t="s">
        <v>172</v>
      </c>
      <c r="D76" s="82" t="s">
        <v>196</v>
      </c>
      <c r="E76" s="82" t="s">
        <v>309</v>
      </c>
      <c r="F76" s="82" t="s">
        <v>549</v>
      </c>
      <c r="G76" s="82" t="s">
        <v>137</v>
      </c>
      <c r="H76" s="82" t="s">
        <v>137</v>
      </c>
      <c r="I76" s="82" t="s">
        <v>66</v>
      </c>
      <c r="J76" s="82" t="s">
        <v>29</v>
      </c>
      <c r="K76" s="92" t="s">
        <v>137</v>
      </c>
      <c r="L76" s="92" t="s">
        <v>137</v>
      </c>
      <c r="M76" s="92" t="s">
        <v>137</v>
      </c>
      <c r="N76" s="92" t="s">
        <v>137</v>
      </c>
      <c r="O76" s="92" t="s">
        <v>137</v>
      </c>
      <c r="P76" s="92" t="s">
        <v>137</v>
      </c>
      <c r="Q76" s="82" t="s">
        <v>87</v>
      </c>
      <c r="R76" s="82" t="s">
        <v>714</v>
      </c>
      <c r="S76" s="82" t="s">
        <v>40</v>
      </c>
      <c r="T76" s="82" t="s">
        <v>2</v>
      </c>
      <c r="U76" s="83"/>
      <c r="V76" s="83">
        <v>0.05</v>
      </c>
      <c r="W76" s="83">
        <v>0.08</v>
      </c>
      <c r="X76" s="83">
        <v>0.15</v>
      </c>
      <c r="Y76" s="83">
        <v>0.2</v>
      </c>
      <c r="Z76" s="83">
        <v>0.25</v>
      </c>
      <c r="AA76" s="83">
        <v>0.37</v>
      </c>
      <c r="AB76" s="83">
        <v>0.42</v>
      </c>
      <c r="AC76" s="83">
        <v>0.57999999999999996</v>
      </c>
      <c r="AD76" s="83">
        <v>0.67</v>
      </c>
      <c r="AE76" s="83">
        <v>0.83</v>
      </c>
      <c r="AF76" s="83">
        <v>1</v>
      </c>
      <c r="AG76" s="82" t="s">
        <v>532</v>
      </c>
      <c r="AH76" s="82" t="s">
        <v>529</v>
      </c>
      <c r="AI76" s="88" t="s">
        <v>538</v>
      </c>
      <c r="AJ76" s="89" t="s">
        <v>538</v>
      </c>
      <c r="AK76" s="90">
        <v>46023</v>
      </c>
      <c r="AL76" s="90">
        <v>46387</v>
      </c>
      <c r="AM76" s="89"/>
      <c r="AN76" s="89"/>
      <c r="AO76" s="89"/>
      <c r="AP76" s="91" t="s">
        <v>539</v>
      </c>
      <c r="AQ76" s="90" cm="1">
        <f t="array" ref="AQ76">IFERROR(DATE(2026, _xlfn.AGGREGATE(15, 6, (COLUMN(BY76:CJ76)-COLUMN(BY76)+1)/(BY76:CJ76&lt;&gt;0), 1), 1),"N/A")</f>
        <v>46266</v>
      </c>
      <c r="AR76" s="90" cm="1">
        <f t="array" ref="AR76">IFERROR(EOMONTH(DATE(2026, _xlfn.AGGREGATE(14, 6, (COLUMN(BY76:CJ76)-COLUMN(BY76)+1)/(BY76:CJ76&lt;&gt;0), 1), 1), 0),"N/A")</f>
        <v>46295</v>
      </c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2" t="s">
        <v>578</v>
      </c>
      <c r="BF76" s="82" t="s">
        <v>945</v>
      </c>
      <c r="BG76" s="82" t="str">
        <f t="shared" si="6"/>
        <v>000</v>
      </c>
      <c r="BH76" s="88">
        <v>530203</v>
      </c>
      <c r="BI76" s="92" t="s">
        <v>74</v>
      </c>
      <c r="BJ76" s="93">
        <v>500</v>
      </c>
      <c r="BK76" s="74">
        <v>0</v>
      </c>
      <c r="BL76" s="74">
        <v>0</v>
      </c>
      <c r="BM76" s="74">
        <v>0</v>
      </c>
      <c r="BN76" s="74">
        <v>0</v>
      </c>
      <c r="BO76" s="74">
        <v>0</v>
      </c>
      <c r="BP76" s="74">
        <v>0</v>
      </c>
      <c r="BQ76" s="74">
        <v>0</v>
      </c>
      <c r="BR76" s="74">
        <v>0</v>
      </c>
      <c r="BS76" s="94">
        <v>500</v>
      </c>
      <c r="BT76" s="74">
        <v>0</v>
      </c>
      <c r="BU76" s="74">
        <v>0</v>
      </c>
      <c r="BV76" s="143">
        <v>0</v>
      </c>
      <c r="BW76" s="143"/>
      <c r="BX76" s="143">
        <f t="shared" si="11"/>
        <v>500</v>
      </c>
      <c r="BY76" s="74">
        <v>0</v>
      </c>
      <c r="BZ76" s="74">
        <v>0</v>
      </c>
      <c r="CA76" s="74">
        <v>0</v>
      </c>
      <c r="CB76" s="74">
        <v>0</v>
      </c>
      <c r="CC76" s="74">
        <v>0</v>
      </c>
      <c r="CD76" s="74">
        <v>0</v>
      </c>
      <c r="CE76" s="74">
        <v>0</v>
      </c>
      <c r="CF76" s="74">
        <v>0</v>
      </c>
      <c r="CG76" s="94">
        <v>500</v>
      </c>
      <c r="CH76" s="74">
        <v>0</v>
      </c>
      <c r="CI76" s="74">
        <v>0</v>
      </c>
      <c r="CJ76" s="143">
        <v>0</v>
      </c>
      <c r="CK76" s="143"/>
      <c r="CL76" s="142">
        <f t="shared" si="7"/>
        <v>0</v>
      </c>
      <c r="CM76" s="171">
        <v>0</v>
      </c>
      <c r="CN76" s="171">
        <v>0</v>
      </c>
      <c r="CO76" s="171">
        <v>0</v>
      </c>
      <c r="CP76" s="171">
        <v>0</v>
      </c>
      <c r="CQ76" s="171">
        <v>0</v>
      </c>
      <c r="CR76" s="171">
        <v>0</v>
      </c>
      <c r="CS76" s="171">
        <f t="shared" si="8"/>
        <v>0</v>
      </c>
      <c r="CT76" s="171">
        <f t="shared" si="9"/>
        <v>0</v>
      </c>
      <c r="CU76" s="171">
        <f t="shared" si="10"/>
        <v>0</v>
      </c>
      <c r="CV76" s="149"/>
      <c r="CW76" s="149"/>
      <c r="CX76" s="130"/>
      <c r="CY76" s="130"/>
      <c r="CZ76" s="130"/>
      <c r="DA76" s="130"/>
      <c r="DB76" s="130"/>
      <c r="DC76" s="130"/>
      <c r="DD76" s="130"/>
      <c r="DE76" s="130"/>
      <c r="DF76" s="130"/>
      <c r="DG76" s="130"/>
      <c r="DH76" s="130"/>
      <c r="DI76" s="130"/>
      <c r="DJ76" s="130"/>
      <c r="DK76" s="130"/>
      <c r="DL76" s="130"/>
      <c r="DM76" s="130"/>
      <c r="DN76" s="130"/>
      <c r="DO76" s="130"/>
      <c r="DP76" s="130"/>
      <c r="DQ76" s="130"/>
      <c r="DR76" s="130"/>
      <c r="DS76" s="130"/>
      <c r="DT76" s="130"/>
      <c r="DU76" s="130"/>
      <c r="DV76" s="130"/>
      <c r="DW76" s="130"/>
      <c r="DX76" s="130"/>
      <c r="DY76" s="130"/>
      <c r="DZ76" s="130"/>
      <c r="EA76" s="130"/>
      <c r="EB76" s="130"/>
      <c r="EC76" s="130"/>
      <c r="ED76" s="130"/>
      <c r="EE76" s="130"/>
      <c r="EF76" s="130"/>
      <c r="EG76" s="130"/>
      <c r="EH76" s="130"/>
      <c r="EI76" s="130"/>
      <c r="EJ76" s="130"/>
      <c r="EK76" s="130"/>
      <c r="EL76" s="130"/>
      <c r="EM76" s="130"/>
      <c r="EN76" s="130"/>
      <c r="EO76" s="130"/>
      <c r="EP76" s="130"/>
      <c r="EQ76" s="130"/>
      <c r="ER76" s="130"/>
      <c r="ES76" s="130"/>
      <c r="ET76" s="130"/>
      <c r="EU76" s="130"/>
      <c r="EV76" s="130"/>
      <c r="EW76" s="130"/>
      <c r="EX76" s="130"/>
      <c r="EY76" s="130"/>
      <c r="EZ76" s="130"/>
      <c r="FA76" s="130"/>
      <c r="FB76" s="201"/>
      <c r="FC76" s="201"/>
      <c r="FD76" s="201"/>
      <c r="FE76" s="201"/>
      <c r="FF76" s="201"/>
      <c r="FG76" s="201"/>
      <c r="FH76" s="201"/>
      <c r="FI76" s="201"/>
      <c r="FJ76" s="201"/>
      <c r="FK76" s="201"/>
      <c r="FL76" s="201"/>
      <c r="FM76" s="201"/>
      <c r="FN76" s="201"/>
      <c r="FO76" s="201"/>
      <c r="FP76" s="201"/>
      <c r="FQ76" s="201"/>
      <c r="FR76" s="201"/>
      <c r="FS76" s="201"/>
      <c r="FT76" s="201"/>
      <c r="FU76" s="201"/>
      <c r="FV76" s="201"/>
      <c r="FW76" s="201"/>
      <c r="FX76" s="201"/>
      <c r="FY76" s="201"/>
      <c r="FZ76" s="201"/>
      <c r="GA76" s="201"/>
      <c r="GB76" s="201"/>
      <c r="GC76" s="201"/>
      <c r="GD76" s="201"/>
      <c r="GE76" s="201"/>
      <c r="GF76" s="201"/>
      <c r="GG76" s="201"/>
      <c r="GH76" s="201"/>
      <c r="GI76" s="201"/>
      <c r="GJ76" s="201"/>
      <c r="GK76" s="201"/>
      <c r="GL76" s="201"/>
      <c r="GM76" s="201"/>
      <c r="GN76" s="201"/>
      <c r="GO76" s="201"/>
      <c r="GP76" s="201"/>
      <c r="GQ76" s="201"/>
    </row>
    <row r="77" spans="1:204" s="68" customFormat="1" ht="14.45" customHeight="1" x14ac:dyDescent="0.25">
      <c r="A77" s="68" t="s">
        <v>692</v>
      </c>
      <c r="B77" s="82" t="s">
        <v>154</v>
      </c>
      <c r="C77" s="82" t="s">
        <v>172</v>
      </c>
      <c r="D77" s="82" t="s">
        <v>196</v>
      </c>
      <c r="E77" s="82" t="s">
        <v>309</v>
      </c>
      <c r="F77" s="82" t="s">
        <v>549</v>
      </c>
      <c r="G77" s="82" t="s">
        <v>137</v>
      </c>
      <c r="H77" s="82" t="s">
        <v>137</v>
      </c>
      <c r="I77" s="82" t="s">
        <v>66</v>
      </c>
      <c r="J77" s="82" t="s">
        <v>29</v>
      </c>
      <c r="K77" s="92" t="s">
        <v>137</v>
      </c>
      <c r="L77" s="92" t="s">
        <v>137</v>
      </c>
      <c r="M77" s="92" t="s">
        <v>137</v>
      </c>
      <c r="N77" s="92" t="s">
        <v>137</v>
      </c>
      <c r="O77" s="92" t="s">
        <v>137</v>
      </c>
      <c r="P77" s="92" t="s">
        <v>137</v>
      </c>
      <c r="Q77" s="82" t="s">
        <v>87</v>
      </c>
      <c r="R77" s="82" t="s">
        <v>714</v>
      </c>
      <c r="S77" s="82" t="s">
        <v>40</v>
      </c>
      <c r="T77" s="82" t="s">
        <v>2</v>
      </c>
      <c r="U77" s="83"/>
      <c r="V77" s="83">
        <v>0.05</v>
      </c>
      <c r="W77" s="83">
        <v>0.08</v>
      </c>
      <c r="X77" s="83">
        <v>0.15</v>
      </c>
      <c r="Y77" s="83">
        <v>0.2</v>
      </c>
      <c r="Z77" s="83">
        <v>0.25</v>
      </c>
      <c r="AA77" s="83">
        <v>0.37</v>
      </c>
      <c r="AB77" s="83">
        <v>0.42</v>
      </c>
      <c r="AC77" s="83">
        <v>0.57999999999999996</v>
      </c>
      <c r="AD77" s="83">
        <v>0.67</v>
      </c>
      <c r="AE77" s="83">
        <v>0.83</v>
      </c>
      <c r="AF77" s="83">
        <v>1</v>
      </c>
      <c r="AG77" s="82" t="s">
        <v>532</v>
      </c>
      <c r="AH77" s="82" t="s">
        <v>529</v>
      </c>
      <c r="AI77" s="88" t="s">
        <v>538</v>
      </c>
      <c r="AJ77" s="89" t="s">
        <v>538</v>
      </c>
      <c r="AK77" s="90">
        <v>46023</v>
      </c>
      <c r="AL77" s="90">
        <v>46387</v>
      </c>
      <c r="AM77" s="89"/>
      <c r="AN77" s="89"/>
      <c r="AO77" s="89"/>
      <c r="AP77" s="91" t="s">
        <v>539</v>
      </c>
      <c r="AQ77" s="90" cm="1">
        <f t="array" ref="AQ77">IFERROR(DATE(2026, _xlfn.AGGREGATE(15, 6, (COLUMN(BY77:CJ77)-COLUMN(BY77)+1)/(BY77:CJ77&lt;&gt;0), 1), 1),"N/A")</f>
        <v>46296</v>
      </c>
      <c r="AR77" s="90" cm="1">
        <f t="array" ref="AR77">IFERROR(EOMONTH(DATE(2026, _xlfn.AGGREGATE(14, 6, (COLUMN(BY77:CJ77)-COLUMN(BY77)+1)/(BY77:CJ77&lt;&gt;0), 1), 1), 0),"N/A")</f>
        <v>46326</v>
      </c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2" t="s">
        <v>620</v>
      </c>
      <c r="BF77" s="82" t="s">
        <v>946</v>
      </c>
      <c r="BG77" s="82" t="str">
        <f t="shared" si="6"/>
        <v>000</v>
      </c>
      <c r="BH77" s="88">
        <v>530404</v>
      </c>
      <c r="BI77" s="92" t="s">
        <v>74</v>
      </c>
      <c r="BJ77" s="93">
        <v>6000</v>
      </c>
      <c r="BK77" s="74">
        <v>0</v>
      </c>
      <c r="BL77" s="74">
        <v>0</v>
      </c>
      <c r="BM77" s="74">
        <v>0</v>
      </c>
      <c r="BN77" s="74">
        <v>0</v>
      </c>
      <c r="BO77" s="74">
        <v>0</v>
      </c>
      <c r="BP77" s="74">
        <v>0</v>
      </c>
      <c r="BQ77" s="74">
        <v>0</v>
      </c>
      <c r="BR77" s="74">
        <v>0</v>
      </c>
      <c r="BS77" s="74">
        <v>0</v>
      </c>
      <c r="BT77" s="94">
        <v>6000</v>
      </c>
      <c r="BU77" s="74">
        <v>0</v>
      </c>
      <c r="BV77" s="143">
        <v>0</v>
      </c>
      <c r="BW77" s="143"/>
      <c r="BX77" s="143">
        <f t="shared" si="11"/>
        <v>6000</v>
      </c>
      <c r="BY77" s="74">
        <v>0</v>
      </c>
      <c r="BZ77" s="74">
        <v>0</v>
      </c>
      <c r="CA77" s="74">
        <v>0</v>
      </c>
      <c r="CB77" s="74">
        <v>0</v>
      </c>
      <c r="CC77" s="74">
        <v>0</v>
      </c>
      <c r="CD77" s="74">
        <v>0</v>
      </c>
      <c r="CE77" s="74">
        <v>0</v>
      </c>
      <c r="CF77" s="74">
        <v>0</v>
      </c>
      <c r="CG77" s="74">
        <v>0</v>
      </c>
      <c r="CH77" s="94">
        <v>6000</v>
      </c>
      <c r="CI77" s="74">
        <v>0</v>
      </c>
      <c r="CJ77" s="143">
        <v>0</v>
      </c>
      <c r="CK77" s="143"/>
      <c r="CL77" s="142">
        <f t="shared" si="7"/>
        <v>0</v>
      </c>
      <c r="CM77" s="171">
        <v>0</v>
      </c>
      <c r="CN77" s="171">
        <v>0</v>
      </c>
      <c r="CO77" s="171">
        <v>0</v>
      </c>
      <c r="CP77" s="171">
        <v>0</v>
      </c>
      <c r="CQ77" s="171">
        <v>0</v>
      </c>
      <c r="CR77" s="171">
        <v>0</v>
      </c>
      <c r="CS77" s="171">
        <f t="shared" si="8"/>
        <v>0</v>
      </c>
      <c r="CT77" s="171">
        <f t="shared" si="9"/>
        <v>0</v>
      </c>
      <c r="CU77" s="171">
        <f t="shared" si="10"/>
        <v>0</v>
      </c>
      <c r="CV77" s="150">
        <v>6000</v>
      </c>
      <c r="CW77" s="150">
        <v>6000</v>
      </c>
      <c r="CX77" s="130">
        <v>1</v>
      </c>
      <c r="CY77" s="130">
        <v>1</v>
      </c>
      <c r="CZ77" s="130"/>
      <c r="DA77" s="130"/>
      <c r="DB77" s="130"/>
      <c r="DC77" s="130"/>
      <c r="DD77" s="130"/>
      <c r="DE77" s="131">
        <v>46276</v>
      </c>
      <c r="DF77" s="131">
        <v>46276</v>
      </c>
      <c r="DG77" s="132">
        <v>3</v>
      </c>
      <c r="DH77" s="131">
        <v>46279</v>
      </c>
      <c r="DI77" s="131">
        <v>46279</v>
      </c>
      <c r="DJ77" s="131">
        <v>46279</v>
      </c>
      <c r="DK77" s="131">
        <v>46280</v>
      </c>
      <c r="DL77" s="131">
        <v>46281</v>
      </c>
      <c r="DM77" s="131">
        <v>46282</v>
      </c>
      <c r="DN77" s="131">
        <v>46283</v>
      </c>
      <c r="DO77" s="131">
        <v>46286</v>
      </c>
      <c r="DP77" s="131">
        <v>46287</v>
      </c>
      <c r="DQ77" s="131">
        <v>46287</v>
      </c>
      <c r="DR77" s="132">
        <v>3</v>
      </c>
      <c r="DS77" s="131">
        <v>46288</v>
      </c>
      <c r="DT77" s="131">
        <v>46289</v>
      </c>
      <c r="DU77" s="131">
        <v>46290</v>
      </c>
      <c r="DV77" s="131">
        <v>46293</v>
      </c>
      <c r="DW77" s="131">
        <v>46293</v>
      </c>
      <c r="DX77" s="131">
        <v>46294</v>
      </c>
      <c r="DY77" s="131">
        <v>46294</v>
      </c>
      <c r="DZ77" s="132"/>
      <c r="EA77" s="132"/>
      <c r="EB77" s="132"/>
      <c r="EC77" s="132"/>
      <c r="ED77" s="131">
        <v>46295</v>
      </c>
      <c r="EE77" s="131">
        <v>46296</v>
      </c>
      <c r="EF77" s="131">
        <v>46296</v>
      </c>
      <c r="EG77" s="131"/>
      <c r="EH77" s="131"/>
      <c r="EI77" s="131"/>
      <c r="EJ77" s="131">
        <v>46296</v>
      </c>
      <c r="EK77" s="131">
        <v>46302</v>
      </c>
      <c r="EL77" s="132">
        <v>18</v>
      </c>
      <c r="EM77" s="133"/>
      <c r="EN77" s="133"/>
      <c r="EO77" s="133"/>
      <c r="EP77" s="133"/>
      <c r="EQ77" s="133"/>
      <c r="ER77" s="133"/>
      <c r="ES77" s="133"/>
      <c r="ET77" s="133"/>
      <c r="EU77" s="133"/>
      <c r="EV77" s="134"/>
      <c r="EW77" s="133">
        <v>46302</v>
      </c>
      <c r="EX77" s="133"/>
      <c r="EY77" s="135" t="s">
        <v>854</v>
      </c>
      <c r="EZ77" s="132" t="s">
        <v>867</v>
      </c>
      <c r="FA77" s="130"/>
      <c r="FB77" s="203">
        <v>46064</v>
      </c>
      <c r="FC77" s="203">
        <v>46064</v>
      </c>
      <c r="FD77" s="203">
        <v>46065</v>
      </c>
      <c r="FE77" s="203">
        <v>46065</v>
      </c>
      <c r="FF77" s="203">
        <v>46065</v>
      </c>
      <c r="FG77" s="203">
        <v>46066</v>
      </c>
      <c r="FH77" s="203">
        <v>46069</v>
      </c>
      <c r="FI77" s="203">
        <v>46070</v>
      </c>
      <c r="FJ77" s="203">
        <v>46071</v>
      </c>
      <c r="FK77" s="203">
        <v>46072</v>
      </c>
      <c r="FL77" s="203">
        <v>46073</v>
      </c>
      <c r="FM77" s="203">
        <v>46073</v>
      </c>
      <c r="FN77" s="203">
        <v>46076</v>
      </c>
      <c r="FO77" s="203">
        <v>46077</v>
      </c>
      <c r="FP77" s="203">
        <v>46078</v>
      </c>
      <c r="FQ77" s="203">
        <v>46079</v>
      </c>
      <c r="FR77" s="203">
        <v>46079</v>
      </c>
      <c r="FS77" s="203">
        <v>46080</v>
      </c>
      <c r="FT77" s="203">
        <v>46080</v>
      </c>
      <c r="FU77" s="203"/>
      <c r="FV77" s="203"/>
      <c r="FW77" s="203"/>
      <c r="FX77" s="203"/>
      <c r="FY77" s="203">
        <v>46083</v>
      </c>
      <c r="FZ77" s="203">
        <v>46084</v>
      </c>
      <c r="GA77" s="203">
        <v>46084</v>
      </c>
      <c r="GB77" s="203"/>
      <c r="GC77" s="203"/>
      <c r="GD77" s="203"/>
      <c r="GE77" s="203">
        <v>46084</v>
      </c>
      <c r="GF77" s="203">
        <v>46090</v>
      </c>
      <c r="GG77" s="203">
        <v>18</v>
      </c>
      <c r="GH77" s="203"/>
      <c r="GI77" s="203"/>
      <c r="GJ77" s="203"/>
      <c r="GK77" s="203"/>
      <c r="GL77" s="203"/>
      <c r="GM77" s="203"/>
      <c r="GN77" s="203"/>
      <c r="GO77" s="203"/>
      <c r="GP77" s="203"/>
      <c r="GQ77" s="203">
        <v>46090</v>
      </c>
      <c r="GR77" s="187"/>
      <c r="GS77" s="187" t="s">
        <v>1181</v>
      </c>
      <c r="GT77" s="187" t="s">
        <v>854</v>
      </c>
      <c r="GU77" s="187" t="s">
        <v>867</v>
      </c>
      <c r="GV77" s="187" t="s">
        <v>1159</v>
      </c>
    </row>
    <row r="78" spans="1:204" s="68" customFormat="1" ht="14.45" customHeight="1" x14ac:dyDescent="0.25">
      <c r="A78" s="68" t="s">
        <v>692</v>
      </c>
      <c r="B78" s="82" t="s">
        <v>154</v>
      </c>
      <c r="C78" s="82" t="s">
        <v>172</v>
      </c>
      <c r="D78" s="82" t="s">
        <v>196</v>
      </c>
      <c r="E78" s="82" t="s">
        <v>309</v>
      </c>
      <c r="F78" s="82" t="s">
        <v>549</v>
      </c>
      <c r="G78" s="82" t="s">
        <v>137</v>
      </c>
      <c r="H78" s="82" t="s">
        <v>137</v>
      </c>
      <c r="I78" s="82" t="s">
        <v>66</v>
      </c>
      <c r="J78" s="82" t="s">
        <v>29</v>
      </c>
      <c r="K78" s="92" t="s">
        <v>137</v>
      </c>
      <c r="L78" s="92" t="s">
        <v>137</v>
      </c>
      <c r="M78" s="92" t="s">
        <v>137</v>
      </c>
      <c r="N78" s="92" t="s">
        <v>137</v>
      </c>
      <c r="O78" s="92" t="s">
        <v>137</v>
      </c>
      <c r="P78" s="92" t="s">
        <v>137</v>
      </c>
      <c r="Q78" s="82" t="s">
        <v>87</v>
      </c>
      <c r="R78" s="82" t="s">
        <v>714</v>
      </c>
      <c r="S78" s="82" t="s">
        <v>40</v>
      </c>
      <c r="T78" s="82" t="s">
        <v>2</v>
      </c>
      <c r="U78" s="83"/>
      <c r="V78" s="83">
        <v>0.05</v>
      </c>
      <c r="W78" s="83">
        <v>0.08</v>
      </c>
      <c r="X78" s="83">
        <v>0.15</v>
      </c>
      <c r="Y78" s="83">
        <v>0.2</v>
      </c>
      <c r="Z78" s="83">
        <v>0.25</v>
      </c>
      <c r="AA78" s="83">
        <v>0.37</v>
      </c>
      <c r="AB78" s="83">
        <v>0.42</v>
      </c>
      <c r="AC78" s="83">
        <v>0.57999999999999996</v>
      </c>
      <c r="AD78" s="83">
        <v>0.67</v>
      </c>
      <c r="AE78" s="83">
        <v>0.83</v>
      </c>
      <c r="AF78" s="83">
        <v>1</v>
      </c>
      <c r="AG78" s="82" t="s">
        <v>532</v>
      </c>
      <c r="AH78" s="82" t="s">
        <v>529</v>
      </c>
      <c r="AI78" s="88" t="s">
        <v>538</v>
      </c>
      <c r="AJ78" s="89" t="s">
        <v>538</v>
      </c>
      <c r="AK78" s="90">
        <v>46023</v>
      </c>
      <c r="AL78" s="90">
        <v>46387</v>
      </c>
      <c r="AM78" s="89"/>
      <c r="AN78" s="89"/>
      <c r="AO78" s="89"/>
      <c r="AP78" s="91" t="s">
        <v>539</v>
      </c>
      <c r="AQ78" s="90" cm="1">
        <f t="array" ref="AQ78">IFERROR(DATE(2026, _xlfn.AGGREGATE(15, 6, (COLUMN(BY78:CJ78)-COLUMN(BY78)+1)/(BY78:CJ78&lt;&gt;0), 1), 1),"N/A")</f>
        <v>46296</v>
      </c>
      <c r="AR78" s="90" cm="1">
        <f t="array" ref="AR78">IFERROR(EOMONTH(DATE(2026, _xlfn.AGGREGATE(14, 6, (COLUMN(BY78:CJ78)-COLUMN(BY78)+1)/(BY78:CJ78&lt;&gt;0), 1), 1), 0),"N/A")</f>
        <v>46326</v>
      </c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2" t="s">
        <v>627</v>
      </c>
      <c r="BF78" s="82" t="s">
        <v>948</v>
      </c>
      <c r="BG78" s="82" t="str">
        <f t="shared" si="6"/>
        <v>000</v>
      </c>
      <c r="BH78" s="88">
        <v>530404</v>
      </c>
      <c r="BI78" s="92" t="s">
        <v>74</v>
      </c>
      <c r="BJ78" s="93">
        <v>6600</v>
      </c>
      <c r="BK78" s="74">
        <v>0</v>
      </c>
      <c r="BL78" s="74">
        <v>0</v>
      </c>
      <c r="BM78" s="74">
        <v>0</v>
      </c>
      <c r="BN78" s="74">
        <v>0</v>
      </c>
      <c r="BO78" s="74">
        <v>0</v>
      </c>
      <c r="BP78" s="74">
        <v>0</v>
      </c>
      <c r="BQ78" s="74">
        <v>0</v>
      </c>
      <c r="BR78" s="74">
        <v>0</v>
      </c>
      <c r="BS78" s="74">
        <v>0</v>
      </c>
      <c r="BT78" s="94">
        <v>6600</v>
      </c>
      <c r="BU78" s="74">
        <v>0</v>
      </c>
      <c r="BV78" s="143">
        <v>0</v>
      </c>
      <c r="BW78" s="143"/>
      <c r="BX78" s="143">
        <f t="shared" si="11"/>
        <v>6600</v>
      </c>
      <c r="BY78" s="74">
        <v>0</v>
      </c>
      <c r="BZ78" s="74">
        <v>0</v>
      </c>
      <c r="CA78" s="74">
        <v>0</v>
      </c>
      <c r="CB78" s="74">
        <v>0</v>
      </c>
      <c r="CC78" s="74">
        <v>0</v>
      </c>
      <c r="CD78" s="74">
        <v>0</v>
      </c>
      <c r="CE78" s="74">
        <v>0</v>
      </c>
      <c r="CF78" s="74">
        <v>0</v>
      </c>
      <c r="CG78" s="74">
        <v>0</v>
      </c>
      <c r="CH78" s="94">
        <v>6600</v>
      </c>
      <c r="CI78" s="74">
        <v>0</v>
      </c>
      <c r="CJ78" s="143">
        <v>0</v>
      </c>
      <c r="CK78" s="143"/>
      <c r="CL78" s="142">
        <f t="shared" si="7"/>
        <v>0</v>
      </c>
      <c r="CM78" s="171">
        <v>0</v>
      </c>
      <c r="CN78" s="171">
        <v>0</v>
      </c>
      <c r="CO78" s="171">
        <v>0</v>
      </c>
      <c r="CP78" s="171">
        <v>0</v>
      </c>
      <c r="CQ78" s="171">
        <v>0</v>
      </c>
      <c r="CR78" s="171">
        <v>0</v>
      </c>
      <c r="CS78" s="171">
        <f t="shared" si="8"/>
        <v>0</v>
      </c>
      <c r="CT78" s="171">
        <f t="shared" si="9"/>
        <v>0</v>
      </c>
      <c r="CU78" s="171">
        <f t="shared" si="10"/>
        <v>0</v>
      </c>
      <c r="CV78" s="149"/>
      <c r="CW78" s="149"/>
      <c r="CX78" s="130"/>
      <c r="CY78" s="130"/>
      <c r="CZ78" s="130"/>
      <c r="DA78" s="130"/>
      <c r="DB78" s="130"/>
      <c r="DC78" s="130"/>
      <c r="DD78" s="130"/>
      <c r="DE78" s="130"/>
      <c r="DF78" s="130"/>
      <c r="DG78" s="130"/>
      <c r="DH78" s="130"/>
      <c r="DI78" s="130"/>
      <c r="DJ78" s="130"/>
      <c r="DK78" s="130"/>
      <c r="DL78" s="130"/>
      <c r="DM78" s="130"/>
      <c r="DN78" s="130"/>
      <c r="DO78" s="130"/>
      <c r="DP78" s="130"/>
      <c r="DQ78" s="130"/>
      <c r="DR78" s="130"/>
      <c r="DS78" s="130"/>
      <c r="DT78" s="130"/>
      <c r="DU78" s="130"/>
      <c r="DV78" s="130"/>
      <c r="DW78" s="130"/>
      <c r="DX78" s="130"/>
      <c r="DY78" s="130"/>
      <c r="DZ78" s="130"/>
      <c r="EA78" s="130"/>
      <c r="EB78" s="130"/>
      <c r="EC78" s="130"/>
      <c r="ED78" s="130"/>
      <c r="EE78" s="130"/>
      <c r="EF78" s="130"/>
      <c r="EG78" s="130"/>
      <c r="EH78" s="130"/>
      <c r="EI78" s="130"/>
      <c r="EJ78" s="130"/>
      <c r="EK78" s="130"/>
      <c r="EL78" s="130"/>
      <c r="EM78" s="130"/>
      <c r="EN78" s="130"/>
      <c r="EO78" s="130"/>
      <c r="EP78" s="130"/>
      <c r="EQ78" s="130"/>
      <c r="ER78" s="130"/>
      <c r="ES78" s="130"/>
      <c r="ET78" s="130"/>
      <c r="EU78" s="130"/>
      <c r="EV78" s="130"/>
      <c r="EW78" s="130"/>
      <c r="EX78" s="130"/>
      <c r="EY78" s="130"/>
      <c r="EZ78" s="130"/>
      <c r="FA78" s="130"/>
      <c r="FB78" s="201"/>
      <c r="FC78" s="201"/>
      <c r="FD78" s="201"/>
      <c r="FE78" s="201"/>
      <c r="FF78" s="201"/>
      <c r="FG78" s="201"/>
      <c r="FH78" s="201"/>
      <c r="FI78" s="201"/>
      <c r="FJ78" s="201"/>
      <c r="FK78" s="201"/>
      <c r="FL78" s="201"/>
      <c r="FM78" s="201"/>
      <c r="FN78" s="201"/>
      <c r="FO78" s="201"/>
      <c r="FP78" s="201"/>
      <c r="FQ78" s="201"/>
      <c r="FR78" s="201"/>
      <c r="FS78" s="201"/>
      <c r="FT78" s="201"/>
      <c r="FU78" s="201"/>
      <c r="FV78" s="201"/>
      <c r="FW78" s="201"/>
      <c r="FX78" s="201"/>
      <c r="FY78" s="201"/>
      <c r="FZ78" s="201"/>
      <c r="GA78" s="201"/>
      <c r="GB78" s="201"/>
      <c r="GC78" s="201"/>
      <c r="GD78" s="201"/>
      <c r="GE78" s="201"/>
      <c r="GF78" s="201"/>
      <c r="GG78" s="201"/>
      <c r="GH78" s="201"/>
      <c r="GI78" s="201"/>
      <c r="GJ78" s="201"/>
      <c r="GK78" s="201"/>
      <c r="GL78" s="201"/>
      <c r="GM78" s="201"/>
      <c r="GN78" s="201"/>
      <c r="GO78" s="201"/>
      <c r="GP78" s="201"/>
      <c r="GQ78" s="201"/>
    </row>
    <row r="79" spans="1:204" s="68" customFormat="1" ht="14.45" customHeight="1" x14ac:dyDescent="0.25">
      <c r="A79" s="68" t="s">
        <v>692</v>
      </c>
      <c r="B79" s="82" t="s">
        <v>154</v>
      </c>
      <c r="C79" s="82" t="s">
        <v>172</v>
      </c>
      <c r="D79" s="82" t="s">
        <v>196</v>
      </c>
      <c r="E79" s="82" t="s">
        <v>309</v>
      </c>
      <c r="F79" s="82" t="s">
        <v>549</v>
      </c>
      <c r="G79" s="82" t="s">
        <v>137</v>
      </c>
      <c r="H79" s="82" t="s">
        <v>137</v>
      </c>
      <c r="I79" s="82" t="s">
        <v>66</v>
      </c>
      <c r="J79" s="82" t="s">
        <v>29</v>
      </c>
      <c r="K79" s="92" t="s">
        <v>137</v>
      </c>
      <c r="L79" s="92" t="s">
        <v>137</v>
      </c>
      <c r="M79" s="92" t="s">
        <v>137</v>
      </c>
      <c r="N79" s="92" t="s">
        <v>137</v>
      </c>
      <c r="O79" s="92" t="s">
        <v>137</v>
      </c>
      <c r="P79" s="92" t="s">
        <v>137</v>
      </c>
      <c r="Q79" s="82" t="s">
        <v>87</v>
      </c>
      <c r="R79" s="82" t="s">
        <v>714</v>
      </c>
      <c r="S79" s="82" t="s">
        <v>40</v>
      </c>
      <c r="T79" s="82" t="s">
        <v>2</v>
      </c>
      <c r="U79" s="83"/>
      <c r="V79" s="83">
        <v>0.05</v>
      </c>
      <c r="W79" s="83">
        <v>0.08</v>
      </c>
      <c r="X79" s="83">
        <v>0.15</v>
      </c>
      <c r="Y79" s="83">
        <v>0.2</v>
      </c>
      <c r="Z79" s="83">
        <v>0.25</v>
      </c>
      <c r="AA79" s="83">
        <v>0.37</v>
      </c>
      <c r="AB79" s="83">
        <v>0.42</v>
      </c>
      <c r="AC79" s="83">
        <v>0.57999999999999996</v>
      </c>
      <c r="AD79" s="83">
        <v>0.67</v>
      </c>
      <c r="AE79" s="83">
        <v>0.83</v>
      </c>
      <c r="AF79" s="83">
        <v>1</v>
      </c>
      <c r="AG79" s="82" t="s">
        <v>532</v>
      </c>
      <c r="AH79" s="82" t="s">
        <v>529</v>
      </c>
      <c r="AI79" s="88" t="s">
        <v>538</v>
      </c>
      <c r="AJ79" s="89" t="s">
        <v>538</v>
      </c>
      <c r="AK79" s="90">
        <v>46023</v>
      </c>
      <c r="AL79" s="90">
        <v>46387</v>
      </c>
      <c r="AM79" s="89"/>
      <c r="AN79" s="89"/>
      <c r="AO79" s="89"/>
      <c r="AP79" s="91" t="s">
        <v>539</v>
      </c>
      <c r="AQ79" s="90" cm="1">
        <f t="array" ref="AQ79">IFERROR(DATE(2026, _xlfn.AGGREGATE(15, 6, (COLUMN(BY79:CJ79)-COLUMN(BY79)+1)/(BY79:CJ79&lt;&gt;0), 1), 1),"N/A")</f>
        <v>46204</v>
      </c>
      <c r="AR79" s="90" cm="1">
        <f t="array" ref="AR79">IFERROR(EOMONTH(DATE(2026, _xlfn.AGGREGATE(14, 6, (COLUMN(BY79:CJ79)-COLUMN(BY79)+1)/(BY79:CJ79&lt;&gt;0), 1), 1), 0),"N/A")</f>
        <v>46234</v>
      </c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2" t="s">
        <v>583</v>
      </c>
      <c r="BF79" s="82" t="s">
        <v>949</v>
      </c>
      <c r="BG79" s="82" t="str">
        <f t="shared" si="6"/>
        <v>000</v>
      </c>
      <c r="BH79" s="88">
        <v>530404</v>
      </c>
      <c r="BI79" s="92" t="s">
        <v>74</v>
      </c>
      <c r="BJ79" s="93">
        <v>1000</v>
      </c>
      <c r="BK79" s="74">
        <v>0</v>
      </c>
      <c r="BL79" s="74">
        <v>0</v>
      </c>
      <c r="BM79" s="74">
        <v>0</v>
      </c>
      <c r="BN79" s="74">
        <v>0</v>
      </c>
      <c r="BO79" s="74">
        <v>0</v>
      </c>
      <c r="BP79" s="74">
        <v>0</v>
      </c>
      <c r="BQ79" s="94">
        <v>1000</v>
      </c>
      <c r="BR79" s="74">
        <v>0</v>
      </c>
      <c r="BS79" s="74">
        <v>0</v>
      </c>
      <c r="BT79" s="74">
        <v>0</v>
      </c>
      <c r="BU79" s="74">
        <v>0</v>
      </c>
      <c r="BV79" s="143">
        <v>0</v>
      </c>
      <c r="BW79" s="143"/>
      <c r="BX79" s="143">
        <f t="shared" si="11"/>
        <v>1000</v>
      </c>
      <c r="BY79" s="74">
        <v>0</v>
      </c>
      <c r="BZ79" s="74">
        <v>0</v>
      </c>
      <c r="CA79" s="74">
        <v>0</v>
      </c>
      <c r="CB79" s="74">
        <v>0</v>
      </c>
      <c r="CC79" s="74">
        <v>0</v>
      </c>
      <c r="CD79" s="74">
        <v>0</v>
      </c>
      <c r="CE79" s="94">
        <v>1000</v>
      </c>
      <c r="CF79" s="74">
        <v>0</v>
      </c>
      <c r="CG79" s="74">
        <v>0</v>
      </c>
      <c r="CH79" s="74">
        <v>0</v>
      </c>
      <c r="CI79" s="74">
        <v>0</v>
      </c>
      <c r="CJ79" s="143">
        <v>0</v>
      </c>
      <c r="CK79" s="143"/>
      <c r="CL79" s="142">
        <f t="shared" si="7"/>
        <v>0</v>
      </c>
      <c r="CM79" s="171">
        <v>0</v>
      </c>
      <c r="CN79" s="171">
        <v>0</v>
      </c>
      <c r="CO79" s="171">
        <v>0</v>
      </c>
      <c r="CP79" s="171">
        <v>0</v>
      </c>
      <c r="CQ79" s="171">
        <v>0</v>
      </c>
      <c r="CR79" s="171">
        <v>0</v>
      </c>
      <c r="CS79" s="171">
        <f t="shared" si="8"/>
        <v>0</v>
      </c>
      <c r="CT79" s="171">
        <f t="shared" si="9"/>
        <v>0</v>
      </c>
      <c r="CU79" s="171">
        <f t="shared" si="10"/>
        <v>0</v>
      </c>
      <c r="CV79" s="149"/>
      <c r="CW79" s="149"/>
      <c r="CX79" s="130"/>
      <c r="CY79" s="130"/>
      <c r="CZ79" s="130"/>
      <c r="DA79" s="130"/>
      <c r="DB79" s="130"/>
      <c r="DC79" s="130"/>
      <c r="DD79" s="130"/>
      <c r="DE79" s="130"/>
      <c r="DF79" s="130"/>
      <c r="DG79" s="130"/>
      <c r="DH79" s="130"/>
      <c r="DI79" s="130"/>
      <c r="DJ79" s="130"/>
      <c r="DK79" s="130"/>
      <c r="DL79" s="130"/>
      <c r="DM79" s="130"/>
      <c r="DN79" s="130"/>
      <c r="DO79" s="130"/>
      <c r="DP79" s="130"/>
      <c r="DQ79" s="130"/>
      <c r="DR79" s="130"/>
      <c r="DS79" s="130"/>
      <c r="DT79" s="130"/>
      <c r="DU79" s="130"/>
      <c r="DV79" s="130"/>
      <c r="DW79" s="130"/>
      <c r="DX79" s="130"/>
      <c r="DY79" s="130"/>
      <c r="DZ79" s="130"/>
      <c r="EA79" s="130"/>
      <c r="EB79" s="130"/>
      <c r="EC79" s="130"/>
      <c r="ED79" s="130"/>
      <c r="EE79" s="130"/>
      <c r="EF79" s="130"/>
      <c r="EG79" s="130"/>
      <c r="EH79" s="130"/>
      <c r="EI79" s="130"/>
      <c r="EJ79" s="130"/>
      <c r="EK79" s="130"/>
      <c r="EL79" s="130"/>
      <c r="EM79" s="130"/>
      <c r="EN79" s="130"/>
      <c r="EO79" s="130"/>
      <c r="EP79" s="130"/>
      <c r="EQ79" s="130"/>
      <c r="ER79" s="130"/>
      <c r="ES79" s="130"/>
      <c r="ET79" s="130"/>
      <c r="EU79" s="130"/>
      <c r="EV79" s="130"/>
      <c r="EW79" s="130"/>
      <c r="EX79" s="130"/>
      <c r="EY79" s="130"/>
      <c r="EZ79" s="130"/>
      <c r="FA79" s="130"/>
      <c r="FB79" s="201"/>
      <c r="FC79" s="201"/>
      <c r="FD79" s="201"/>
      <c r="FE79" s="201"/>
      <c r="FF79" s="201"/>
      <c r="FG79" s="201"/>
      <c r="FH79" s="201"/>
      <c r="FI79" s="201"/>
      <c r="FJ79" s="201"/>
      <c r="FK79" s="201"/>
      <c r="FL79" s="201"/>
      <c r="FM79" s="201"/>
      <c r="FN79" s="201"/>
      <c r="FO79" s="201"/>
      <c r="FP79" s="201"/>
      <c r="FQ79" s="201"/>
      <c r="FR79" s="201"/>
      <c r="FS79" s="201"/>
      <c r="FT79" s="201"/>
      <c r="FU79" s="201"/>
      <c r="FV79" s="201"/>
      <c r="FW79" s="201"/>
      <c r="FX79" s="201"/>
      <c r="FY79" s="201"/>
      <c r="FZ79" s="201"/>
      <c r="GA79" s="201"/>
      <c r="GB79" s="201"/>
      <c r="GC79" s="201"/>
      <c r="GD79" s="201"/>
      <c r="GE79" s="201"/>
      <c r="GF79" s="201"/>
      <c r="GG79" s="201"/>
      <c r="GH79" s="201"/>
      <c r="GI79" s="201"/>
      <c r="GJ79" s="201"/>
      <c r="GK79" s="201"/>
      <c r="GL79" s="201"/>
      <c r="GM79" s="201"/>
      <c r="GN79" s="201"/>
      <c r="GO79" s="201"/>
      <c r="GP79" s="201"/>
      <c r="GQ79" s="201"/>
    </row>
    <row r="80" spans="1:204" s="68" customFormat="1" ht="14.45" customHeight="1" x14ac:dyDescent="0.25">
      <c r="A80" s="68" t="s">
        <v>692</v>
      </c>
      <c r="B80" s="82" t="s">
        <v>154</v>
      </c>
      <c r="C80" s="82" t="s">
        <v>172</v>
      </c>
      <c r="D80" s="82" t="s">
        <v>196</v>
      </c>
      <c r="E80" s="82" t="s">
        <v>309</v>
      </c>
      <c r="F80" s="82" t="s">
        <v>549</v>
      </c>
      <c r="G80" s="82" t="s">
        <v>137</v>
      </c>
      <c r="H80" s="82" t="s">
        <v>137</v>
      </c>
      <c r="I80" s="82" t="s">
        <v>66</v>
      </c>
      <c r="J80" s="82" t="s">
        <v>29</v>
      </c>
      <c r="K80" s="92" t="s">
        <v>137</v>
      </c>
      <c r="L80" s="92" t="s">
        <v>137</v>
      </c>
      <c r="M80" s="92" t="s">
        <v>137</v>
      </c>
      <c r="N80" s="92" t="s">
        <v>137</v>
      </c>
      <c r="O80" s="92" t="s">
        <v>137</v>
      </c>
      <c r="P80" s="92" t="s">
        <v>137</v>
      </c>
      <c r="Q80" s="82" t="s">
        <v>87</v>
      </c>
      <c r="R80" s="82" t="s">
        <v>714</v>
      </c>
      <c r="S80" s="82" t="s">
        <v>40</v>
      </c>
      <c r="T80" s="82" t="s">
        <v>2</v>
      </c>
      <c r="U80" s="83"/>
      <c r="V80" s="83">
        <v>0.05</v>
      </c>
      <c r="W80" s="83">
        <v>0.08</v>
      </c>
      <c r="X80" s="83">
        <v>0.15</v>
      </c>
      <c r="Y80" s="83">
        <v>0.2</v>
      </c>
      <c r="Z80" s="83">
        <v>0.25</v>
      </c>
      <c r="AA80" s="83">
        <v>0.37</v>
      </c>
      <c r="AB80" s="83">
        <v>0.42</v>
      </c>
      <c r="AC80" s="83">
        <v>0.57999999999999996</v>
      </c>
      <c r="AD80" s="83">
        <v>0.67</v>
      </c>
      <c r="AE80" s="83">
        <v>0.83</v>
      </c>
      <c r="AF80" s="83">
        <v>1</v>
      </c>
      <c r="AG80" s="82" t="s">
        <v>532</v>
      </c>
      <c r="AH80" s="82" t="s">
        <v>529</v>
      </c>
      <c r="AI80" s="88" t="s">
        <v>538</v>
      </c>
      <c r="AJ80" s="89" t="s">
        <v>538</v>
      </c>
      <c r="AK80" s="90">
        <v>46023</v>
      </c>
      <c r="AL80" s="90">
        <v>46387</v>
      </c>
      <c r="AM80" s="89"/>
      <c r="AN80" s="89"/>
      <c r="AO80" s="89"/>
      <c r="AP80" s="91" t="s">
        <v>539</v>
      </c>
      <c r="AQ80" s="90" cm="1">
        <f t="array" ref="AQ80">IFERROR(DATE(2026, _xlfn.AGGREGATE(15, 6, (COLUMN(BY80:CJ80)-COLUMN(BY80)+1)/(BY80:CJ80&lt;&gt;0), 1), 1),"N/A")</f>
        <v>46082</v>
      </c>
      <c r="AR80" s="90" cm="1">
        <f t="array" ref="AR80">IFERROR(EOMONTH(DATE(2026, _xlfn.AGGREGATE(14, 6, (COLUMN(BY80:CJ80)-COLUMN(BY80)+1)/(BY80:CJ80&lt;&gt;0), 1), 1), 0),"N/A")</f>
        <v>46387</v>
      </c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2" t="s">
        <v>641</v>
      </c>
      <c r="BF80" s="82" t="s">
        <v>950</v>
      </c>
      <c r="BG80" s="82" t="str">
        <f t="shared" si="6"/>
        <v>000</v>
      </c>
      <c r="BH80" s="88">
        <v>530405</v>
      </c>
      <c r="BI80" s="92" t="s">
        <v>74</v>
      </c>
      <c r="BJ80" s="93">
        <v>10000</v>
      </c>
      <c r="BK80" s="74">
        <v>0</v>
      </c>
      <c r="BL80" s="74">
        <v>0</v>
      </c>
      <c r="BM80" s="94">
        <v>1000</v>
      </c>
      <c r="BN80" s="72">
        <v>1000</v>
      </c>
      <c r="BO80" s="94">
        <v>1000</v>
      </c>
      <c r="BP80" s="94">
        <v>1000</v>
      </c>
      <c r="BQ80" s="94">
        <v>1000</v>
      </c>
      <c r="BR80" s="94">
        <v>1000</v>
      </c>
      <c r="BS80" s="94">
        <v>1000</v>
      </c>
      <c r="BT80" s="94">
        <v>1000</v>
      </c>
      <c r="BU80" s="94">
        <v>1000</v>
      </c>
      <c r="BV80" s="142">
        <v>1000</v>
      </c>
      <c r="BW80" s="142"/>
      <c r="BX80" s="143">
        <f t="shared" si="11"/>
        <v>10000</v>
      </c>
      <c r="BY80" s="74">
        <v>0</v>
      </c>
      <c r="BZ80" s="74">
        <v>0</v>
      </c>
      <c r="CA80" s="94">
        <v>1000</v>
      </c>
      <c r="CB80" s="72">
        <v>1000</v>
      </c>
      <c r="CC80" s="94">
        <v>1000</v>
      </c>
      <c r="CD80" s="94">
        <v>1000</v>
      </c>
      <c r="CE80" s="94">
        <v>1000</v>
      </c>
      <c r="CF80" s="94">
        <v>1000</v>
      </c>
      <c r="CG80" s="94">
        <v>1000</v>
      </c>
      <c r="CH80" s="94">
        <v>1000</v>
      </c>
      <c r="CI80" s="94">
        <v>1000</v>
      </c>
      <c r="CJ80" s="142">
        <v>1000</v>
      </c>
      <c r="CK80" s="142"/>
      <c r="CL80" s="142">
        <f t="shared" si="7"/>
        <v>0</v>
      </c>
      <c r="CM80" s="171">
        <v>0</v>
      </c>
      <c r="CN80" s="171">
        <v>0</v>
      </c>
      <c r="CO80" s="171">
        <v>0</v>
      </c>
      <c r="CP80" s="171">
        <v>0</v>
      </c>
      <c r="CQ80" s="171">
        <v>0</v>
      </c>
      <c r="CR80" s="171">
        <v>0</v>
      </c>
      <c r="CS80" s="171">
        <f t="shared" si="8"/>
        <v>0</v>
      </c>
      <c r="CT80" s="171">
        <f t="shared" si="9"/>
        <v>0</v>
      </c>
      <c r="CU80" s="171">
        <f t="shared" si="10"/>
        <v>0</v>
      </c>
      <c r="CV80" s="152">
        <v>12500</v>
      </c>
      <c r="CW80" s="149">
        <v>10000</v>
      </c>
      <c r="CX80" s="130">
        <v>1</v>
      </c>
      <c r="CY80" s="130">
        <v>1</v>
      </c>
      <c r="CZ80" s="130" t="s">
        <v>321</v>
      </c>
      <c r="DA80" s="130" t="s">
        <v>878</v>
      </c>
      <c r="DB80" s="130" t="s">
        <v>850</v>
      </c>
      <c r="DC80" s="130" t="s">
        <v>851</v>
      </c>
      <c r="DD80" s="130"/>
      <c r="DE80" s="131">
        <v>46041</v>
      </c>
      <c r="DF80" s="131">
        <v>46041</v>
      </c>
      <c r="DG80" s="132">
        <v>1</v>
      </c>
      <c r="DH80" s="131">
        <v>46042</v>
      </c>
      <c r="DI80" s="131">
        <v>46042</v>
      </c>
      <c r="DJ80" s="131">
        <v>46042</v>
      </c>
      <c r="DK80" s="131">
        <v>46043</v>
      </c>
      <c r="DL80" s="131">
        <v>46044</v>
      </c>
      <c r="DM80" s="131">
        <v>46045</v>
      </c>
      <c r="DN80" s="131">
        <v>46048</v>
      </c>
      <c r="DO80" s="131">
        <v>46049</v>
      </c>
      <c r="DP80" s="131">
        <v>46050</v>
      </c>
      <c r="DQ80" s="131">
        <v>46050</v>
      </c>
      <c r="DR80" s="132">
        <v>1</v>
      </c>
      <c r="DS80" s="131">
        <v>46051</v>
      </c>
      <c r="DT80" s="131">
        <v>46052</v>
      </c>
      <c r="DU80" s="131">
        <v>46055</v>
      </c>
      <c r="DV80" s="131">
        <v>46056</v>
      </c>
      <c r="DW80" s="131">
        <v>46056</v>
      </c>
      <c r="DX80" s="131">
        <v>46057</v>
      </c>
      <c r="DY80" s="131">
        <v>46057</v>
      </c>
      <c r="DZ80" s="132"/>
      <c r="EA80" s="132"/>
      <c r="EB80" s="132"/>
      <c r="EC80" s="132"/>
      <c r="ED80" s="131">
        <v>46058</v>
      </c>
      <c r="EE80" s="131">
        <v>46059</v>
      </c>
      <c r="EF80" s="131">
        <v>46059</v>
      </c>
      <c r="EG80" s="131">
        <v>46062</v>
      </c>
      <c r="EH80" s="131">
        <v>46063</v>
      </c>
      <c r="EI80" s="131">
        <v>46064</v>
      </c>
      <c r="EJ80" s="131">
        <v>46065</v>
      </c>
      <c r="EK80" s="131">
        <v>46065</v>
      </c>
      <c r="EL80" s="132">
        <v>18</v>
      </c>
      <c r="EM80" s="131">
        <v>46069</v>
      </c>
      <c r="EN80" s="131">
        <v>46071</v>
      </c>
      <c r="EO80" s="133">
        <v>46073</v>
      </c>
      <c r="EP80" s="133">
        <v>46076</v>
      </c>
      <c r="EQ80" s="133">
        <v>46077</v>
      </c>
      <c r="ER80" s="133">
        <v>46079</v>
      </c>
      <c r="ES80" s="133">
        <v>46080</v>
      </c>
      <c r="ET80" s="133">
        <v>46080</v>
      </c>
      <c r="EU80" s="133">
        <v>46085</v>
      </c>
      <c r="EV80" s="134">
        <v>1</v>
      </c>
      <c r="EW80" s="133">
        <v>46090</v>
      </c>
      <c r="EX80" s="133"/>
      <c r="EY80" s="154" t="s">
        <v>879</v>
      </c>
      <c r="EZ80" s="132" t="s">
        <v>857</v>
      </c>
      <c r="FA80" s="136"/>
      <c r="FB80" s="201">
        <v>46055</v>
      </c>
      <c r="FC80" s="201">
        <v>46055</v>
      </c>
      <c r="FD80" s="201">
        <v>46056</v>
      </c>
      <c r="FE80" s="201">
        <v>46056</v>
      </c>
      <c r="FF80" s="201">
        <v>46056</v>
      </c>
      <c r="FG80" s="201">
        <v>46057</v>
      </c>
      <c r="FH80" s="201">
        <v>46058</v>
      </c>
      <c r="FI80" s="201">
        <v>46059</v>
      </c>
      <c r="FJ80" s="201">
        <v>46062</v>
      </c>
      <c r="FK80" s="201">
        <v>46063</v>
      </c>
      <c r="FL80" s="201">
        <v>46064</v>
      </c>
      <c r="FM80" s="201">
        <v>46064</v>
      </c>
      <c r="FN80" s="201">
        <v>46065</v>
      </c>
      <c r="FO80" s="201">
        <v>46066</v>
      </c>
      <c r="FP80" s="201">
        <v>46069</v>
      </c>
      <c r="FQ80" s="201">
        <v>46070</v>
      </c>
      <c r="FR80" s="201">
        <v>46070</v>
      </c>
      <c r="FS80" s="201">
        <v>46071</v>
      </c>
      <c r="FT80" s="201">
        <v>46071</v>
      </c>
      <c r="FU80" s="201"/>
      <c r="FV80" s="201"/>
      <c r="FW80" s="201"/>
      <c r="FX80" s="201"/>
      <c r="FY80" s="201">
        <v>46072</v>
      </c>
      <c r="FZ80" s="201">
        <v>46073</v>
      </c>
      <c r="GA80" s="201">
        <v>46073</v>
      </c>
      <c r="GB80" s="201">
        <v>46076</v>
      </c>
      <c r="GC80" s="201">
        <v>46077</v>
      </c>
      <c r="GD80" s="201">
        <v>46078</v>
      </c>
      <c r="GE80" s="201">
        <v>46079</v>
      </c>
      <c r="GF80" s="201">
        <v>46079</v>
      </c>
      <c r="GG80" s="201">
        <v>18</v>
      </c>
      <c r="GH80" s="201">
        <v>46083</v>
      </c>
      <c r="GI80" s="201">
        <v>46085</v>
      </c>
      <c r="GJ80" s="201">
        <v>46087</v>
      </c>
      <c r="GK80" s="201">
        <v>46090</v>
      </c>
      <c r="GL80" s="201">
        <v>46091</v>
      </c>
      <c r="GM80" s="201">
        <v>46093</v>
      </c>
      <c r="GN80" s="201">
        <v>46094</v>
      </c>
      <c r="GO80" s="201">
        <v>46094</v>
      </c>
      <c r="GP80" s="201">
        <v>46099</v>
      </c>
      <c r="GQ80" s="201">
        <v>46104</v>
      </c>
      <c r="GR80" s="186"/>
      <c r="GS80" s="187" t="s">
        <v>1180</v>
      </c>
      <c r="GT80" s="186" t="s">
        <v>879</v>
      </c>
      <c r="GU80" s="186" t="s">
        <v>857</v>
      </c>
      <c r="GV80" s="186" t="s">
        <v>1157</v>
      </c>
    </row>
    <row r="81" spans="1:204" s="68" customFormat="1" ht="14.45" customHeight="1" x14ac:dyDescent="0.25">
      <c r="A81" s="68" t="s">
        <v>692</v>
      </c>
      <c r="B81" s="82" t="s">
        <v>154</v>
      </c>
      <c r="C81" s="82" t="s">
        <v>172</v>
      </c>
      <c r="D81" s="82" t="s">
        <v>196</v>
      </c>
      <c r="E81" s="82" t="s">
        <v>309</v>
      </c>
      <c r="F81" s="82" t="s">
        <v>549</v>
      </c>
      <c r="G81" s="82" t="s">
        <v>137</v>
      </c>
      <c r="H81" s="82" t="s">
        <v>137</v>
      </c>
      <c r="I81" s="82" t="s">
        <v>66</v>
      </c>
      <c r="J81" s="82" t="s">
        <v>29</v>
      </c>
      <c r="K81" s="92" t="s">
        <v>137</v>
      </c>
      <c r="L81" s="92" t="s">
        <v>137</v>
      </c>
      <c r="M81" s="92" t="s">
        <v>137</v>
      </c>
      <c r="N81" s="92" t="s">
        <v>137</v>
      </c>
      <c r="O81" s="92" t="s">
        <v>137</v>
      </c>
      <c r="P81" s="92" t="s">
        <v>137</v>
      </c>
      <c r="Q81" s="82" t="s">
        <v>87</v>
      </c>
      <c r="R81" s="82" t="s">
        <v>714</v>
      </c>
      <c r="S81" s="82" t="s">
        <v>40</v>
      </c>
      <c r="T81" s="82" t="s">
        <v>2</v>
      </c>
      <c r="U81" s="83"/>
      <c r="V81" s="83">
        <v>0.05</v>
      </c>
      <c r="W81" s="83">
        <v>0.08</v>
      </c>
      <c r="X81" s="83">
        <v>0.15</v>
      </c>
      <c r="Y81" s="83">
        <v>0.2</v>
      </c>
      <c r="Z81" s="83">
        <v>0.25</v>
      </c>
      <c r="AA81" s="83">
        <v>0.37</v>
      </c>
      <c r="AB81" s="83">
        <v>0.42</v>
      </c>
      <c r="AC81" s="83">
        <v>0.57999999999999996</v>
      </c>
      <c r="AD81" s="83">
        <v>0.67</v>
      </c>
      <c r="AE81" s="83">
        <v>0.83</v>
      </c>
      <c r="AF81" s="83">
        <v>1</v>
      </c>
      <c r="AG81" s="82" t="s">
        <v>532</v>
      </c>
      <c r="AH81" s="82" t="s">
        <v>529</v>
      </c>
      <c r="AI81" s="88" t="s">
        <v>538</v>
      </c>
      <c r="AJ81" s="89" t="s">
        <v>538</v>
      </c>
      <c r="AK81" s="90">
        <v>46023</v>
      </c>
      <c r="AL81" s="90">
        <v>46387</v>
      </c>
      <c r="AM81" s="89"/>
      <c r="AN81" s="89"/>
      <c r="AO81" s="89"/>
      <c r="AP81" s="91" t="s">
        <v>539</v>
      </c>
      <c r="AQ81" s="90" cm="1">
        <f t="array" ref="AQ81">IFERROR(DATE(2026, _xlfn.AGGREGATE(15, 6, (COLUMN(BY81:CJ81)-COLUMN(BY81)+1)/(BY81:CJ81&lt;&gt;0), 1), 1),"N/A")</f>
        <v>46082</v>
      </c>
      <c r="AR81" s="90" cm="1">
        <f t="array" ref="AR81">IFERROR(EOMONTH(DATE(2026, _xlfn.AGGREGATE(14, 6, (COLUMN(BY81:CJ81)-COLUMN(BY81)+1)/(BY81:CJ81&lt;&gt;0), 1), 1), 0),"N/A")</f>
        <v>46387</v>
      </c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2" t="s">
        <v>603</v>
      </c>
      <c r="BF81" s="82" t="s">
        <v>951</v>
      </c>
      <c r="BG81" s="82" t="str">
        <f t="shared" si="6"/>
        <v>000</v>
      </c>
      <c r="BH81" s="88">
        <v>530405</v>
      </c>
      <c r="BI81" s="92" t="s">
        <v>74</v>
      </c>
      <c r="BJ81" s="93">
        <v>2500</v>
      </c>
      <c r="BK81" s="74">
        <v>0</v>
      </c>
      <c r="BL81" s="74">
        <v>0</v>
      </c>
      <c r="BM81" s="94">
        <v>250</v>
      </c>
      <c r="BN81" s="72">
        <v>250</v>
      </c>
      <c r="BO81" s="94">
        <v>250</v>
      </c>
      <c r="BP81" s="94">
        <v>250</v>
      </c>
      <c r="BQ81" s="94">
        <v>250</v>
      </c>
      <c r="BR81" s="94">
        <v>250</v>
      </c>
      <c r="BS81" s="94">
        <v>250</v>
      </c>
      <c r="BT81" s="94">
        <v>250</v>
      </c>
      <c r="BU81" s="94">
        <v>250</v>
      </c>
      <c r="BV81" s="142">
        <v>250</v>
      </c>
      <c r="BW81" s="142"/>
      <c r="BX81" s="143">
        <f t="shared" si="11"/>
        <v>2500</v>
      </c>
      <c r="BY81" s="74">
        <v>0</v>
      </c>
      <c r="BZ81" s="74">
        <v>0</v>
      </c>
      <c r="CA81" s="94">
        <v>250</v>
      </c>
      <c r="CB81" s="72">
        <v>250</v>
      </c>
      <c r="CC81" s="94">
        <v>250</v>
      </c>
      <c r="CD81" s="94">
        <v>250</v>
      </c>
      <c r="CE81" s="94">
        <v>250</v>
      </c>
      <c r="CF81" s="94">
        <v>250</v>
      </c>
      <c r="CG81" s="94">
        <v>250</v>
      </c>
      <c r="CH81" s="94">
        <v>250</v>
      </c>
      <c r="CI81" s="94">
        <v>250</v>
      </c>
      <c r="CJ81" s="142">
        <v>250</v>
      </c>
      <c r="CK81" s="142"/>
      <c r="CL81" s="142">
        <f t="shared" si="7"/>
        <v>0</v>
      </c>
      <c r="CM81" s="171">
        <v>0</v>
      </c>
      <c r="CN81" s="171">
        <v>0</v>
      </c>
      <c r="CO81" s="171">
        <v>0</v>
      </c>
      <c r="CP81" s="171">
        <v>0</v>
      </c>
      <c r="CQ81" s="171">
        <v>0</v>
      </c>
      <c r="CR81" s="171">
        <v>0</v>
      </c>
      <c r="CS81" s="171">
        <f t="shared" si="8"/>
        <v>0</v>
      </c>
      <c r="CT81" s="171">
        <f t="shared" si="9"/>
        <v>0</v>
      </c>
      <c r="CU81" s="171">
        <f t="shared" si="10"/>
        <v>0</v>
      </c>
      <c r="CV81" s="149"/>
      <c r="CW81" s="149">
        <v>2500</v>
      </c>
      <c r="CX81" s="130"/>
      <c r="CY81" s="130">
        <v>1</v>
      </c>
      <c r="CZ81" s="130"/>
      <c r="DA81" s="130"/>
      <c r="DB81" s="130"/>
      <c r="DC81" s="130"/>
      <c r="DD81" s="130"/>
      <c r="DE81" s="130"/>
      <c r="DF81" s="130"/>
      <c r="DG81" s="130"/>
      <c r="DH81" s="130"/>
      <c r="DI81" s="130"/>
      <c r="DJ81" s="130"/>
      <c r="DK81" s="130"/>
      <c r="DL81" s="130"/>
      <c r="DM81" s="130"/>
      <c r="DN81" s="130"/>
      <c r="DO81" s="130"/>
      <c r="DP81" s="130"/>
      <c r="DQ81" s="130"/>
      <c r="DR81" s="130"/>
      <c r="DS81" s="130"/>
      <c r="DT81" s="130"/>
      <c r="DU81" s="130"/>
      <c r="DV81" s="130"/>
      <c r="DW81" s="130"/>
      <c r="DX81" s="130"/>
      <c r="DY81" s="130"/>
      <c r="DZ81" s="130"/>
      <c r="EA81" s="130"/>
      <c r="EB81" s="130"/>
      <c r="EC81" s="130"/>
      <c r="ED81" s="130"/>
      <c r="EE81" s="130"/>
      <c r="EF81" s="130"/>
      <c r="EG81" s="130"/>
      <c r="EH81" s="130"/>
      <c r="EI81" s="130"/>
      <c r="EJ81" s="130"/>
      <c r="EK81" s="130"/>
      <c r="EL81" s="130"/>
      <c r="EM81" s="130"/>
      <c r="EN81" s="130"/>
      <c r="EO81" s="130"/>
      <c r="EP81" s="130"/>
      <c r="EQ81" s="130"/>
      <c r="ER81" s="130"/>
      <c r="ES81" s="130"/>
      <c r="ET81" s="130"/>
      <c r="EU81" s="130"/>
      <c r="EV81" s="130"/>
      <c r="EW81" s="130"/>
      <c r="EX81" s="130"/>
      <c r="EY81" s="130"/>
      <c r="EZ81" s="130"/>
      <c r="FA81" s="130"/>
      <c r="FB81" s="203">
        <v>46055</v>
      </c>
      <c r="FC81" s="203">
        <v>46055</v>
      </c>
      <c r="FD81" s="203">
        <v>46056</v>
      </c>
      <c r="FE81" s="203">
        <v>46056</v>
      </c>
      <c r="FF81" s="203">
        <v>46056</v>
      </c>
      <c r="FG81" s="203">
        <v>46057</v>
      </c>
      <c r="FH81" s="203">
        <v>46058</v>
      </c>
      <c r="FI81" s="203">
        <v>46059</v>
      </c>
      <c r="FJ81" s="203">
        <v>46062</v>
      </c>
      <c r="FK81" s="203">
        <v>46063</v>
      </c>
      <c r="FL81" s="203">
        <v>46064</v>
      </c>
      <c r="FM81" s="203">
        <v>46064</v>
      </c>
      <c r="FN81" s="203">
        <v>46065</v>
      </c>
      <c r="FO81" s="203">
        <v>46066</v>
      </c>
      <c r="FP81" s="203">
        <v>46069</v>
      </c>
      <c r="FQ81" s="203">
        <v>46070</v>
      </c>
      <c r="FR81" s="203">
        <v>46070</v>
      </c>
      <c r="FS81" s="203">
        <v>46071</v>
      </c>
      <c r="FT81" s="203">
        <v>46071</v>
      </c>
      <c r="FU81" s="203"/>
      <c r="FV81" s="203"/>
      <c r="FW81" s="203"/>
      <c r="FX81" s="203"/>
      <c r="FY81" s="203">
        <v>46072</v>
      </c>
      <c r="FZ81" s="203">
        <v>46073</v>
      </c>
      <c r="GA81" s="203">
        <v>46073</v>
      </c>
      <c r="GB81" s="203"/>
      <c r="GC81" s="203"/>
      <c r="GD81" s="203"/>
      <c r="GE81" s="203">
        <v>46073</v>
      </c>
      <c r="GF81" s="203">
        <v>46079</v>
      </c>
      <c r="GG81" s="203">
        <v>18</v>
      </c>
      <c r="GH81" s="203"/>
      <c r="GI81" s="203"/>
      <c r="GJ81" s="203"/>
      <c r="GK81" s="203"/>
      <c r="GL81" s="203"/>
      <c r="GM81" s="203"/>
      <c r="GN81" s="203"/>
      <c r="GO81" s="203"/>
      <c r="GP81" s="203"/>
      <c r="GQ81" s="203">
        <v>46079</v>
      </c>
      <c r="GR81" s="187"/>
      <c r="GS81" s="187" t="s">
        <v>1181</v>
      </c>
      <c r="GT81" s="187" t="s">
        <v>854</v>
      </c>
      <c r="GU81" s="187" t="s">
        <v>867</v>
      </c>
      <c r="GV81" s="187" t="s">
        <v>1161</v>
      </c>
    </row>
    <row r="82" spans="1:204" s="68" customFormat="1" ht="14.45" customHeight="1" x14ac:dyDescent="0.25">
      <c r="A82" s="68" t="s">
        <v>692</v>
      </c>
      <c r="B82" s="82" t="s">
        <v>154</v>
      </c>
      <c r="C82" s="82" t="s">
        <v>172</v>
      </c>
      <c r="D82" s="82" t="s">
        <v>196</v>
      </c>
      <c r="E82" s="82" t="s">
        <v>309</v>
      </c>
      <c r="F82" s="82" t="s">
        <v>549</v>
      </c>
      <c r="G82" s="82" t="s">
        <v>137</v>
      </c>
      <c r="H82" s="82" t="s">
        <v>137</v>
      </c>
      <c r="I82" s="82" t="s">
        <v>66</v>
      </c>
      <c r="J82" s="82" t="s">
        <v>29</v>
      </c>
      <c r="K82" s="92" t="s">
        <v>137</v>
      </c>
      <c r="L82" s="92" t="s">
        <v>137</v>
      </c>
      <c r="M82" s="92" t="s">
        <v>137</v>
      </c>
      <c r="N82" s="92" t="s">
        <v>137</v>
      </c>
      <c r="O82" s="92" t="s">
        <v>137</v>
      </c>
      <c r="P82" s="92" t="s">
        <v>137</v>
      </c>
      <c r="Q82" s="82" t="s">
        <v>87</v>
      </c>
      <c r="R82" s="82" t="s">
        <v>714</v>
      </c>
      <c r="S82" s="82" t="s">
        <v>40</v>
      </c>
      <c r="T82" s="82" t="s">
        <v>2</v>
      </c>
      <c r="U82" s="83"/>
      <c r="V82" s="83">
        <v>0.05</v>
      </c>
      <c r="W82" s="83">
        <v>0.08</v>
      </c>
      <c r="X82" s="83">
        <v>0.15</v>
      </c>
      <c r="Y82" s="83">
        <v>0.2</v>
      </c>
      <c r="Z82" s="83">
        <v>0.25</v>
      </c>
      <c r="AA82" s="83">
        <v>0.37</v>
      </c>
      <c r="AB82" s="83">
        <v>0.42</v>
      </c>
      <c r="AC82" s="83">
        <v>0.57999999999999996</v>
      </c>
      <c r="AD82" s="83">
        <v>0.67</v>
      </c>
      <c r="AE82" s="83">
        <v>0.83</v>
      </c>
      <c r="AF82" s="83">
        <v>1</v>
      </c>
      <c r="AG82" s="82" t="s">
        <v>532</v>
      </c>
      <c r="AH82" s="82" t="s">
        <v>529</v>
      </c>
      <c r="AI82" s="88" t="s">
        <v>538</v>
      </c>
      <c r="AJ82" s="89" t="s">
        <v>538</v>
      </c>
      <c r="AK82" s="90">
        <v>46023</v>
      </c>
      <c r="AL82" s="90">
        <v>46387</v>
      </c>
      <c r="AM82" s="89"/>
      <c r="AN82" s="89"/>
      <c r="AO82" s="89"/>
      <c r="AP82" s="91" t="s">
        <v>539</v>
      </c>
      <c r="AQ82" s="90" cm="1">
        <f t="array" ref="AQ82">IFERROR(DATE(2026, _xlfn.AGGREGATE(15, 6, (COLUMN(BY82:CJ82)-COLUMN(BY82)+1)/(BY82:CJ82&lt;&gt;0), 1), 1),"N/A")</f>
        <v>46082</v>
      </c>
      <c r="AR82" s="90" cm="1">
        <f t="array" ref="AR82">IFERROR(EOMONTH(DATE(2026, _xlfn.AGGREGATE(14, 6, (COLUMN(BY82:CJ82)-COLUMN(BY82)+1)/(BY82:CJ82&lt;&gt;0), 1), 1), 0),"N/A")</f>
        <v>46387</v>
      </c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2" t="s">
        <v>604</v>
      </c>
      <c r="BF82" s="82" t="s">
        <v>952</v>
      </c>
      <c r="BG82" s="82" t="str">
        <f t="shared" si="6"/>
        <v>000</v>
      </c>
      <c r="BH82" s="88">
        <v>530405</v>
      </c>
      <c r="BI82" s="92" t="s">
        <v>74</v>
      </c>
      <c r="BJ82" s="93">
        <v>2500</v>
      </c>
      <c r="BK82" s="74">
        <v>0</v>
      </c>
      <c r="BL82" s="74">
        <v>0</v>
      </c>
      <c r="BM82" s="94">
        <v>250</v>
      </c>
      <c r="BN82" s="72">
        <v>250</v>
      </c>
      <c r="BO82" s="94">
        <v>250</v>
      </c>
      <c r="BP82" s="94">
        <v>250</v>
      </c>
      <c r="BQ82" s="94">
        <v>250</v>
      </c>
      <c r="BR82" s="94">
        <v>250</v>
      </c>
      <c r="BS82" s="94">
        <v>250</v>
      </c>
      <c r="BT82" s="94">
        <v>250</v>
      </c>
      <c r="BU82" s="94">
        <v>250</v>
      </c>
      <c r="BV82" s="142">
        <v>250</v>
      </c>
      <c r="BW82" s="142"/>
      <c r="BX82" s="143">
        <f t="shared" si="11"/>
        <v>2500</v>
      </c>
      <c r="BY82" s="74">
        <v>0</v>
      </c>
      <c r="BZ82" s="74">
        <v>0</v>
      </c>
      <c r="CA82" s="94">
        <v>250</v>
      </c>
      <c r="CB82" s="72">
        <v>250</v>
      </c>
      <c r="CC82" s="94">
        <v>250</v>
      </c>
      <c r="CD82" s="94">
        <v>250</v>
      </c>
      <c r="CE82" s="94">
        <v>250</v>
      </c>
      <c r="CF82" s="94">
        <v>250</v>
      </c>
      <c r="CG82" s="94">
        <v>250</v>
      </c>
      <c r="CH82" s="94">
        <v>250</v>
      </c>
      <c r="CI82" s="94">
        <v>250</v>
      </c>
      <c r="CJ82" s="142">
        <v>250</v>
      </c>
      <c r="CK82" s="142"/>
      <c r="CL82" s="142">
        <f t="shared" si="7"/>
        <v>0</v>
      </c>
      <c r="CM82" s="171">
        <v>0</v>
      </c>
      <c r="CN82" s="171">
        <v>0</v>
      </c>
      <c r="CO82" s="171">
        <v>0</v>
      </c>
      <c r="CP82" s="171">
        <v>0</v>
      </c>
      <c r="CQ82" s="171">
        <v>0</v>
      </c>
      <c r="CR82" s="171">
        <v>0</v>
      </c>
      <c r="CS82" s="171">
        <f t="shared" si="8"/>
        <v>0</v>
      </c>
      <c r="CT82" s="171">
        <f t="shared" si="9"/>
        <v>0</v>
      </c>
      <c r="CU82" s="171">
        <f t="shared" si="10"/>
        <v>0</v>
      </c>
      <c r="CV82" s="150">
        <v>2500</v>
      </c>
      <c r="CW82" s="150">
        <v>2500</v>
      </c>
      <c r="CX82" s="130">
        <v>1</v>
      </c>
      <c r="CY82" s="130">
        <v>1</v>
      </c>
      <c r="CZ82" s="130"/>
      <c r="DA82" s="130"/>
      <c r="DB82" s="130"/>
      <c r="DC82" s="130"/>
      <c r="DD82" s="130"/>
      <c r="DE82" s="131">
        <v>46279</v>
      </c>
      <c r="DF82" s="131">
        <v>46279</v>
      </c>
      <c r="DG82" s="132">
        <v>3</v>
      </c>
      <c r="DH82" s="131">
        <v>46280</v>
      </c>
      <c r="DI82" s="131">
        <v>46280</v>
      </c>
      <c r="DJ82" s="131">
        <v>46280</v>
      </c>
      <c r="DK82" s="131">
        <v>46281</v>
      </c>
      <c r="DL82" s="131">
        <v>46282</v>
      </c>
      <c r="DM82" s="131">
        <v>46283</v>
      </c>
      <c r="DN82" s="131">
        <v>46286</v>
      </c>
      <c r="DO82" s="131">
        <v>46287</v>
      </c>
      <c r="DP82" s="131">
        <v>46288</v>
      </c>
      <c r="DQ82" s="131">
        <v>46288</v>
      </c>
      <c r="DR82" s="132">
        <v>3</v>
      </c>
      <c r="DS82" s="131">
        <v>46289</v>
      </c>
      <c r="DT82" s="131">
        <v>46290</v>
      </c>
      <c r="DU82" s="131">
        <v>46293</v>
      </c>
      <c r="DV82" s="131">
        <v>46294</v>
      </c>
      <c r="DW82" s="131">
        <v>46294</v>
      </c>
      <c r="DX82" s="131">
        <v>46295</v>
      </c>
      <c r="DY82" s="131">
        <v>46295</v>
      </c>
      <c r="DZ82" s="132"/>
      <c r="EA82" s="132"/>
      <c r="EB82" s="132"/>
      <c r="EC82" s="132"/>
      <c r="ED82" s="131">
        <v>46296</v>
      </c>
      <c r="EE82" s="131">
        <v>46297</v>
      </c>
      <c r="EF82" s="131">
        <v>46297</v>
      </c>
      <c r="EG82" s="131"/>
      <c r="EH82" s="131"/>
      <c r="EI82" s="131"/>
      <c r="EJ82" s="131">
        <v>46297</v>
      </c>
      <c r="EK82" s="131">
        <v>46303</v>
      </c>
      <c r="EL82" s="132">
        <v>18</v>
      </c>
      <c r="EM82" s="133"/>
      <c r="EN82" s="133"/>
      <c r="EO82" s="133"/>
      <c r="EP82" s="133"/>
      <c r="EQ82" s="133"/>
      <c r="ER82" s="133"/>
      <c r="ES82" s="133"/>
      <c r="ET82" s="133"/>
      <c r="EU82" s="133"/>
      <c r="EV82" s="134"/>
      <c r="EW82" s="133">
        <v>46303</v>
      </c>
      <c r="EX82" s="133"/>
      <c r="EY82" s="135" t="s">
        <v>854</v>
      </c>
      <c r="EZ82" s="132" t="s">
        <v>867</v>
      </c>
      <c r="FA82" s="130"/>
      <c r="FB82" s="203">
        <v>46055</v>
      </c>
      <c r="FC82" s="203">
        <v>46055</v>
      </c>
      <c r="FD82" s="203">
        <v>46056</v>
      </c>
      <c r="FE82" s="203">
        <v>46056</v>
      </c>
      <c r="FF82" s="203">
        <v>46056</v>
      </c>
      <c r="FG82" s="203">
        <v>46057</v>
      </c>
      <c r="FH82" s="203">
        <v>46058</v>
      </c>
      <c r="FI82" s="203">
        <v>46059</v>
      </c>
      <c r="FJ82" s="203">
        <v>46062</v>
      </c>
      <c r="FK82" s="203">
        <v>46063</v>
      </c>
      <c r="FL82" s="203">
        <v>46064</v>
      </c>
      <c r="FM82" s="203">
        <v>46064</v>
      </c>
      <c r="FN82" s="203">
        <v>46065</v>
      </c>
      <c r="FO82" s="203">
        <v>46066</v>
      </c>
      <c r="FP82" s="203">
        <v>46069</v>
      </c>
      <c r="FQ82" s="203">
        <v>46070</v>
      </c>
      <c r="FR82" s="203">
        <v>46070</v>
      </c>
      <c r="FS82" s="203">
        <v>46071</v>
      </c>
      <c r="FT82" s="203">
        <v>46071</v>
      </c>
      <c r="FU82" s="203"/>
      <c r="FV82" s="203"/>
      <c r="FW82" s="203"/>
      <c r="FX82" s="203"/>
      <c r="FY82" s="203">
        <v>46072</v>
      </c>
      <c r="FZ82" s="203">
        <v>46073</v>
      </c>
      <c r="GA82" s="203">
        <v>46073</v>
      </c>
      <c r="GB82" s="203"/>
      <c r="GC82" s="203"/>
      <c r="GD82" s="203"/>
      <c r="GE82" s="203">
        <v>46073</v>
      </c>
      <c r="GF82" s="203">
        <v>46079</v>
      </c>
      <c r="GG82" s="203">
        <v>18</v>
      </c>
      <c r="GH82" s="203"/>
      <c r="GI82" s="203"/>
      <c r="GJ82" s="203"/>
      <c r="GK82" s="203"/>
      <c r="GL82" s="203"/>
      <c r="GM82" s="203"/>
      <c r="GN82" s="203"/>
      <c r="GO82" s="203"/>
      <c r="GP82" s="203"/>
      <c r="GQ82" s="203">
        <v>46079</v>
      </c>
      <c r="GR82" s="187"/>
      <c r="GS82" s="187" t="s">
        <v>1181</v>
      </c>
      <c r="GT82" s="187" t="s">
        <v>854</v>
      </c>
      <c r="GU82" s="187" t="s">
        <v>867</v>
      </c>
      <c r="GV82" s="187" t="s">
        <v>1161</v>
      </c>
    </row>
    <row r="83" spans="1:204" s="68" customFormat="1" ht="14.45" customHeight="1" x14ac:dyDescent="0.25">
      <c r="A83" s="68" t="s">
        <v>694</v>
      </c>
      <c r="B83" s="82" t="s">
        <v>154</v>
      </c>
      <c r="C83" s="82" t="s">
        <v>172</v>
      </c>
      <c r="D83" s="95" t="s">
        <v>196</v>
      </c>
      <c r="E83" s="82" t="s">
        <v>309</v>
      </c>
      <c r="F83" s="82" t="s">
        <v>549</v>
      </c>
      <c r="G83" s="82" t="s">
        <v>137</v>
      </c>
      <c r="H83" s="82" t="s">
        <v>137</v>
      </c>
      <c r="I83" s="82" t="s">
        <v>66</v>
      </c>
      <c r="J83" s="82" t="s">
        <v>531</v>
      </c>
      <c r="K83" s="92" t="s">
        <v>137</v>
      </c>
      <c r="L83" s="92" t="s">
        <v>137</v>
      </c>
      <c r="M83" s="92" t="s">
        <v>137</v>
      </c>
      <c r="N83" s="92" t="s">
        <v>137</v>
      </c>
      <c r="O83" s="92" t="s">
        <v>137</v>
      </c>
      <c r="P83" s="92" t="s">
        <v>137</v>
      </c>
      <c r="Q83" s="82" t="s">
        <v>552</v>
      </c>
      <c r="R83" s="82" t="s">
        <v>715</v>
      </c>
      <c r="S83" s="82" t="s">
        <v>555</v>
      </c>
      <c r="T83" s="82" t="s">
        <v>320</v>
      </c>
      <c r="U83" s="83">
        <v>0.95</v>
      </c>
      <c r="V83" s="83">
        <v>0.95</v>
      </c>
      <c r="W83" s="83">
        <v>0.95</v>
      </c>
      <c r="X83" s="83">
        <v>0.95</v>
      </c>
      <c r="Y83" s="83">
        <v>0.95</v>
      </c>
      <c r="Z83" s="83">
        <v>0.95</v>
      </c>
      <c r="AA83" s="83">
        <v>0.95</v>
      </c>
      <c r="AB83" s="83">
        <v>0.95</v>
      </c>
      <c r="AC83" s="83">
        <v>0.95</v>
      </c>
      <c r="AD83" s="83">
        <v>0.95</v>
      </c>
      <c r="AE83" s="83">
        <v>0.95</v>
      </c>
      <c r="AF83" s="83">
        <v>0.95</v>
      </c>
      <c r="AG83" s="82" t="s">
        <v>779</v>
      </c>
      <c r="AH83" s="82" t="s">
        <v>530</v>
      </c>
      <c r="AI83" s="88" t="s">
        <v>538</v>
      </c>
      <c r="AJ83" s="89" t="s">
        <v>538</v>
      </c>
      <c r="AK83" s="90">
        <v>46023</v>
      </c>
      <c r="AL83" s="90">
        <v>46387</v>
      </c>
      <c r="AM83" s="89"/>
      <c r="AN83" s="89"/>
      <c r="AO83" s="89"/>
      <c r="AP83" s="91" t="s">
        <v>542</v>
      </c>
      <c r="AQ83" s="90" cm="1">
        <f t="array" ref="AQ83">IFERROR(DATE(2026, _xlfn.AGGREGATE(15, 6, (COLUMN(BY83:CJ83)-COLUMN(BY83)+1)/(BY83:CJ83&lt;&gt;0), 1), 1),"N/A")</f>
        <v>46054</v>
      </c>
      <c r="AR83" s="90" cm="1">
        <f t="array" ref="AR83">IFERROR(EOMONTH(DATE(2026, _xlfn.AGGREGATE(14, 6, (COLUMN(BY83:CJ83)-COLUMN(BY83)+1)/(BY83:CJ83&lt;&gt;0), 1), 1), 0),"N/A")</f>
        <v>46387</v>
      </c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2" t="s">
        <v>660</v>
      </c>
      <c r="BF83" s="82" t="s">
        <v>736</v>
      </c>
      <c r="BG83" s="82" t="str">
        <f t="shared" si="6"/>
        <v>000</v>
      </c>
      <c r="BH83" s="88">
        <v>630207</v>
      </c>
      <c r="BI83" s="92" t="s">
        <v>74</v>
      </c>
      <c r="BJ83" s="93">
        <v>84951.1</v>
      </c>
      <c r="BK83" s="94">
        <v>2000</v>
      </c>
      <c r="BL83" s="94">
        <v>6000</v>
      </c>
      <c r="BM83" s="94">
        <v>6000</v>
      </c>
      <c r="BN83" s="72">
        <v>6000</v>
      </c>
      <c r="BO83" s="94">
        <v>6000</v>
      </c>
      <c r="BP83" s="94">
        <v>10000</v>
      </c>
      <c r="BQ83" s="94">
        <v>10000</v>
      </c>
      <c r="BR83" s="94">
        <v>10000</v>
      </c>
      <c r="BS83" s="94">
        <v>10000</v>
      </c>
      <c r="BT83" s="94">
        <v>6000</v>
      </c>
      <c r="BU83" s="94">
        <v>6000</v>
      </c>
      <c r="BV83" s="142">
        <v>6951.1</v>
      </c>
      <c r="BW83" s="142"/>
      <c r="BX83" s="143">
        <f t="shared" si="11"/>
        <v>84951.1</v>
      </c>
      <c r="BY83" s="94"/>
      <c r="BZ83" s="94">
        <v>4000</v>
      </c>
      <c r="CA83" s="94">
        <v>4000</v>
      </c>
      <c r="CB83" s="94">
        <v>4000</v>
      </c>
      <c r="CC83" s="94">
        <v>4000</v>
      </c>
      <c r="CD83" s="94">
        <v>12000</v>
      </c>
      <c r="CE83" s="94">
        <v>12000</v>
      </c>
      <c r="CF83" s="94">
        <v>12000</v>
      </c>
      <c r="CG83" s="94">
        <v>6000</v>
      </c>
      <c r="CH83" s="94">
        <v>6000</v>
      </c>
      <c r="CI83" s="94">
        <v>10475.549999999999</v>
      </c>
      <c r="CJ83" s="94">
        <v>5790.73</v>
      </c>
      <c r="CK83" s="173">
        <v>4684.82</v>
      </c>
      <c r="CL83" s="142">
        <f t="shared" si="7"/>
        <v>0</v>
      </c>
      <c r="CM83" s="171">
        <v>0</v>
      </c>
      <c r="CN83" s="171">
        <v>0</v>
      </c>
      <c r="CO83" s="171">
        <v>80266.28</v>
      </c>
      <c r="CP83" s="171">
        <v>0</v>
      </c>
      <c r="CQ83" s="171">
        <v>0</v>
      </c>
      <c r="CR83" s="171">
        <v>0</v>
      </c>
      <c r="CS83" s="171">
        <f t="shared" si="8"/>
        <v>0</v>
      </c>
      <c r="CT83" s="171">
        <f t="shared" si="9"/>
        <v>0</v>
      </c>
      <c r="CU83" s="171">
        <f t="shared" si="10"/>
        <v>80266.28</v>
      </c>
      <c r="CV83" s="149"/>
      <c r="CW83" s="149"/>
      <c r="CX83" s="130"/>
      <c r="CY83" s="130"/>
      <c r="CZ83" s="130"/>
      <c r="DA83" s="130"/>
      <c r="DB83" s="130"/>
      <c r="DC83" s="130"/>
      <c r="DD83" s="130" t="s">
        <v>848</v>
      </c>
      <c r="DE83" s="130"/>
      <c r="DF83" s="130"/>
      <c r="DG83" s="130"/>
      <c r="DH83" s="130"/>
      <c r="DI83" s="130"/>
      <c r="DJ83" s="130"/>
      <c r="DK83" s="130"/>
      <c r="DL83" s="130"/>
      <c r="DM83" s="130"/>
      <c r="DN83" s="130"/>
      <c r="DO83" s="130"/>
      <c r="DP83" s="130"/>
      <c r="DQ83" s="130"/>
      <c r="DR83" s="130"/>
      <c r="DS83" s="130"/>
      <c r="DT83" s="130"/>
      <c r="DU83" s="130"/>
      <c r="DV83" s="130"/>
      <c r="DW83" s="130"/>
      <c r="DX83" s="130"/>
      <c r="DY83" s="130"/>
      <c r="DZ83" s="130"/>
      <c r="EA83" s="130"/>
      <c r="EB83" s="130"/>
      <c r="EC83" s="130"/>
      <c r="ED83" s="130"/>
      <c r="EE83" s="130"/>
      <c r="EF83" s="130"/>
      <c r="EG83" s="130"/>
      <c r="EH83" s="130"/>
      <c r="EI83" s="130"/>
      <c r="EJ83" s="130"/>
      <c r="EK83" s="130"/>
      <c r="EL83" s="130"/>
      <c r="EM83" s="130"/>
      <c r="EN83" s="130"/>
      <c r="EO83" s="130"/>
      <c r="EP83" s="130"/>
      <c r="EQ83" s="130"/>
      <c r="ER83" s="130"/>
      <c r="ES83" s="130"/>
      <c r="ET83" s="130"/>
      <c r="EU83" s="130"/>
      <c r="EV83" s="130"/>
      <c r="EW83" s="130"/>
      <c r="EX83" s="130"/>
      <c r="EY83" s="130"/>
      <c r="EZ83" s="130"/>
      <c r="FA83" s="130"/>
      <c r="FB83" s="201"/>
      <c r="FC83" s="201"/>
      <c r="FD83" s="201"/>
      <c r="FE83" s="201"/>
      <c r="FF83" s="201"/>
      <c r="FG83" s="201"/>
      <c r="FH83" s="201"/>
      <c r="FI83" s="201"/>
      <c r="FJ83" s="201"/>
      <c r="FK83" s="201"/>
      <c r="FL83" s="201"/>
      <c r="FM83" s="201"/>
      <c r="FN83" s="201"/>
      <c r="FO83" s="201"/>
      <c r="FP83" s="201"/>
      <c r="FQ83" s="201"/>
      <c r="FR83" s="201"/>
      <c r="FS83" s="201"/>
      <c r="FT83" s="201"/>
      <c r="FU83" s="201"/>
      <c r="FV83" s="201"/>
      <c r="FW83" s="201"/>
      <c r="FX83" s="201"/>
      <c r="FY83" s="201"/>
      <c r="FZ83" s="201"/>
      <c r="GA83" s="201"/>
      <c r="GB83" s="201"/>
      <c r="GC83" s="201"/>
      <c r="GD83" s="201"/>
      <c r="GE83" s="201"/>
      <c r="GF83" s="201"/>
      <c r="GG83" s="201"/>
      <c r="GH83" s="201"/>
      <c r="GI83" s="201"/>
      <c r="GJ83" s="201"/>
      <c r="GK83" s="201"/>
      <c r="GL83" s="201"/>
      <c r="GM83" s="201"/>
      <c r="GN83" s="201"/>
      <c r="GO83" s="201"/>
      <c r="GP83" s="201"/>
      <c r="GQ83" s="201"/>
    </row>
    <row r="84" spans="1:204" s="68" customFormat="1" ht="14.45" customHeight="1" x14ac:dyDescent="0.25">
      <c r="A84" s="68" t="s">
        <v>697</v>
      </c>
      <c r="B84" s="82" t="s">
        <v>154</v>
      </c>
      <c r="C84" s="82" t="s">
        <v>172</v>
      </c>
      <c r="D84" s="95" t="s">
        <v>196</v>
      </c>
      <c r="E84" s="82" t="s">
        <v>309</v>
      </c>
      <c r="F84" s="82" t="s">
        <v>549</v>
      </c>
      <c r="G84" s="82" t="s">
        <v>137</v>
      </c>
      <c r="H84" s="82" t="s">
        <v>137</v>
      </c>
      <c r="I84" s="82" t="s">
        <v>66</v>
      </c>
      <c r="J84" s="82" t="s">
        <v>531</v>
      </c>
      <c r="K84" s="92" t="s">
        <v>137</v>
      </c>
      <c r="L84" s="92" t="s">
        <v>137</v>
      </c>
      <c r="M84" s="92" t="s">
        <v>137</v>
      </c>
      <c r="N84" s="92" t="s">
        <v>137</v>
      </c>
      <c r="O84" s="92" t="s">
        <v>137</v>
      </c>
      <c r="P84" s="92" t="s">
        <v>137</v>
      </c>
      <c r="Q84" s="82" t="s">
        <v>552</v>
      </c>
      <c r="R84" s="82" t="s">
        <v>715</v>
      </c>
      <c r="S84" s="82" t="s">
        <v>555</v>
      </c>
      <c r="T84" s="82" t="s">
        <v>320</v>
      </c>
      <c r="U84" s="83">
        <v>0.95</v>
      </c>
      <c r="V84" s="83">
        <v>0.95</v>
      </c>
      <c r="W84" s="83">
        <v>0.95</v>
      </c>
      <c r="X84" s="83">
        <v>0.95</v>
      </c>
      <c r="Y84" s="83">
        <v>0.95</v>
      </c>
      <c r="Z84" s="83">
        <v>0.95</v>
      </c>
      <c r="AA84" s="83">
        <v>0.95</v>
      </c>
      <c r="AB84" s="83">
        <v>0.95</v>
      </c>
      <c r="AC84" s="83">
        <v>0.95</v>
      </c>
      <c r="AD84" s="83">
        <v>0.95</v>
      </c>
      <c r="AE84" s="83">
        <v>0.95</v>
      </c>
      <c r="AF84" s="83">
        <v>0.95</v>
      </c>
      <c r="AG84" s="82" t="s">
        <v>779</v>
      </c>
      <c r="AH84" s="82" t="s">
        <v>530</v>
      </c>
      <c r="AI84" s="88" t="s">
        <v>538</v>
      </c>
      <c r="AJ84" s="89" t="s">
        <v>538</v>
      </c>
      <c r="AK84" s="90">
        <v>46023</v>
      </c>
      <c r="AL84" s="90">
        <v>46387</v>
      </c>
      <c r="AM84" s="89"/>
      <c r="AN84" s="89"/>
      <c r="AO84" s="89"/>
      <c r="AP84" s="91" t="s">
        <v>542</v>
      </c>
      <c r="AQ84" s="90" cm="1">
        <f t="array" ref="AQ84">IFERROR(DATE(2026, _xlfn.AGGREGATE(15, 6, (COLUMN(BY84:CJ84)-COLUMN(BY84)+1)/(BY84:CJ84&lt;&gt;0), 1), 1),"N/A")</f>
        <v>46054</v>
      </c>
      <c r="AR84" s="90" cm="1">
        <f t="array" ref="AR84">IFERROR(EOMONTH(DATE(2026, _xlfn.AGGREGATE(14, 6, (COLUMN(BY84:CJ84)-COLUMN(BY84)+1)/(BY84:CJ84&lt;&gt;0), 1), 1), 0),"N/A")</f>
        <v>46295</v>
      </c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2" t="s">
        <v>660</v>
      </c>
      <c r="BF84" s="82" t="s">
        <v>737</v>
      </c>
      <c r="BG84" s="82" t="str">
        <f t="shared" si="6"/>
        <v>000</v>
      </c>
      <c r="BH84" s="88">
        <v>630207</v>
      </c>
      <c r="BI84" s="92" t="s">
        <v>74</v>
      </c>
      <c r="BJ84" s="93">
        <v>84951.1</v>
      </c>
      <c r="BK84" s="74">
        <v>0</v>
      </c>
      <c r="BL84" s="94">
        <v>10000</v>
      </c>
      <c r="BM84" s="94">
        <v>10000</v>
      </c>
      <c r="BN84" s="72">
        <v>10000</v>
      </c>
      <c r="BO84" s="94">
        <v>10000</v>
      </c>
      <c r="BP84" s="94">
        <v>15000</v>
      </c>
      <c r="BQ84" s="94">
        <v>15000</v>
      </c>
      <c r="BR84" s="94">
        <v>10000</v>
      </c>
      <c r="BS84" s="94">
        <v>4951.1000000000004</v>
      </c>
      <c r="BT84" s="74">
        <v>0</v>
      </c>
      <c r="BU84" s="74">
        <v>0</v>
      </c>
      <c r="BV84" s="143">
        <v>0</v>
      </c>
      <c r="BW84" s="143"/>
      <c r="BX84" s="143">
        <f t="shared" si="11"/>
        <v>84951.1</v>
      </c>
      <c r="BY84" s="74">
        <v>0</v>
      </c>
      <c r="BZ84" s="94">
        <v>10000</v>
      </c>
      <c r="CA84" s="94">
        <v>10000</v>
      </c>
      <c r="CB84" s="72">
        <v>10000</v>
      </c>
      <c r="CC84" s="94">
        <v>10000</v>
      </c>
      <c r="CD84" s="94">
        <v>15000</v>
      </c>
      <c r="CE84" s="94">
        <v>15000</v>
      </c>
      <c r="CF84" s="94">
        <v>10000</v>
      </c>
      <c r="CG84" s="94">
        <v>266.27999999999997</v>
      </c>
      <c r="CH84" s="74">
        <v>0</v>
      </c>
      <c r="CI84" s="74">
        <v>0</v>
      </c>
      <c r="CJ84" s="143">
        <v>0</v>
      </c>
      <c r="CK84" s="143">
        <v>4684.82</v>
      </c>
      <c r="CL84" s="142">
        <f t="shared" si="7"/>
        <v>0</v>
      </c>
      <c r="CM84" s="171">
        <v>0</v>
      </c>
      <c r="CN84" s="171">
        <v>0</v>
      </c>
      <c r="CO84" s="171">
        <v>80266.28</v>
      </c>
      <c r="CP84" s="171">
        <v>0</v>
      </c>
      <c r="CQ84" s="171">
        <v>0</v>
      </c>
      <c r="CR84" s="171">
        <v>0</v>
      </c>
      <c r="CS84" s="171">
        <f t="shared" si="8"/>
        <v>0</v>
      </c>
      <c r="CT84" s="171">
        <f t="shared" si="9"/>
        <v>0</v>
      </c>
      <c r="CU84" s="171">
        <f t="shared" si="10"/>
        <v>80266.28</v>
      </c>
      <c r="CV84" s="149"/>
      <c r="CW84" s="149"/>
      <c r="CX84" s="130"/>
      <c r="CY84" s="130"/>
      <c r="CZ84" s="130"/>
      <c r="DA84" s="130"/>
      <c r="DB84" s="130"/>
      <c r="DC84" s="130"/>
      <c r="DD84" s="130" t="s">
        <v>848</v>
      </c>
      <c r="DE84" s="130"/>
      <c r="DF84" s="130"/>
      <c r="DG84" s="130"/>
      <c r="DH84" s="130"/>
      <c r="DI84" s="130"/>
      <c r="DJ84" s="130"/>
      <c r="DK84" s="130"/>
      <c r="DL84" s="130"/>
      <c r="DM84" s="130"/>
      <c r="DN84" s="130"/>
      <c r="DO84" s="130"/>
      <c r="DP84" s="130"/>
      <c r="DQ84" s="130"/>
      <c r="DR84" s="130"/>
      <c r="DS84" s="130"/>
      <c r="DT84" s="130"/>
      <c r="DU84" s="130"/>
      <c r="DV84" s="130"/>
      <c r="DW84" s="130"/>
      <c r="DX84" s="130"/>
      <c r="DY84" s="130"/>
      <c r="DZ84" s="130"/>
      <c r="EA84" s="130"/>
      <c r="EB84" s="130"/>
      <c r="EC84" s="130"/>
      <c r="ED84" s="130"/>
      <c r="EE84" s="130"/>
      <c r="EF84" s="130"/>
      <c r="EG84" s="130"/>
      <c r="EH84" s="130"/>
      <c r="EI84" s="130"/>
      <c r="EJ84" s="130"/>
      <c r="EK84" s="130"/>
      <c r="EL84" s="130"/>
      <c r="EM84" s="130"/>
      <c r="EN84" s="130"/>
      <c r="EO84" s="130"/>
      <c r="EP84" s="130"/>
      <c r="EQ84" s="130"/>
      <c r="ER84" s="130"/>
      <c r="ES84" s="130"/>
      <c r="ET84" s="130"/>
      <c r="EU84" s="130"/>
      <c r="EV84" s="130"/>
      <c r="EW84" s="130"/>
      <c r="EX84" s="130"/>
      <c r="EY84" s="130"/>
      <c r="EZ84" s="130"/>
      <c r="FA84" s="130"/>
      <c r="FB84" s="201"/>
      <c r="FC84" s="201"/>
      <c r="FD84" s="201"/>
      <c r="FE84" s="201"/>
      <c r="FF84" s="201"/>
      <c r="FG84" s="201"/>
      <c r="FH84" s="201"/>
      <c r="FI84" s="201"/>
      <c r="FJ84" s="201"/>
      <c r="FK84" s="201"/>
      <c r="FL84" s="201"/>
      <c r="FM84" s="201"/>
      <c r="FN84" s="201"/>
      <c r="FO84" s="201"/>
      <c r="FP84" s="201"/>
      <c r="FQ84" s="201"/>
      <c r="FR84" s="201"/>
      <c r="FS84" s="201"/>
      <c r="FT84" s="201"/>
      <c r="FU84" s="201"/>
      <c r="FV84" s="201"/>
      <c r="FW84" s="201"/>
      <c r="FX84" s="201"/>
      <c r="FY84" s="201"/>
      <c r="FZ84" s="201"/>
      <c r="GA84" s="201"/>
      <c r="GB84" s="201"/>
      <c r="GC84" s="201"/>
      <c r="GD84" s="201"/>
      <c r="GE84" s="201"/>
      <c r="GF84" s="201"/>
      <c r="GG84" s="201"/>
      <c r="GH84" s="201"/>
      <c r="GI84" s="201"/>
      <c r="GJ84" s="201"/>
      <c r="GK84" s="201"/>
      <c r="GL84" s="201"/>
      <c r="GM84" s="201"/>
      <c r="GN84" s="201"/>
      <c r="GO84" s="201"/>
      <c r="GP84" s="201"/>
      <c r="GQ84" s="201"/>
    </row>
    <row r="85" spans="1:204" s="68" customFormat="1" ht="14.45" customHeight="1" x14ac:dyDescent="0.25">
      <c r="A85" s="68" t="s">
        <v>697</v>
      </c>
      <c r="B85" s="82" t="s">
        <v>154</v>
      </c>
      <c r="C85" s="82" t="s">
        <v>172</v>
      </c>
      <c r="D85" s="95" t="s">
        <v>196</v>
      </c>
      <c r="E85" s="82" t="s">
        <v>309</v>
      </c>
      <c r="F85" s="82" t="s">
        <v>549</v>
      </c>
      <c r="G85" s="82" t="s">
        <v>137</v>
      </c>
      <c r="H85" s="82" t="s">
        <v>137</v>
      </c>
      <c r="I85" s="82" t="s">
        <v>66</v>
      </c>
      <c r="J85" s="82" t="s">
        <v>531</v>
      </c>
      <c r="K85" s="92" t="s">
        <v>137</v>
      </c>
      <c r="L85" s="92" t="s">
        <v>137</v>
      </c>
      <c r="M85" s="92" t="s">
        <v>137</v>
      </c>
      <c r="N85" s="92" t="s">
        <v>137</v>
      </c>
      <c r="O85" s="92" t="s">
        <v>137</v>
      </c>
      <c r="P85" s="92" t="s">
        <v>137</v>
      </c>
      <c r="Q85" s="82" t="s">
        <v>552</v>
      </c>
      <c r="R85" s="82" t="s">
        <v>715</v>
      </c>
      <c r="S85" s="82" t="s">
        <v>555</v>
      </c>
      <c r="T85" s="82" t="s">
        <v>320</v>
      </c>
      <c r="U85" s="83">
        <v>0.95</v>
      </c>
      <c r="V85" s="83">
        <v>0.95</v>
      </c>
      <c r="W85" s="83">
        <v>0.95</v>
      </c>
      <c r="X85" s="83">
        <v>0.95</v>
      </c>
      <c r="Y85" s="83">
        <v>0.95</v>
      </c>
      <c r="Z85" s="83">
        <v>0.95</v>
      </c>
      <c r="AA85" s="83">
        <v>0.95</v>
      </c>
      <c r="AB85" s="83">
        <v>0.95</v>
      </c>
      <c r="AC85" s="83">
        <v>0.95</v>
      </c>
      <c r="AD85" s="83">
        <v>0.95</v>
      </c>
      <c r="AE85" s="83">
        <v>0.95</v>
      </c>
      <c r="AF85" s="83">
        <v>0.95</v>
      </c>
      <c r="AG85" s="82" t="s">
        <v>533</v>
      </c>
      <c r="AH85" s="82" t="s">
        <v>529</v>
      </c>
      <c r="AI85" s="88" t="s">
        <v>538</v>
      </c>
      <c r="AJ85" s="89" t="s">
        <v>538</v>
      </c>
      <c r="AK85" s="90">
        <v>46023</v>
      </c>
      <c r="AL85" s="90">
        <v>46387</v>
      </c>
      <c r="AM85" s="89"/>
      <c r="AN85" s="89"/>
      <c r="AO85" s="89"/>
      <c r="AP85" s="91" t="s">
        <v>542</v>
      </c>
      <c r="AQ85" s="90" t="str" cm="1">
        <f t="array" ref="AQ85">IFERROR(DATE(2026, _xlfn.AGGREGATE(15, 6, (COLUMN(BY85:CJ85)-COLUMN(BY85)+1)/(BY85:CJ85&lt;&gt;0), 1), 1),"N/A")</f>
        <v>N/A</v>
      </c>
      <c r="AR85" s="90" t="str" cm="1">
        <f t="array" ref="AR85">IFERROR(EOMONTH(DATE(2026, _xlfn.AGGREGATE(14, 6, (COLUMN(BY85:CJ85)-COLUMN(BY85)+1)/(BY85:CJ85&lt;&gt;0), 1), 1), 0),"N/A")</f>
        <v>N/A</v>
      </c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2" t="s">
        <v>668</v>
      </c>
      <c r="BF85" s="82" t="s">
        <v>1031</v>
      </c>
      <c r="BG85" s="82" t="str">
        <f t="shared" si="6"/>
        <v>000</v>
      </c>
      <c r="BH85" s="88">
        <v>630207</v>
      </c>
      <c r="BI85" s="92" t="s">
        <v>74</v>
      </c>
      <c r="BJ85" s="93">
        <v>50000</v>
      </c>
      <c r="BK85" s="74">
        <v>0</v>
      </c>
      <c r="BL85" s="74">
        <v>0</v>
      </c>
      <c r="BM85" s="74">
        <v>0</v>
      </c>
      <c r="BN85" s="74">
        <v>0</v>
      </c>
      <c r="BO85" s="74">
        <v>0</v>
      </c>
      <c r="BP85" s="74">
        <v>0</v>
      </c>
      <c r="BQ85" s="74">
        <v>0</v>
      </c>
      <c r="BR85" s="74">
        <v>0</v>
      </c>
      <c r="BS85" s="74">
        <v>0</v>
      </c>
      <c r="BT85" s="74">
        <v>0</v>
      </c>
      <c r="BU85" s="74">
        <v>0</v>
      </c>
      <c r="BV85" s="142">
        <v>50000</v>
      </c>
      <c r="BW85" s="142">
        <v>-50000</v>
      </c>
      <c r="BX85" s="143">
        <f t="shared" si="11"/>
        <v>0</v>
      </c>
      <c r="BY85" s="74">
        <v>0</v>
      </c>
      <c r="BZ85" s="74">
        <v>0</v>
      </c>
      <c r="CA85" s="74">
        <v>0</v>
      </c>
      <c r="CB85" s="74">
        <v>0</v>
      </c>
      <c r="CC85" s="74">
        <v>0</v>
      </c>
      <c r="CD85" s="74">
        <v>0</v>
      </c>
      <c r="CE85" s="74">
        <v>0</v>
      </c>
      <c r="CF85" s="74">
        <v>0</v>
      </c>
      <c r="CG85" s="74">
        <v>0</v>
      </c>
      <c r="CH85" s="74">
        <v>0</v>
      </c>
      <c r="CI85" s="74">
        <v>0</v>
      </c>
      <c r="CJ85" s="142"/>
      <c r="CK85" s="142"/>
      <c r="CL85" s="142">
        <f t="shared" si="7"/>
        <v>0</v>
      </c>
      <c r="CM85" s="171">
        <v>0</v>
      </c>
      <c r="CN85" s="171">
        <v>0</v>
      </c>
      <c r="CO85" s="171">
        <v>0</v>
      </c>
      <c r="CP85" s="171">
        <v>0</v>
      </c>
      <c r="CQ85" s="171">
        <v>0</v>
      </c>
      <c r="CR85" s="171">
        <v>0</v>
      </c>
      <c r="CS85" s="171">
        <f t="shared" si="8"/>
        <v>0</v>
      </c>
      <c r="CT85" s="171">
        <f t="shared" si="9"/>
        <v>0</v>
      </c>
      <c r="CU85" s="171">
        <f t="shared" si="10"/>
        <v>0</v>
      </c>
      <c r="CV85" s="152">
        <v>175000</v>
      </c>
      <c r="CW85" s="149">
        <v>0</v>
      </c>
      <c r="CX85" s="130">
        <v>2</v>
      </c>
      <c r="CY85" s="130">
        <v>0</v>
      </c>
      <c r="CZ85" s="130" t="s">
        <v>321</v>
      </c>
      <c r="DA85" s="130" t="s">
        <v>902</v>
      </c>
      <c r="DB85" s="130" t="s">
        <v>859</v>
      </c>
      <c r="DC85" s="130" t="s">
        <v>851</v>
      </c>
      <c r="DD85" s="130"/>
      <c r="DE85" s="131">
        <v>46147</v>
      </c>
      <c r="DF85" s="131">
        <v>46147</v>
      </c>
      <c r="DG85" s="132">
        <v>2</v>
      </c>
      <c r="DH85" s="131">
        <v>46148</v>
      </c>
      <c r="DI85" s="131">
        <v>46148</v>
      </c>
      <c r="DJ85" s="131">
        <v>46148</v>
      </c>
      <c r="DK85" s="131">
        <v>46149</v>
      </c>
      <c r="DL85" s="131">
        <v>46150</v>
      </c>
      <c r="DM85" s="131">
        <v>46153</v>
      </c>
      <c r="DN85" s="131">
        <v>46154</v>
      </c>
      <c r="DO85" s="131">
        <v>46155</v>
      </c>
      <c r="DP85" s="131">
        <v>46156</v>
      </c>
      <c r="DQ85" s="131">
        <v>46156</v>
      </c>
      <c r="DR85" s="132">
        <v>2</v>
      </c>
      <c r="DS85" s="131">
        <v>46157</v>
      </c>
      <c r="DT85" s="131">
        <v>46160</v>
      </c>
      <c r="DU85" s="131">
        <v>46161</v>
      </c>
      <c r="DV85" s="131">
        <v>46162</v>
      </c>
      <c r="DW85" s="131">
        <v>46162</v>
      </c>
      <c r="DX85" s="131">
        <v>46163</v>
      </c>
      <c r="DY85" s="131">
        <v>46163</v>
      </c>
      <c r="DZ85" s="132"/>
      <c r="EA85" s="132"/>
      <c r="EB85" s="132"/>
      <c r="EC85" s="132"/>
      <c r="ED85" s="131">
        <v>46164</v>
      </c>
      <c r="EE85" s="131">
        <v>46167</v>
      </c>
      <c r="EF85" s="131">
        <v>46167</v>
      </c>
      <c r="EG85" s="131">
        <v>46168</v>
      </c>
      <c r="EH85" s="131">
        <v>46169</v>
      </c>
      <c r="EI85" s="131">
        <v>46170</v>
      </c>
      <c r="EJ85" s="131">
        <v>46171</v>
      </c>
      <c r="EK85" s="131">
        <v>46171</v>
      </c>
      <c r="EL85" s="132">
        <v>18</v>
      </c>
      <c r="EM85" s="131">
        <v>46175</v>
      </c>
      <c r="EN85" s="131">
        <v>46177</v>
      </c>
      <c r="EO85" s="133">
        <v>46181</v>
      </c>
      <c r="EP85" s="133">
        <v>46182</v>
      </c>
      <c r="EQ85" s="133">
        <v>46183</v>
      </c>
      <c r="ER85" s="133">
        <v>46185</v>
      </c>
      <c r="ES85" s="133">
        <v>46188</v>
      </c>
      <c r="ET85" s="133">
        <v>46188</v>
      </c>
      <c r="EU85" s="133">
        <v>46191</v>
      </c>
      <c r="EV85" s="134">
        <v>2</v>
      </c>
      <c r="EW85" s="133">
        <v>46196</v>
      </c>
      <c r="EX85" s="133"/>
      <c r="EY85" s="154" t="s">
        <v>903</v>
      </c>
      <c r="EZ85" s="132" t="s">
        <v>904</v>
      </c>
      <c r="FA85" s="136" t="s">
        <v>905</v>
      </c>
      <c r="FB85" s="202" t="e">
        <v>#NUM!</v>
      </c>
      <c r="FC85" s="202" t="e">
        <v>#NUM!</v>
      </c>
      <c r="FD85" s="202" t="e">
        <v>#NUM!</v>
      </c>
      <c r="FE85" s="202" t="e">
        <v>#NUM!</v>
      </c>
      <c r="FF85" s="202" t="e">
        <v>#NUM!</v>
      </c>
      <c r="FG85" s="202" t="e">
        <v>#NUM!</v>
      </c>
      <c r="FH85" s="202" t="e">
        <v>#NUM!</v>
      </c>
      <c r="FI85" s="202" t="e">
        <v>#NUM!</v>
      </c>
      <c r="FJ85" s="202" t="e">
        <v>#NUM!</v>
      </c>
      <c r="FK85" s="202" t="e">
        <v>#NUM!</v>
      </c>
      <c r="FL85" s="202" t="e">
        <v>#NUM!</v>
      </c>
      <c r="FM85" s="202" t="e">
        <v>#NUM!</v>
      </c>
      <c r="FN85" s="202" t="e">
        <v>#NUM!</v>
      </c>
      <c r="FO85" s="202" t="e">
        <v>#NUM!</v>
      </c>
      <c r="FP85" s="202" t="e">
        <v>#NUM!</v>
      </c>
      <c r="FQ85" s="202" t="e">
        <v>#NUM!</v>
      </c>
      <c r="FR85" s="202" t="e">
        <v>#NUM!</v>
      </c>
      <c r="FS85" s="202" t="e">
        <v>#NUM!</v>
      </c>
      <c r="FT85" s="202" t="e">
        <v>#NUM!</v>
      </c>
      <c r="FU85" s="202"/>
      <c r="FV85" s="202"/>
      <c r="FW85" s="202"/>
      <c r="FX85" s="202"/>
      <c r="FY85" s="202" t="e">
        <v>#NUM!</v>
      </c>
      <c r="FZ85" s="202" t="e">
        <v>#NUM!</v>
      </c>
      <c r="GA85" s="202" t="e">
        <v>#NUM!</v>
      </c>
      <c r="GB85" s="202" t="e">
        <v>#NUM!</v>
      </c>
      <c r="GC85" s="202" t="e">
        <v>#NUM!</v>
      </c>
      <c r="GD85" s="202" t="e">
        <v>#NUM!</v>
      </c>
      <c r="GE85" s="202" t="e">
        <v>#NUM!</v>
      </c>
      <c r="GF85" s="202"/>
      <c r="GG85" s="202">
        <v>18</v>
      </c>
      <c r="GH85" s="202">
        <v>3</v>
      </c>
      <c r="GI85" s="202">
        <v>5</v>
      </c>
      <c r="GJ85" s="202">
        <v>9</v>
      </c>
      <c r="GK85" s="202">
        <v>10</v>
      </c>
      <c r="GL85" s="202">
        <v>11</v>
      </c>
      <c r="GM85" s="202">
        <v>13</v>
      </c>
      <c r="GN85" s="202">
        <v>16</v>
      </c>
      <c r="GO85" s="202">
        <v>16</v>
      </c>
      <c r="GP85" s="202">
        <v>19</v>
      </c>
      <c r="GQ85" s="202"/>
      <c r="GR85" s="189"/>
      <c r="GS85" s="189"/>
      <c r="GT85" s="189"/>
      <c r="GU85" s="189"/>
      <c r="GV85" s="189" t="s">
        <v>1165</v>
      </c>
    </row>
    <row r="86" spans="1:204" s="68" customFormat="1" ht="14.45" customHeight="1" x14ac:dyDescent="0.25">
      <c r="A86" s="68" t="s">
        <v>695</v>
      </c>
      <c r="B86" s="82" t="s">
        <v>154</v>
      </c>
      <c r="C86" s="82" t="s">
        <v>172</v>
      </c>
      <c r="D86" s="95" t="s">
        <v>196</v>
      </c>
      <c r="E86" s="82" t="s">
        <v>309</v>
      </c>
      <c r="F86" s="82" t="s">
        <v>549</v>
      </c>
      <c r="G86" s="82" t="s">
        <v>137</v>
      </c>
      <c r="H86" s="82" t="s">
        <v>137</v>
      </c>
      <c r="I86" s="82" t="s">
        <v>66</v>
      </c>
      <c r="J86" s="82" t="s">
        <v>531</v>
      </c>
      <c r="K86" s="92" t="s">
        <v>137</v>
      </c>
      <c r="L86" s="92" t="s">
        <v>137</v>
      </c>
      <c r="M86" s="92" t="s">
        <v>137</v>
      </c>
      <c r="N86" s="92" t="s">
        <v>137</v>
      </c>
      <c r="O86" s="92" t="s">
        <v>137</v>
      </c>
      <c r="P86" s="92" t="s">
        <v>137</v>
      </c>
      <c r="Q86" s="82" t="s">
        <v>552</v>
      </c>
      <c r="R86" s="82" t="s">
        <v>715</v>
      </c>
      <c r="S86" s="82" t="s">
        <v>555</v>
      </c>
      <c r="T86" s="82" t="s">
        <v>320</v>
      </c>
      <c r="U86" s="83">
        <v>0.95</v>
      </c>
      <c r="V86" s="83">
        <v>0.95</v>
      </c>
      <c r="W86" s="83">
        <v>0.95</v>
      </c>
      <c r="X86" s="83">
        <v>0.95</v>
      </c>
      <c r="Y86" s="83">
        <v>0.95</v>
      </c>
      <c r="Z86" s="83">
        <v>0.95</v>
      </c>
      <c r="AA86" s="83">
        <v>0.95</v>
      </c>
      <c r="AB86" s="83">
        <v>0.95</v>
      </c>
      <c r="AC86" s="83">
        <v>0.95</v>
      </c>
      <c r="AD86" s="83">
        <v>0.95</v>
      </c>
      <c r="AE86" s="83">
        <v>0.95</v>
      </c>
      <c r="AF86" s="83">
        <v>0.95</v>
      </c>
      <c r="AG86" s="82" t="s">
        <v>779</v>
      </c>
      <c r="AH86" s="82" t="s">
        <v>530</v>
      </c>
      <c r="AI86" s="88" t="s">
        <v>538</v>
      </c>
      <c r="AJ86" s="89" t="s">
        <v>538</v>
      </c>
      <c r="AK86" s="90">
        <v>46023</v>
      </c>
      <c r="AL86" s="90">
        <v>46387</v>
      </c>
      <c r="AM86" s="89"/>
      <c r="AN86" s="89"/>
      <c r="AO86" s="89"/>
      <c r="AP86" s="91" t="s">
        <v>542</v>
      </c>
      <c r="AQ86" s="90" cm="1">
        <f t="array" ref="AQ86">IFERROR(DATE(2026, _xlfn.AGGREGATE(15, 6, (COLUMN(BY86:CJ86)-COLUMN(BY86)+1)/(BY86:CJ86&lt;&gt;0), 1), 1),"N/A")</f>
        <v>46174</v>
      </c>
      <c r="AR86" s="90" cm="1">
        <f t="array" ref="AR86">IFERROR(EOMONTH(DATE(2026, _xlfn.AGGREGATE(14, 6, (COLUMN(BY86:CJ86)-COLUMN(BY86)+1)/(BY86:CJ86&lt;&gt;0), 1), 1), 0),"N/A")</f>
        <v>46203</v>
      </c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2" t="s">
        <v>660</v>
      </c>
      <c r="BF86" s="82" t="s">
        <v>739</v>
      </c>
      <c r="BG86" s="82" t="str">
        <f t="shared" si="6"/>
        <v>000</v>
      </c>
      <c r="BH86" s="88">
        <v>630207</v>
      </c>
      <c r="BI86" s="92" t="s">
        <v>74</v>
      </c>
      <c r="BJ86" s="93">
        <v>25485.23</v>
      </c>
      <c r="BK86" s="74">
        <v>0</v>
      </c>
      <c r="BL86" s="74">
        <v>0</v>
      </c>
      <c r="BM86" s="74">
        <v>0</v>
      </c>
      <c r="BN86" s="74">
        <v>0</v>
      </c>
      <c r="BO86" s="74">
        <v>0</v>
      </c>
      <c r="BP86" s="94">
        <v>25485.23</v>
      </c>
      <c r="BQ86" s="74">
        <v>0</v>
      </c>
      <c r="BR86" s="74">
        <v>0</v>
      </c>
      <c r="BS86" s="74">
        <v>0</v>
      </c>
      <c r="BT86" s="74">
        <v>0</v>
      </c>
      <c r="BU86" s="74">
        <v>0</v>
      </c>
      <c r="BV86" s="143">
        <v>0</v>
      </c>
      <c r="BW86" s="143"/>
      <c r="BX86" s="143">
        <f t="shared" si="11"/>
        <v>25485.23</v>
      </c>
      <c r="BY86" s="74">
        <v>0</v>
      </c>
      <c r="BZ86" s="74">
        <v>0</v>
      </c>
      <c r="CA86" s="74">
        <v>0</v>
      </c>
      <c r="CB86" s="74">
        <v>0</v>
      </c>
      <c r="CC86" s="74">
        <v>0</v>
      </c>
      <c r="CD86" s="94">
        <v>24079.9</v>
      </c>
      <c r="CE86" s="74">
        <v>0</v>
      </c>
      <c r="CF86" s="74">
        <v>0</v>
      </c>
      <c r="CG86" s="74">
        <v>0</v>
      </c>
      <c r="CH86" s="74">
        <v>0</v>
      </c>
      <c r="CI86" s="74">
        <v>0</v>
      </c>
      <c r="CJ86" s="143">
        <v>0</v>
      </c>
      <c r="CK86" s="143">
        <v>1405.33</v>
      </c>
      <c r="CL86" s="142">
        <f t="shared" si="7"/>
        <v>0</v>
      </c>
      <c r="CM86" s="171">
        <v>0</v>
      </c>
      <c r="CN86" s="171">
        <v>0</v>
      </c>
      <c r="CO86" s="171">
        <v>24079.9</v>
      </c>
      <c r="CP86" s="171">
        <v>0</v>
      </c>
      <c r="CQ86" s="171">
        <v>0</v>
      </c>
      <c r="CR86" s="171">
        <v>0</v>
      </c>
      <c r="CS86" s="171">
        <f t="shared" si="8"/>
        <v>0</v>
      </c>
      <c r="CT86" s="171">
        <f t="shared" si="9"/>
        <v>0</v>
      </c>
      <c r="CU86" s="171">
        <f t="shared" si="10"/>
        <v>24079.9</v>
      </c>
      <c r="CV86" s="149"/>
      <c r="CW86" s="149"/>
      <c r="CX86" s="130"/>
      <c r="CY86" s="130"/>
      <c r="CZ86" s="130"/>
      <c r="DA86" s="130"/>
      <c r="DB86" s="130"/>
      <c r="DC86" s="130"/>
      <c r="DD86" s="130" t="s">
        <v>848</v>
      </c>
      <c r="DE86" s="130"/>
      <c r="DF86" s="130"/>
      <c r="DG86" s="130"/>
      <c r="DH86" s="130"/>
      <c r="DI86" s="130"/>
      <c r="DJ86" s="130"/>
      <c r="DK86" s="130"/>
      <c r="DL86" s="130"/>
      <c r="DM86" s="130"/>
      <c r="DN86" s="130"/>
      <c r="DO86" s="130"/>
      <c r="DP86" s="130"/>
      <c r="DQ86" s="130"/>
      <c r="DR86" s="130"/>
      <c r="DS86" s="130"/>
      <c r="DT86" s="130"/>
      <c r="DU86" s="130"/>
      <c r="DV86" s="130"/>
      <c r="DW86" s="130"/>
      <c r="DX86" s="130"/>
      <c r="DY86" s="130"/>
      <c r="DZ86" s="130"/>
      <c r="EA86" s="130"/>
      <c r="EB86" s="130"/>
      <c r="EC86" s="130"/>
      <c r="ED86" s="130"/>
      <c r="EE86" s="130"/>
      <c r="EF86" s="130"/>
      <c r="EG86" s="130"/>
      <c r="EH86" s="130"/>
      <c r="EI86" s="130"/>
      <c r="EJ86" s="130"/>
      <c r="EK86" s="130"/>
      <c r="EL86" s="130"/>
      <c r="EM86" s="130"/>
      <c r="EN86" s="130"/>
      <c r="EO86" s="130"/>
      <c r="EP86" s="130"/>
      <c r="EQ86" s="130"/>
      <c r="ER86" s="130"/>
      <c r="ES86" s="130"/>
      <c r="ET86" s="130"/>
      <c r="EU86" s="130"/>
      <c r="EV86" s="130"/>
      <c r="EW86" s="130"/>
      <c r="EX86" s="130"/>
      <c r="EY86" s="130"/>
      <c r="EZ86" s="130"/>
      <c r="FA86" s="130"/>
      <c r="FB86" s="201"/>
      <c r="FC86" s="201"/>
      <c r="FD86" s="201"/>
      <c r="FE86" s="201"/>
      <c r="FF86" s="201"/>
      <c r="FG86" s="201"/>
      <c r="FH86" s="201"/>
      <c r="FI86" s="201"/>
      <c r="FJ86" s="201"/>
      <c r="FK86" s="201"/>
      <c r="FL86" s="201"/>
      <c r="FM86" s="201"/>
      <c r="FN86" s="201"/>
      <c r="FO86" s="201"/>
      <c r="FP86" s="201"/>
      <c r="FQ86" s="201"/>
      <c r="FR86" s="201"/>
      <c r="FS86" s="201"/>
      <c r="FT86" s="201"/>
      <c r="FU86" s="201"/>
      <c r="FV86" s="201"/>
      <c r="FW86" s="201"/>
      <c r="FX86" s="201"/>
      <c r="FY86" s="201"/>
      <c r="FZ86" s="201"/>
      <c r="GA86" s="201"/>
      <c r="GB86" s="201"/>
      <c r="GC86" s="201"/>
      <c r="GD86" s="201"/>
      <c r="GE86" s="201"/>
      <c r="GF86" s="201"/>
      <c r="GG86" s="201"/>
      <c r="GH86" s="201"/>
      <c r="GI86" s="201"/>
      <c r="GJ86" s="201"/>
      <c r="GK86" s="201"/>
      <c r="GL86" s="201"/>
      <c r="GM86" s="201"/>
      <c r="GN86" s="201"/>
      <c r="GO86" s="201"/>
      <c r="GP86" s="201"/>
      <c r="GQ86" s="201"/>
    </row>
    <row r="87" spans="1:204" s="68" customFormat="1" ht="14.45" customHeight="1" x14ac:dyDescent="0.25">
      <c r="A87" s="68" t="s">
        <v>695</v>
      </c>
      <c r="B87" s="82" t="s">
        <v>154</v>
      </c>
      <c r="C87" s="82" t="s">
        <v>172</v>
      </c>
      <c r="D87" s="95" t="s">
        <v>196</v>
      </c>
      <c r="E87" s="82" t="s">
        <v>309</v>
      </c>
      <c r="F87" s="82" t="s">
        <v>549</v>
      </c>
      <c r="G87" s="82" t="s">
        <v>137</v>
      </c>
      <c r="H87" s="82" t="s">
        <v>137</v>
      </c>
      <c r="I87" s="82" t="s">
        <v>66</v>
      </c>
      <c r="J87" s="82" t="s">
        <v>531</v>
      </c>
      <c r="K87" s="92" t="s">
        <v>137</v>
      </c>
      <c r="L87" s="92" t="s">
        <v>137</v>
      </c>
      <c r="M87" s="92" t="s">
        <v>137</v>
      </c>
      <c r="N87" s="92" t="s">
        <v>137</v>
      </c>
      <c r="O87" s="92" t="s">
        <v>137</v>
      </c>
      <c r="P87" s="92" t="s">
        <v>137</v>
      </c>
      <c r="Q87" s="82" t="s">
        <v>552</v>
      </c>
      <c r="R87" s="82" t="s">
        <v>715</v>
      </c>
      <c r="S87" s="82" t="s">
        <v>555</v>
      </c>
      <c r="T87" s="82" t="s">
        <v>320</v>
      </c>
      <c r="U87" s="83">
        <v>0.95</v>
      </c>
      <c r="V87" s="83">
        <v>0.95</v>
      </c>
      <c r="W87" s="83">
        <v>0.95</v>
      </c>
      <c r="X87" s="83">
        <v>0.95</v>
      </c>
      <c r="Y87" s="83">
        <v>0.95</v>
      </c>
      <c r="Z87" s="83">
        <v>0.95</v>
      </c>
      <c r="AA87" s="83">
        <v>0.95</v>
      </c>
      <c r="AB87" s="83">
        <v>0.95</v>
      </c>
      <c r="AC87" s="83">
        <v>0.95</v>
      </c>
      <c r="AD87" s="83">
        <v>0.95</v>
      </c>
      <c r="AE87" s="83">
        <v>0.95</v>
      </c>
      <c r="AF87" s="83">
        <v>0.95</v>
      </c>
      <c r="AG87" s="82" t="s">
        <v>533</v>
      </c>
      <c r="AH87" s="82" t="s">
        <v>529</v>
      </c>
      <c r="AI87" s="88" t="s">
        <v>538</v>
      </c>
      <c r="AJ87" s="89" t="s">
        <v>538</v>
      </c>
      <c r="AK87" s="90">
        <v>46023</v>
      </c>
      <c r="AL87" s="90">
        <v>46387</v>
      </c>
      <c r="AM87" s="89"/>
      <c r="AN87" s="89"/>
      <c r="AO87" s="89"/>
      <c r="AP87" s="91" t="s">
        <v>542</v>
      </c>
      <c r="AQ87" s="90" t="str" cm="1">
        <f t="array" ref="AQ87">IFERROR(DATE(2026, _xlfn.AGGREGATE(15, 6, (COLUMN(BY87:CJ87)-COLUMN(BY87)+1)/(BY87:CJ87&lt;&gt;0), 1), 1),"N/A")</f>
        <v>N/A</v>
      </c>
      <c r="AR87" s="90" t="str" cm="1">
        <f t="array" ref="AR87">IFERROR(EOMONTH(DATE(2026, _xlfn.AGGREGATE(14, 6, (COLUMN(BY87:CJ87)-COLUMN(BY87)+1)/(BY87:CJ87&lt;&gt;0), 1), 1), 0),"N/A")</f>
        <v>N/A</v>
      </c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2" t="s">
        <v>668</v>
      </c>
      <c r="BF87" s="82" t="s">
        <v>1032</v>
      </c>
      <c r="BG87" s="82" t="str">
        <f t="shared" si="6"/>
        <v>001</v>
      </c>
      <c r="BH87" s="88">
        <v>630207</v>
      </c>
      <c r="BI87" s="92" t="s">
        <v>74</v>
      </c>
      <c r="BJ87" s="93">
        <v>40000</v>
      </c>
      <c r="BK87" s="74">
        <v>0</v>
      </c>
      <c r="BL87" s="74">
        <v>0</v>
      </c>
      <c r="BM87" s="74">
        <v>0</v>
      </c>
      <c r="BN87" s="74">
        <v>0</v>
      </c>
      <c r="BO87" s="74">
        <v>0</v>
      </c>
      <c r="BP87" s="74">
        <v>0</v>
      </c>
      <c r="BQ87" s="94">
        <v>15000</v>
      </c>
      <c r="BR87" s="94">
        <v>25000</v>
      </c>
      <c r="BS87" s="74">
        <v>0</v>
      </c>
      <c r="BT87" s="74">
        <v>0</v>
      </c>
      <c r="BU87" s="74">
        <v>0</v>
      </c>
      <c r="BV87" s="143">
        <v>0</v>
      </c>
      <c r="BW87" s="143">
        <v>-40000</v>
      </c>
      <c r="BX87" s="143">
        <f t="shared" si="11"/>
        <v>0</v>
      </c>
      <c r="BY87" s="74">
        <v>0</v>
      </c>
      <c r="BZ87" s="74">
        <v>0</v>
      </c>
      <c r="CA87" s="74">
        <v>0</v>
      </c>
      <c r="CB87" s="74">
        <v>0</v>
      </c>
      <c r="CC87" s="74">
        <v>0</v>
      </c>
      <c r="CD87" s="74">
        <v>0</v>
      </c>
      <c r="CE87" s="94"/>
      <c r="CF87" s="94"/>
      <c r="CG87" s="74">
        <v>0</v>
      </c>
      <c r="CH87" s="74">
        <v>0</v>
      </c>
      <c r="CI87" s="74">
        <v>0</v>
      </c>
      <c r="CJ87" s="143">
        <v>0</v>
      </c>
      <c r="CK87" s="143"/>
      <c r="CL87" s="142">
        <f t="shared" si="7"/>
        <v>0</v>
      </c>
      <c r="CM87" s="171">
        <v>0</v>
      </c>
      <c r="CN87" s="171">
        <v>0</v>
      </c>
      <c r="CO87" s="171">
        <v>0</v>
      </c>
      <c r="CP87" s="171">
        <v>0</v>
      </c>
      <c r="CQ87" s="171">
        <v>0</v>
      </c>
      <c r="CR87" s="171">
        <v>0</v>
      </c>
      <c r="CS87" s="171">
        <f t="shared" si="8"/>
        <v>0</v>
      </c>
      <c r="CT87" s="171">
        <f t="shared" si="9"/>
        <v>0</v>
      </c>
      <c r="CU87" s="171">
        <f t="shared" si="10"/>
        <v>0</v>
      </c>
      <c r="CV87" s="149"/>
      <c r="CW87" s="149"/>
      <c r="CX87" s="130"/>
      <c r="CY87" s="130"/>
      <c r="CZ87" s="130"/>
      <c r="DA87" s="130"/>
      <c r="DB87" s="130"/>
      <c r="DC87" s="130"/>
      <c r="DD87" s="130"/>
      <c r="DE87" s="130"/>
      <c r="DF87" s="130"/>
      <c r="DG87" s="130"/>
      <c r="DH87" s="130"/>
      <c r="DI87" s="130"/>
      <c r="DJ87" s="130"/>
      <c r="DK87" s="130"/>
      <c r="DL87" s="130"/>
      <c r="DM87" s="130"/>
      <c r="DN87" s="130"/>
      <c r="DO87" s="130"/>
      <c r="DP87" s="130"/>
      <c r="DQ87" s="130"/>
      <c r="DR87" s="130"/>
      <c r="DS87" s="130"/>
      <c r="DT87" s="130"/>
      <c r="DU87" s="130"/>
      <c r="DV87" s="130"/>
      <c r="DW87" s="130"/>
      <c r="DX87" s="130"/>
      <c r="DY87" s="130"/>
      <c r="DZ87" s="130"/>
      <c r="EA87" s="130"/>
      <c r="EB87" s="130"/>
      <c r="EC87" s="130"/>
      <c r="ED87" s="130"/>
      <c r="EE87" s="130"/>
      <c r="EF87" s="130"/>
      <c r="EG87" s="130"/>
      <c r="EH87" s="130"/>
      <c r="EI87" s="130"/>
      <c r="EJ87" s="130"/>
      <c r="EK87" s="130"/>
      <c r="EL87" s="130"/>
      <c r="EM87" s="130"/>
      <c r="EN87" s="130"/>
      <c r="EO87" s="130"/>
      <c r="EP87" s="130"/>
      <c r="EQ87" s="130"/>
      <c r="ER87" s="130"/>
      <c r="ES87" s="130"/>
      <c r="ET87" s="130"/>
      <c r="EU87" s="130"/>
      <c r="EV87" s="130"/>
      <c r="EW87" s="130"/>
      <c r="EX87" s="130"/>
      <c r="EY87" s="130"/>
      <c r="EZ87" s="130"/>
      <c r="FA87" s="130"/>
      <c r="FB87" s="201"/>
      <c r="FC87" s="201"/>
      <c r="FD87" s="201"/>
      <c r="FE87" s="201"/>
      <c r="FF87" s="201"/>
      <c r="FG87" s="201"/>
      <c r="FH87" s="201"/>
      <c r="FI87" s="201"/>
      <c r="FJ87" s="201"/>
      <c r="FK87" s="201"/>
      <c r="FL87" s="201"/>
      <c r="FM87" s="201"/>
      <c r="FN87" s="201"/>
      <c r="FO87" s="201"/>
      <c r="FP87" s="201"/>
      <c r="FQ87" s="201"/>
      <c r="FR87" s="201"/>
      <c r="FS87" s="201"/>
      <c r="FT87" s="201"/>
      <c r="FU87" s="201"/>
      <c r="FV87" s="201"/>
      <c r="FW87" s="201"/>
      <c r="FX87" s="201"/>
      <c r="FY87" s="201"/>
      <c r="FZ87" s="201"/>
      <c r="GA87" s="201"/>
      <c r="GB87" s="201"/>
      <c r="GC87" s="201"/>
      <c r="GD87" s="201"/>
      <c r="GE87" s="201"/>
      <c r="GF87" s="201"/>
      <c r="GG87" s="201"/>
      <c r="GH87" s="201"/>
      <c r="GI87" s="201"/>
      <c r="GJ87" s="201"/>
      <c r="GK87" s="201"/>
      <c r="GL87" s="201"/>
      <c r="GM87" s="201"/>
      <c r="GN87" s="201"/>
      <c r="GO87" s="201"/>
      <c r="GP87" s="201"/>
      <c r="GQ87" s="201"/>
    </row>
    <row r="88" spans="1:204" s="68" customFormat="1" ht="14.45" customHeight="1" x14ac:dyDescent="0.25">
      <c r="A88" s="68" t="s">
        <v>698</v>
      </c>
      <c r="B88" s="82" t="s">
        <v>154</v>
      </c>
      <c r="C88" s="82" t="s">
        <v>172</v>
      </c>
      <c r="D88" s="82" t="s">
        <v>196</v>
      </c>
      <c r="E88" s="82" t="s">
        <v>309</v>
      </c>
      <c r="F88" s="82" t="s">
        <v>549</v>
      </c>
      <c r="G88" s="82" t="s">
        <v>137</v>
      </c>
      <c r="H88" s="82" t="s">
        <v>137</v>
      </c>
      <c r="I88" s="82" t="s">
        <v>66</v>
      </c>
      <c r="J88" s="82" t="s">
        <v>29</v>
      </c>
      <c r="K88" s="92" t="s">
        <v>137</v>
      </c>
      <c r="L88" s="92" t="s">
        <v>137</v>
      </c>
      <c r="M88" s="92" t="s">
        <v>137</v>
      </c>
      <c r="N88" s="92" t="s">
        <v>137</v>
      </c>
      <c r="O88" s="92" t="s">
        <v>137</v>
      </c>
      <c r="P88" s="92" t="s">
        <v>137</v>
      </c>
      <c r="Q88" s="82" t="s">
        <v>87</v>
      </c>
      <c r="R88" s="82" t="s">
        <v>714</v>
      </c>
      <c r="S88" s="82" t="s">
        <v>40</v>
      </c>
      <c r="T88" s="82" t="s">
        <v>2</v>
      </c>
      <c r="U88" s="83"/>
      <c r="V88" s="83">
        <v>0.05</v>
      </c>
      <c r="W88" s="83">
        <v>0.08</v>
      </c>
      <c r="X88" s="83">
        <v>0.15</v>
      </c>
      <c r="Y88" s="83">
        <v>0.2</v>
      </c>
      <c r="Z88" s="83">
        <v>0.25</v>
      </c>
      <c r="AA88" s="83">
        <v>0.37</v>
      </c>
      <c r="AB88" s="83">
        <v>0.42</v>
      </c>
      <c r="AC88" s="83">
        <v>0.57999999999999996</v>
      </c>
      <c r="AD88" s="83">
        <v>0.67</v>
      </c>
      <c r="AE88" s="83">
        <v>0.83</v>
      </c>
      <c r="AF88" s="83">
        <v>1</v>
      </c>
      <c r="AG88" s="82" t="s">
        <v>532</v>
      </c>
      <c r="AH88" s="82" t="s">
        <v>529</v>
      </c>
      <c r="AI88" s="88" t="s">
        <v>538</v>
      </c>
      <c r="AJ88" s="89" t="s">
        <v>538</v>
      </c>
      <c r="AK88" s="90">
        <v>46023</v>
      </c>
      <c r="AL88" s="90">
        <v>46387</v>
      </c>
      <c r="AM88" s="89"/>
      <c r="AN88" s="89"/>
      <c r="AO88" s="89"/>
      <c r="AP88" s="91" t="s">
        <v>539</v>
      </c>
      <c r="AQ88" s="90" cm="1">
        <f t="array" ref="AQ88">IFERROR(DATE(2026, _xlfn.AGGREGATE(15, 6, (COLUMN(BY88:CJ88)-COLUMN(BY88)+1)/(BY88:CJ88&lt;&gt;0), 1), 1),"N/A")</f>
        <v>46023</v>
      </c>
      <c r="AR88" s="90" cm="1">
        <f t="array" ref="AR88">IFERROR(EOMONTH(DATE(2026, _xlfn.AGGREGATE(14, 6, (COLUMN(BY88:CJ88)-COLUMN(BY88)+1)/(BY88:CJ88&lt;&gt;0), 1), 1), 0),"N/A")</f>
        <v>46387</v>
      </c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2" t="s">
        <v>662</v>
      </c>
      <c r="BF88" s="82" t="s">
        <v>761</v>
      </c>
      <c r="BG88" s="82" t="str">
        <f t="shared" si="6"/>
        <v>000</v>
      </c>
      <c r="BH88" s="88">
        <v>580101</v>
      </c>
      <c r="BI88" s="92" t="s">
        <v>74</v>
      </c>
      <c r="BJ88" s="93">
        <v>29000</v>
      </c>
      <c r="BK88" s="94">
        <v>2416.67</v>
      </c>
      <c r="BL88" s="94">
        <v>2416.67</v>
      </c>
      <c r="BM88" s="94">
        <v>2416.67</v>
      </c>
      <c r="BN88" s="72">
        <v>2416.67</v>
      </c>
      <c r="BO88" s="94">
        <v>2416.67</v>
      </c>
      <c r="BP88" s="94">
        <v>2416.67</v>
      </c>
      <c r="BQ88" s="94">
        <v>2416.67</v>
      </c>
      <c r="BR88" s="94">
        <v>2416.67</v>
      </c>
      <c r="BS88" s="94">
        <v>2416.67</v>
      </c>
      <c r="BT88" s="94">
        <v>2416.67</v>
      </c>
      <c r="BU88" s="94">
        <v>2416.67</v>
      </c>
      <c r="BV88" s="142">
        <v>2416.63</v>
      </c>
      <c r="BW88" s="142"/>
      <c r="BX88" s="143">
        <f t="shared" si="11"/>
        <v>29000</v>
      </c>
      <c r="BY88" s="94">
        <v>2416.67</v>
      </c>
      <c r="BZ88" s="94">
        <v>2416.67</v>
      </c>
      <c r="CA88" s="94">
        <v>2416.67</v>
      </c>
      <c r="CB88" s="72">
        <v>2416.67</v>
      </c>
      <c r="CC88" s="94">
        <v>2416.67</v>
      </c>
      <c r="CD88" s="94">
        <v>2416.67</v>
      </c>
      <c r="CE88" s="94">
        <v>2416.67</v>
      </c>
      <c r="CF88" s="94">
        <v>2416.67</v>
      </c>
      <c r="CG88" s="94">
        <v>2416.67</v>
      </c>
      <c r="CH88" s="94">
        <v>2416.67</v>
      </c>
      <c r="CI88" s="94">
        <v>2416.67</v>
      </c>
      <c r="CJ88" s="142">
        <v>2416.63</v>
      </c>
      <c r="CK88" s="142"/>
      <c r="CL88" s="142">
        <f t="shared" si="7"/>
        <v>0</v>
      </c>
      <c r="CM88" s="171">
        <v>1696.81</v>
      </c>
      <c r="CN88" s="171">
        <v>0</v>
      </c>
      <c r="CO88" s="171">
        <v>20361</v>
      </c>
      <c r="CP88" s="171">
        <v>0</v>
      </c>
      <c r="CQ88" s="171">
        <v>0</v>
      </c>
      <c r="CR88" s="171">
        <v>0</v>
      </c>
      <c r="CS88" s="171">
        <f t="shared" si="8"/>
        <v>1696.81</v>
      </c>
      <c r="CT88" s="171">
        <f t="shared" si="9"/>
        <v>0</v>
      </c>
      <c r="CU88" s="171">
        <f t="shared" si="10"/>
        <v>20361</v>
      </c>
      <c r="CV88" s="149"/>
      <c r="CW88" s="149"/>
      <c r="CX88" s="130"/>
      <c r="CY88" s="130"/>
      <c r="CZ88" s="130"/>
      <c r="DA88" s="130"/>
      <c r="DB88" s="130"/>
      <c r="DC88" s="130"/>
      <c r="DD88" s="130"/>
      <c r="DE88" s="130"/>
      <c r="DF88" s="130"/>
      <c r="DG88" s="130"/>
      <c r="DH88" s="130"/>
      <c r="DI88" s="130"/>
      <c r="DJ88" s="130"/>
      <c r="DK88" s="130"/>
      <c r="DL88" s="130"/>
      <c r="DM88" s="130"/>
      <c r="DN88" s="130"/>
      <c r="DO88" s="130"/>
      <c r="DP88" s="130"/>
      <c r="DQ88" s="130"/>
      <c r="DR88" s="130"/>
      <c r="DS88" s="130"/>
      <c r="DT88" s="130"/>
      <c r="DU88" s="130"/>
      <c r="DV88" s="130"/>
      <c r="DW88" s="130"/>
      <c r="DX88" s="130"/>
      <c r="DY88" s="130"/>
      <c r="DZ88" s="130"/>
      <c r="EA88" s="130"/>
      <c r="EB88" s="130"/>
      <c r="EC88" s="130"/>
      <c r="ED88" s="130"/>
      <c r="EE88" s="130"/>
      <c r="EF88" s="130"/>
      <c r="EG88" s="130"/>
      <c r="EH88" s="130"/>
      <c r="EI88" s="130"/>
      <c r="EJ88" s="130"/>
      <c r="EK88" s="130"/>
      <c r="EL88" s="130"/>
      <c r="EM88" s="130"/>
      <c r="EN88" s="130"/>
      <c r="EO88" s="130"/>
      <c r="EP88" s="130"/>
      <c r="EQ88" s="130"/>
      <c r="ER88" s="130"/>
      <c r="ES88" s="130"/>
      <c r="ET88" s="130"/>
      <c r="EU88" s="130"/>
      <c r="EV88" s="130"/>
      <c r="EW88" s="130"/>
      <c r="EX88" s="130"/>
      <c r="EY88" s="130"/>
      <c r="EZ88" s="130"/>
      <c r="FA88" s="130"/>
      <c r="FB88" s="201"/>
      <c r="FC88" s="201"/>
      <c r="FD88" s="201"/>
      <c r="FE88" s="201"/>
      <c r="FF88" s="201"/>
      <c r="FG88" s="201"/>
      <c r="FH88" s="201"/>
      <c r="FI88" s="201"/>
      <c r="FJ88" s="201"/>
      <c r="FK88" s="201"/>
      <c r="FL88" s="201"/>
      <c r="FM88" s="201"/>
      <c r="FN88" s="201"/>
      <c r="FO88" s="201"/>
      <c r="FP88" s="201"/>
      <c r="FQ88" s="201"/>
      <c r="FR88" s="201"/>
      <c r="FS88" s="201"/>
      <c r="FT88" s="201"/>
      <c r="FU88" s="201"/>
      <c r="FV88" s="201"/>
      <c r="FW88" s="201"/>
      <c r="FX88" s="201"/>
      <c r="FY88" s="201"/>
      <c r="FZ88" s="201"/>
      <c r="GA88" s="201"/>
      <c r="GB88" s="201"/>
      <c r="GC88" s="201"/>
      <c r="GD88" s="201"/>
      <c r="GE88" s="201"/>
      <c r="GF88" s="201"/>
      <c r="GG88" s="201"/>
      <c r="GH88" s="201"/>
      <c r="GI88" s="201"/>
      <c r="GJ88" s="201"/>
      <c r="GK88" s="201"/>
      <c r="GL88" s="201"/>
      <c r="GM88" s="201"/>
      <c r="GN88" s="201"/>
      <c r="GO88" s="201"/>
      <c r="GP88" s="201"/>
      <c r="GQ88" s="201"/>
    </row>
    <row r="89" spans="1:204" s="68" customFormat="1" ht="14.45" customHeight="1" x14ac:dyDescent="0.25">
      <c r="A89" s="68" t="s">
        <v>692</v>
      </c>
      <c r="B89" s="82" t="s">
        <v>154</v>
      </c>
      <c r="C89" s="82" t="s">
        <v>172</v>
      </c>
      <c r="D89" s="82" t="s">
        <v>196</v>
      </c>
      <c r="E89" s="82" t="s">
        <v>309</v>
      </c>
      <c r="F89" s="82" t="s">
        <v>549</v>
      </c>
      <c r="G89" s="82" t="s">
        <v>137</v>
      </c>
      <c r="H89" s="82" t="s">
        <v>137</v>
      </c>
      <c r="I89" s="82" t="s">
        <v>66</v>
      </c>
      <c r="J89" s="82" t="s">
        <v>29</v>
      </c>
      <c r="K89" s="92" t="s">
        <v>137</v>
      </c>
      <c r="L89" s="92" t="s">
        <v>137</v>
      </c>
      <c r="M89" s="92" t="s">
        <v>137</v>
      </c>
      <c r="N89" s="92" t="s">
        <v>137</v>
      </c>
      <c r="O89" s="92" t="s">
        <v>137</v>
      </c>
      <c r="P89" s="92" t="s">
        <v>137</v>
      </c>
      <c r="Q89" s="82" t="s">
        <v>87</v>
      </c>
      <c r="R89" s="82" t="s">
        <v>714</v>
      </c>
      <c r="S89" s="82" t="s">
        <v>40</v>
      </c>
      <c r="T89" s="82" t="s">
        <v>2</v>
      </c>
      <c r="U89" s="83"/>
      <c r="V89" s="83">
        <v>0.05</v>
      </c>
      <c r="W89" s="83">
        <v>0.08</v>
      </c>
      <c r="X89" s="83">
        <v>0.15</v>
      </c>
      <c r="Y89" s="83">
        <v>0.2</v>
      </c>
      <c r="Z89" s="83">
        <v>0.25</v>
      </c>
      <c r="AA89" s="83">
        <v>0.37</v>
      </c>
      <c r="AB89" s="83">
        <v>0.42</v>
      </c>
      <c r="AC89" s="83">
        <v>0.57999999999999996</v>
      </c>
      <c r="AD89" s="83">
        <v>0.67</v>
      </c>
      <c r="AE89" s="83">
        <v>0.83</v>
      </c>
      <c r="AF89" s="83">
        <v>1</v>
      </c>
      <c r="AG89" s="82" t="s">
        <v>532</v>
      </c>
      <c r="AH89" s="82" t="s">
        <v>529</v>
      </c>
      <c r="AI89" s="88" t="s">
        <v>538</v>
      </c>
      <c r="AJ89" s="89" t="s">
        <v>538</v>
      </c>
      <c r="AK89" s="90">
        <v>46023</v>
      </c>
      <c r="AL89" s="90">
        <v>46387</v>
      </c>
      <c r="AM89" s="89"/>
      <c r="AN89" s="89"/>
      <c r="AO89" s="89"/>
      <c r="AP89" s="91" t="s">
        <v>539</v>
      </c>
      <c r="AQ89" s="90" cm="1">
        <f t="array" ref="AQ89">IFERROR(DATE(2026, _xlfn.AGGREGATE(15, 6, (COLUMN(BY89:CJ89)-COLUMN(BY89)+1)/(BY89:CJ89&lt;&gt;0), 1), 1),"N/A")</f>
        <v>46054</v>
      </c>
      <c r="AR89" s="90" cm="1">
        <f t="array" ref="AR89">IFERROR(EOMONTH(DATE(2026, _xlfn.AGGREGATE(14, 6, (COLUMN(BY89:CJ89)-COLUMN(BY89)+1)/(BY89:CJ89&lt;&gt;0), 1), 1), 0),"N/A")</f>
        <v>46081</v>
      </c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2" t="s">
        <v>1119</v>
      </c>
      <c r="BF89" s="82" t="s">
        <v>1120</v>
      </c>
      <c r="BG89" s="82" t="str">
        <f t="shared" si="6"/>
        <v>000</v>
      </c>
      <c r="BH89" s="88">
        <v>530606</v>
      </c>
      <c r="BI89" s="92" t="s">
        <v>74</v>
      </c>
      <c r="BJ89" s="93">
        <v>0</v>
      </c>
      <c r="BK89" s="74"/>
      <c r="BL89" s="74"/>
      <c r="BM89" s="94"/>
      <c r="BN89" s="72"/>
      <c r="BO89" s="94"/>
      <c r="BP89" s="94"/>
      <c r="BQ89" s="94"/>
      <c r="BR89" s="94"/>
      <c r="BS89" s="94"/>
      <c r="BT89" s="94"/>
      <c r="BU89" s="94"/>
      <c r="BV89" s="142"/>
      <c r="BW89" s="142">
        <v>1100</v>
      </c>
      <c r="BX89" s="143">
        <f t="shared" si="11"/>
        <v>1100</v>
      </c>
      <c r="BY89" s="74"/>
      <c r="BZ89" s="74">
        <v>1100</v>
      </c>
      <c r="CA89" s="94"/>
      <c r="CB89" s="72"/>
      <c r="CC89" s="94"/>
      <c r="CD89" s="94"/>
      <c r="CE89" s="94"/>
      <c r="CF89" s="94"/>
      <c r="CG89" s="94"/>
      <c r="CH89" s="94"/>
      <c r="CI89" s="94"/>
      <c r="CJ89" s="142"/>
      <c r="CK89" s="142"/>
      <c r="CL89" s="142">
        <f t="shared" si="7"/>
        <v>0</v>
      </c>
      <c r="CM89" s="171">
        <v>1100</v>
      </c>
      <c r="CN89" s="171">
        <v>0</v>
      </c>
      <c r="CO89" s="171">
        <v>1100</v>
      </c>
      <c r="CP89" s="171">
        <v>0</v>
      </c>
      <c r="CQ89" s="171">
        <v>0</v>
      </c>
      <c r="CR89" s="171">
        <v>0</v>
      </c>
      <c r="CS89" s="171">
        <f t="shared" si="8"/>
        <v>1100</v>
      </c>
      <c r="CT89" s="171">
        <f t="shared" si="9"/>
        <v>0</v>
      </c>
      <c r="CU89" s="171">
        <f t="shared" si="10"/>
        <v>1100</v>
      </c>
      <c r="CV89" s="150"/>
      <c r="CW89" s="150"/>
      <c r="CX89" s="130"/>
      <c r="CY89" s="130"/>
      <c r="CZ89" s="130"/>
      <c r="DA89" s="130"/>
      <c r="DB89" s="130"/>
      <c r="DC89" s="130"/>
      <c r="DD89" s="130"/>
      <c r="DE89" s="131"/>
      <c r="DF89" s="131"/>
      <c r="DG89" s="132"/>
      <c r="DH89" s="131"/>
      <c r="DI89" s="131"/>
      <c r="DJ89" s="131"/>
      <c r="DK89" s="131"/>
      <c r="DL89" s="131"/>
      <c r="DM89" s="131"/>
      <c r="DN89" s="131"/>
      <c r="DO89" s="131"/>
      <c r="DP89" s="131"/>
      <c r="DQ89" s="131"/>
      <c r="DR89" s="132"/>
      <c r="DS89" s="131"/>
      <c r="DT89" s="131"/>
      <c r="DU89" s="131"/>
      <c r="DV89" s="131"/>
      <c r="DW89" s="131"/>
      <c r="DX89" s="131"/>
      <c r="DY89" s="131"/>
      <c r="DZ89" s="132"/>
      <c r="EA89" s="132"/>
      <c r="EB89" s="132"/>
      <c r="EC89" s="132"/>
      <c r="ED89" s="131"/>
      <c r="EE89" s="131"/>
      <c r="EF89" s="131"/>
      <c r="EG89" s="131"/>
      <c r="EH89" s="131"/>
      <c r="EI89" s="131"/>
      <c r="EJ89" s="131"/>
      <c r="EK89" s="131"/>
      <c r="EL89" s="132"/>
      <c r="EM89" s="133"/>
      <c r="EN89" s="133"/>
      <c r="EO89" s="133"/>
      <c r="EP89" s="133"/>
      <c r="EQ89" s="133"/>
      <c r="ER89" s="133"/>
      <c r="ES89" s="133"/>
      <c r="ET89" s="133"/>
      <c r="EU89" s="133"/>
      <c r="EV89" s="134"/>
      <c r="EW89" s="133"/>
      <c r="EX89" s="133"/>
      <c r="EY89" s="135"/>
      <c r="EZ89" s="132"/>
      <c r="FA89" s="130"/>
      <c r="FB89" s="201"/>
      <c r="FC89" s="201"/>
      <c r="FD89" s="201"/>
      <c r="FE89" s="201"/>
      <c r="FF89" s="201"/>
      <c r="FG89" s="201"/>
      <c r="FH89" s="201"/>
      <c r="FI89" s="201"/>
      <c r="FJ89" s="201"/>
      <c r="FK89" s="201"/>
      <c r="FL89" s="201"/>
      <c r="FM89" s="201"/>
      <c r="FN89" s="201"/>
      <c r="FO89" s="201"/>
      <c r="FP89" s="201"/>
      <c r="FQ89" s="201"/>
      <c r="FR89" s="201"/>
      <c r="FS89" s="201"/>
      <c r="FT89" s="201"/>
      <c r="FU89" s="201"/>
      <c r="FV89" s="201"/>
      <c r="FW89" s="201"/>
      <c r="FX89" s="201"/>
      <c r="FY89" s="201"/>
      <c r="FZ89" s="201"/>
      <c r="GA89" s="201"/>
      <c r="GB89" s="201"/>
      <c r="GC89" s="201"/>
      <c r="GD89" s="201"/>
      <c r="GE89" s="201"/>
      <c r="GF89" s="201"/>
      <c r="GG89" s="201"/>
      <c r="GH89" s="201"/>
      <c r="GI89" s="201"/>
      <c r="GJ89" s="201"/>
      <c r="GK89" s="201"/>
      <c r="GL89" s="201"/>
      <c r="GM89" s="201"/>
      <c r="GN89" s="201"/>
      <c r="GO89" s="201"/>
      <c r="GP89" s="201"/>
      <c r="GQ89" s="201"/>
    </row>
    <row r="90" spans="1:204" s="68" customFormat="1" ht="14.45" customHeight="1" x14ac:dyDescent="0.25">
      <c r="A90" s="68" t="s">
        <v>692</v>
      </c>
      <c r="B90" s="82" t="s">
        <v>154</v>
      </c>
      <c r="C90" s="82" t="s">
        <v>172</v>
      </c>
      <c r="D90" s="82" t="s">
        <v>196</v>
      </c>
      <c r="E90" s="82" t="s">
        <v>309</v>
      </c>
      <c r="F90" s="82" t="s">
        <v>549</v>
      </c>
      <c r="G90" s="82" t="s">
        <v>137</v>
      </c>
      <c r="H90" s="82" t="s">
        <v>137</v>
      </c>
      <c r="I90" s="82" t="s">
        <v>66</v>
      </c>
      <c r="J90" s="82" t="s">
        <v>29</v>
      </c>
      <c r="K90" s="92" t="s">
        <v>137</v>
      </c>
      <c r="L90" s="92" t="s">
        <v>137</v>
      </c>
      <c r="M90" s="92" t="s">
        <v>137</v>
      </c>
      <c r="N90" s="92" t="s">
        <v>137</v>
      </c>
      <c r="O90" s="92" t="s">
        <v>137</v>
      </c>
      <c r="P90" s="92" t="s">
        <v>137</v>
      </c>
      <c r="Q90" s="82" t="s">
        <v>87</v>
      </c>
      <c r="R90" s="82" t="s">
        <v>714</v>
      </c>
      <c r="S90" s="82" t="s">
        <v>40</v>
      </c>
      <c r="T90" s="82" t="s">
        <v>2</v>
      </c>
      <c r="U90" s="83"/>
      <c r="V90" s="83">
        <v>0.05</v>
      </c>
      <c r="W90" s="83">
        <v>0.08</v>
      </c>
      <c r="X90" s="83">
        <v>0.15</v>
      </c>
      <c r="Y90" s="83">
        <v>0.2</v>
      </c>
      <c r="Z90" s="83">
        <v>0.25</v>
      </c>
      <c r="AA90" s="83">
        <v>0.37</v>
      </c>
      <c r="AB90" s="83">
        <v>0.42</v>
      </c>
      <c r="AC90" s="83">
        <v>0.57999999999999996</v>
      </c>
      <c r="AD90" s="83">
        <v>0.67</v>
      </c>
      <c r="AE90" s="83">
        <v>0.83</v>
      </c>
      <c r="AF90" s="83">
        <v>1</v>
      </c>
      <c r="AG90" s="82" t="s">
        <v>532</v>
      </c>
      <c r="AH90" s="82" t="s">
        <v>794</v>
      </c>
      <c r="AI90" s="88" t="s">
        <v>538</v>
      </c>
      <c r="AJ90" s="89" t="s">
        <v>538</v>
      </c>
      <c r="AK90" s="90">
        <v>46023</v>
      </c>
      <c r="AL90" s="90">
        <v>46387</v>
      </c>
      <c r="AM90" s="89"/>
      <c r="AN90" s="89"/>
      <c r="AO90" s="89"/>
      <c r="AP90" s="91" t="s">
        <v>539</v>
      </c>
      <c r="AQ90" s="90" cm="1">
        <f t="array" ref="AQ90">IFERROR(DATE(2026, _xlfn.AGGREGATE(15, 6, (COLUMN(BY90:CJ90)-COLUMN(BY90)+1)/(BY90:CJ90&lt;&gt;0), 1), 1),"N/A")</f>
        <v>46082</v>
      </c>
      <c r="AR90" s="90" cm="1">
        <f t="array" ref="AR90">IFERROR(EOMONTH(DATE(2026, _xlfn.AGGREGATE(14, 6, (COLUMN(BY90:CJ90)-COLUMN(BY90)+1)/(BY90:CJ90&lt;&gt;0), 1), 1), 0),"N/A")</f>
        <v>46112</v>
      </c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2" t="s">
        <v>1117</v>
      </c>
      <c r="BF90" s="82" t="s">
        <v>1118</v>
      </c>
      <c r="BG90" s="82" t="str">
        <f t="shared" si="6"/>
        <v>000</v>
      </c>
      <c r="BH90" s="88">
        <v>530605</v>
      </c>
      <c r="BI90" s="92" t="s">
        <v>74</v>
      </c>
      <c r="BJ90" s="93">
        <v>0</v>
      </c>
      <c r="BK90" s="74"/>
      <c r="BL90" s="74"/>
      <c r="BM90" s="94"/>
      <c r="BN90" s="74"/>
      <c r="BO90" s="74"/>
      <c r="BP90" s="74"/>
      <c r="BQ90" s="74"/>
      <c r="BR90" s="74"/>
      <c r="BS90" s="74"/>
      <c r="BT90" s="74"/>
      <c r="BU90" s="74"/>
      <c r="BV90" s="143"/>
      <c r="BW90" s="143">
        <v>2800</v>
      </c>
      <c r="BX90" s="143">
        <f t="shared" si="11"/>
        <v>2800</v>
      </c>
      <c r="BY90" s="74"/>
      <c r="BZ90" s="74"/>
      <c r="CA90" s="94">
        <v>2800</v>
      </c>
      <c r="CB90" s="74"/>
      <c r="CC90" s="74"/>
      <c r="CD90" s="74"/>
      <c r="CE90" s="74"/>
      <c r="CF90" s="74"/>
      <c r="CG90" s="74"/>
      <c r="CH90" s="74"/>
      <c r="CI90" s="74"/>
      <c r="CJ90" s="143"/>
      <c r="CK90" s="143"/>
      <c r="CL90" s="142">
        <f t="shared" si="7"/>
        <v>0</v>
      </c>
      <c r="CM90" s="171">
        <v>0</v>
      </c>
      <c r="CN90" s="171">
        <v>0</v>
      </c>
      <c r="CO90" s="171">
        <v>0</v>
      </c>
      <c r="CP90" s="171">
        <v>0</v>
      </c>
      <c r="CQ90" s="171">
        <v>0</v>
      </c>
      <c r="CR90" s="171">
        <v>0</v>
      </c>
      <c r="CS90" s="171">
        <f t="shared" si="8"/>
        <v>0</v>
      </c>
      <c r="CT90" s="171">
        <f t="shared" si="9"/>
        <v>0</v>
      </c>
      <c r="CU90" s="171">
        <f t="shared" si="10"/>
        <v>0</v>
      </c>
      <c r="CV90" s="149"/>
      <c r="CW90" s="149"/>
      <c r="CX90" s="130"/>
      <c r="CY90" s="130"/>
      <c r="CZ90" s="130"/>
      <c r="DA90" s="130"/>
      <c r="DB90" s="130"/>
      <c r="DC90" s="130"/>
      <c r="DD90" s="130"/>
      <c r="DE90" s="130"/>
      <c r="DF90" s="130"/>
      <c r="DG90" s="130"/>
      <c r="DH90" s="130"/>
      <c r="DI90" s="130"/>
      <c r="DJ90" s="130"/>
      <c r="DK90" s="130"/>
      <c r="DL90" s="130"/>
      <c r="DM90" s="130"/>
      <c r="DN90" s="130"/>
      <c r="DO90" s="130"/>
      <c r="DP90" s="130"/>
      <c r="DQ90" s="130"/>
      <c r="DR90" s="130"/>
      <c r="DS90" s="130"/>
      <c r="DT90" s="130"/>
      <c r="DU90" s="130"/>
      <c r="DV90" s="130"/>
      <c r="DW90" s="130"/>
      <c r="DX90" s="130"/>
      <c r="DY90" s="130"/>
      <c r="DZ90" s="130"/>
      <c r="EA90" s="130"/>
      <c r="EB90" s="130"/>
      <c r="EC90" s="130"/>
      <c r="ED90" s="130"/>
      <c r="EE90" s="130"/>
      <c r="EF90" s="130"/>
      <c r="EG90" s="130"/>
      <c r="EH90" s="130"/>
      <c r="EI90" s="130"/>
      <c r="EJ90" s="130"/>
      <c r="EK90" s="130"/>
      <c r="EL90" s="130"/>
      <c r="EM90" s="130"/>
      <c r="EN90" s="130"/>
      <c r="EO90" s="130"/>
      <c r="EP90" s="130"/>
      <c r="EQ90" s="130"/>
      <c r="ER90" s="130"/>
      <c r="ES90" s="130"/>
      <c r="ET90" s="130"/>
      <c r="EU90" s="130"/>
      <c r="EV90" s="130"/>
      <c r="EW90" s="130"/>
      <c r="EX90" s="130"/>
      <c r="EY90" s="130"/>
      <c r="EZ90" s="130"/>
      <c r="FA90" s="130"/>
      <c r="FB90" s="201"/>
      <c r="FC90" s="201"/>
      <c r="FD90" s="201"/>
      <c r="FE90" s="201"/>
      <c r="FF90" s="201"/>
      <c r="FG90" s="201"/>
      <c r="FH90" s="201"/>
      <c r="FI90" s="201"/>
      <c r="FJ90" s="201"/>
      <c r="FK90" s="201"/>
      <c r="FL90" s="201"/>
      <c r="FM90" s="201"/>
      <c r="FN90" s="201"/>
      <c r="FO90" s="201"/>
      <c r="FP90" s="201"/>
      <c r="FQ90" s="201"/>
      <c r="FR90" s="201"/>
      <c r="FS90" s="201"/>
      <c r="FT90" s="201"/>
      <c r="FU90" s="201"/>
      <c r="FV90" s="201"/>
      <c r="FW90" s="201"/>
      <c r="FX90" s="201"/>
      <c r="FY90" s="201"/>
      <c r="FZ90" s="201"/>
      <c r="GA90" s="201"/>
      <c r="GB90" s="201"/>
      <c r="GC90" s="201"/>
      <c r="GD90" s="201"/>
      <c r="GE90" s="201"/>
      <c r="GF90" s="201"/>
      <c r="GG90" s="201"/>
      <c r="GH90" s="201"/>
      <c r="GI90" s="201"/>
      <c r="GJ90" s="201"/>
      <c r="GK90" s="201"/>
      <c r="GL90" s="201"/>
      <c r="GM90" s="201"/>
      <c r="GN90" s="201"/>
      <c r="GO90" s="201"/>
      <c r="GP90" s="201"/>
      <c r="GQ90" s="201"/>
    </row>
    <row r="91" spans="1:204" s="68" customFormat="1" ht="14.45" customHeight="1" x14ac:dyDescent="0.25">
      <c r="A91" s="68" t="s">
        <v>693</v>
      </c>
      <c r="B91" s="82" t="s">
        <v>154</v>
      </c>
      <c r="C91" s="82" t="s">
        <v>172</v>
      </c>
      <c r="D91" s="82" t="s">
        <v>196</v>
      </c>
      <c r="E91" s="82" t="s">
        <v>309</v>
      </c>
      <c r="F91" s="82" t="s">
        <v>549</v>
      </c>
      <c r="G91" s="82" t="s">
        <v>137</v>
      </c>
      <c r="H91" s="82" t="s">
        <v>137</v>
      </c>
      <c r="I91" s="82" t="s">
        <v>66</v>
      </c>
      <c r="J91" s="82" t="s">
        <v>29</v>
      </c>
      <c r="K91" s="92" t="s">
        <v>137</v>
      </c>
      <c r="L91" s="92" t="s">
        <v>137</v>
      </c>
      <c r="M91" s="92" t="s">
        <v>137</v>
      </c>
      <c r="N91" s="92" t="s">
        <v>137</v>
      </c>
      <c r="O91" s="92" t="s">
        <v>137</v>
      </c>
      <c r="P91" s="92" t="s">
        <v>137</v>
      </c>
      <c r="Q91" s="82" t="s">
        <v>87</v>
      </c>
      <c r="R91" s="82" t="s">
        <v>714</v>
      </c>
      <c r="S91" s="82" t="s">
        <v>40</v>
      </c>
      <c r="T91" s="82" t="s">
        <v>2</v>
      </c>
      <c r="U91" s="83"/>
      <c r="V91" s="83">
        <v>0.05</v>
      </c>
      <c r="W91" s="83">
        <v>0.08</v>
      </c>
      <c r="X91" s="83">
        <v>0.15</v>
      </c>
      <c r="Y91" s="83">
        <v>0.2</v>
      </c>
      <c r="Z91" s="83">
        <v>0.25</v>
      </c>
      <c r="AA91" s="83">
        <v>0.37</v>
      </c>
      <c r="AB91" s="83">
        <v>0.42</v>
      </c>
      <c r="AC91" s="83">
        <v>0.57999999999999996</v>
      </c>
      <c r="AD91" s="83">
        <v>0.67</v>
      </c>
      <c r="AE91" s="83">
        <v>0.83</v>
      </c>
      <c r="AF91" s="83">
        <v>1</v>
      </c>
      <c r="AG91" s="82" t="s">
        <v>532</v>
      </c>
      <c r="AH91" s="82" t="s">
        <v>529</v>
      </c>
      <c r="AI91" s="88" t="s">
        <v>538</v>
      </c>
      <c r="AJ91" s="89" t="s">
        <v>538</v>
      </c>
      <c r="AK91" s="90">
        <v>46023</v>
      </c>
      <c r="AL91" s="90">
        <v>46387</v>
      </c>
      <c r="AM91" s="89"/>
      <c r="AN91" s="89"/>
      <c r="AO91" s="89"/>
      <c r="AP91" s="91" t="s">
        <v>539</v>
      </c>
      <c r="AQ91" s="90" t="str" cm="1">
        <f t="array" ref="AQ91">IFERROR(DATE(2026, _xlfn.AGGREGATE(15, 6, (COLUMN(BY91:CJ91)-COLUMN(BY91)+1)/(BY91:CJ91&lt;&gt;0), 1), 1),"N/A")</f>
        <v>N/A</v>
      </c>
      <c r="AR91" s="90" t="str" cm="1">
        <f t="array" ref="AR91">IFERROR(EOMONTH(DATE(2026, _xlfn.AGGREGATE(14, 6, (COLUMN(BY91:CJ91)-COLUMN(BY91)+1)/(BY91:CJ91&lt;&gt;0), 1), 1), 0),"N/A")</f>
        <v>N/A</v>
      </c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2" t="s">
        <v>644</v>
      </c>
      <c r="BF91" s="82" t="s">
        <v>1013</v>
      </c>
      <c r="BG91" s="82" t="str">
        <f t="shared" si="6"/>
        <v>000</v>
      </c>
      <c r="BH91" s="88">
        <v>530601</v>
      </c>
      <c r="BI91" s="92" t="s">
        <v>74</v>
      </c>
      <c r="BJ91" s="93">
        <v>10000</v>
      </c>
      <c r="BK91" s="74">
        <v>0</v>
      </c>
      <c r="BL91" s="74">
        <v>0</v>
      </c>
      <c r="BM91" s="74">
        <v>0</v>
      </c>
      <c r="BN91" s="74">
        <v>0</v>
      </c>
      <c r="BO91" s="74">
        <v>0</v>
      </c>
      <c r="BP91" s="74">
        <v>0</v>
      </c>
      <c r="BQ91" s="74">
        <v>0</v>
      </c>
      <c r="BR91" s="74">
        <v>0</v>
      </c>
      <c r="BS91" s="94">
        <v>3333.3333333333335</v>
      </c>
      <c r="BT91" s="94">
        <v>3333.3333333333335</v>
      </c>
      <c r="BU91" s="94">
        <v>3333.3333333333335</v>
      </c>
      <c r="BV91" s="143">
        <v>0</v>
      </c>
      <c r="BW91" s="143">
        <v>-10000</v>
      </c>
      <c r="BX91" s="143">
        <f t="shared" si="11"/>
        <v>0</v>
      </c>
      <c r="BY91" s="74">
        <v>0</v>
      </c>
      <c r="BZ91" s="74">
        <v>0</v>
      </c>
      <c r="CA91" s="74">
        <v>0</v>
      </c>
      <c r="CB91" s="74">
        <v>0</v>
      </c>
      <c r="CC91" s="74">
        <v>0</v>
      </c>
      <c r="CD91" s="74">
        <v>0</v>
      </c>
      <c r="CE91" s="74">
        <v>0</v>
      </c>
      <c r="CF91" s="74">
        <v>0</v>
      </c>
      <c r="CG91" s="94">
        <v>0</v>
      </c>
      <c r="CH91" s="94">
        <v>0</v>
      </c>
      <c r="CI91" s="94">
        <v>0</v>
      </c>
      <c r="CJ91" s="143">
        <v>0</v>
      </c>
      <c r="CK91" s="143"/>
      <c r="CL91" s="142">
        <f t="shared" si="7"/>
        <v>0</v>
      </c>
      <c r="CM91" s="171">
        <v>0</v>
      </c>
      <c r="CN91" s="171">
        <v>0</v>
      </c>
      <c r="CO91" s="171">
        <v>0</v>
      </c>
      <c r="CP91" s="171">
        <v>0</v>
      </c>
      <c r="CQ91" s="171">
        <v>0</v>
      </c>
      <c r="CR91" s="171">
        <v>0</v>
      </c>
      <c r="CS91" s="171">
        <f t="shared" si="8"/>
        <v>0</v>
      </c>
      <c r="CT91" s="171">
        <f t="shared" si="9"/>
        <v>0</v>
      </c>
      <c r="CU91" s="171">
        <f t="shared" si="10"/>
        <v>0</v>
      </c>
      <c r="CV91" s="149">
        <v>10000</v>
      </c>
      <c r="CW91" s="149">
        <v>0</v>
      </c>
      <c r="CX91" s="130">
        <v>2</v>
      </c>
      <c r="CY91" s="130">
        <v>0</v>
      </c>
      <c r="CZ91" s="130"/>
      <c r="DA91" s="130"/>
      <c r="DB91" s="130" t="s">
        <v>851</v>
      </c>
      <c r="DC91" s="130"/>
      <c r="DD91" s="130"/>
      <c r="DE91" s="131">
        <v>46254</v>
      </c>
      <c r="DF91" s="131">
        <v>46254</v>
      </c>
      <c r="DG91" s="132">
        <v>2</v>
      </c>
      <c r="DH91" s="131">
        <v>46255</v>
      </c>
      <c r="DI91" s="131">
        <v>46255</v>
      </c>
      <c r="DJ91" s="131">
        <v>46255</v>
      </c>
      <c r="DK91" s="131">
        <v>46258</v>
      </c>
      <c r="DL91" s="131">
        <v>46259</v>
      </c>
      <c r="DM91" s="131">
        <v>46260</v>
      </c>
      <c r="DN91" s="131">
        <v>46261</v>
      </c>
      <c r="DO91" s="131">
        <v>46262</v>
      </c>
      <c r="DP91" s="131">
        <v>46265</v>
      </c>
      <c r="DQ91" s="131">
        <v>46265</v>
      </c>
      <c r="DR91" s="132">
        <v>2</v>
      </c>
      <c r="DS91" s="131">
        <v>46266</v>
      </c>
      <c r="DT91" s="131">
        <v>46267</v>
      </c>
      <c r="DU91" s="131">
        <v>46268</v>
      </c>
      <c r="DV91" s="131">
        <v>46269</v>
      </c>
      <c r="DW91" s="131">
        <v>46269</v>
      </c>
      <c r="DX91" s="131">
        <v>46272</v>
      </c>
      <c r="DY91" s="131">
        <v>46272</v>
      </c>
      <c r="DZ91" s="132"/>
      <c r="EA91" s="132"/>
      <c r="EB91" s="132"/>
      <c r="EC91" s="132"/>
      <c r="ED91" s="131">
        <v>46273</v>
      </c>
      <c r="EE91" s="131">
        <v>46274</v>
      </c>
      <c r="EF91" s="131">
        <v>46274</v>
      </c>
      <c r="EG91" s="131"/>
      <c r="EH91" s="131"/>
      <c r="EI91" s="131"/>
      <c r="EJ91" s="131">
        <v>46274</v>
      </c>
      <c r="EK91" s="131">
        <v>46280</v>
      </c>
      <c r="EL91" s="132">
        <v>18</v>
      </c>
      <c r="EM91" s="133"/>
      <c r="EN91" s="133"/>
      <c r="EO91" s="133"/>
      <c r="EP91" s="133"/>
      <c r="EQ91" s="133"/>
      <c r="ER91" s="133"/>
      <c r="ES91" s="133"/>
      <c r="ET91" s="133"/>
      <c r="EU91" s="133"/>
      <c r="EV91" s="134"/>
      <c r="EW91" s="133">
        <v>46280</v>
      </c>
      <c r="EX91" s="133"/>
      <c r="EY91" s="135" t="s">
        <v>854</v>
      </c>
      <c r="EZ91" s="137" t="s">
        <v>874</v>
      </c>
      <c r="FA91" s="136" t="s">
        <v>882</v>
      </c>
      <c r="FB91" s="202" t="e">
        <v>#NUM!</v>
      </c>
      <c r="FC91" s="202" t="e">
        <v>#NUM!</v>
      </c>
      <c r="FD91" s="202" t="e">
        <v>#NUM!</v>
      </c>
      <c r="FE91" s="202" t="e">
        <v>#NUM!</v>
      </c>
      <c r="FF91" s="202" t="e">
        <v>#NUM!</v>
      </c>
      <c r="FG91" s="202" t="e">
        <v>#NUM!</v>
      </c>
      <c r="FH91" s="202" t="e">
        <v>#NUM!</v>
      </c>
      <c r="FI91" s="202" t="e">
        <v>#NUM!</v>
      </c>
      <c r="FJ91" s="202" t="e">
        <v>#NUM!</v>
      </c>
      <c r="FK91" s="202" t="e">
        <v>#NUM!</v>
      </c>
      <c r="FL91" s="202" t="e">
        <v>#NUM!</v>
      </c>
      <c r="FM91" s="202" t="e">
        <v>#NUM!</v>
      </c>
      <c r="FN91" s="202" t="e">
        <v>#NUM!</v>
      </c>
      <c r="FO91" s="202" t="e">
        <v>#NUM!</v>
      </c>
      <c r="FP91" s="202" t="e">
        <v>#NUM!</v>
      </c>
      <c r="FQ91" s="202" t="e">
        <v>#NUM!</v>
      </c>
      <c r="FR91" s="202" t="e">
        <v>#NUM!</v>
      </c>
      <c r="FS91" s="202" t="e">
        <v>#NUM!</v>
      </c>
      <c r="FT91" s="202" t="e">
        <v>#NUM!</v>
      </c>
      <c r="FU91" s="202"/>
      <c r="FV91" s="202"/>
      <c r="FW91" s="202"/>
      <c r="FX91" s="202"/>
      <c r="FY91" s="202" t="e">
        <v>#NUM!</v>
      </c>
      <c r="FZ91" s="202" t="e">
        <v>#NUM!</v>
      </c>
      <c r="GA91" s="202" t="e">
        <v>#NUM!</v>
      </c>
      <c r="GB91" s="202"/>
      <c r="GC91" s="202"/>
      <c r="GD91" s="202"/>
      <c r="GE91" s="202" t="e">
        <v>#NUM!</v>
      </c>
      <c r="GF91" s="202"/>
      <c r="GG91" s="202">
        <v>18</v>
      </c>
      <c r="GH91" s="202"/>
      <c r="GI91" s="202"/>
      <c r="GJ91" s="202"/>
      <c r="GK91" s="202"/>
      <c r="GL91" s="202"/>
      <c r="GM91" s="202"/>
      <c r="GN91" s="202"/>
      <c r="GO91" s="202"/>
      <c r="GP91" s="202"/>
      <c r="GQ91" s="202"/>
      <c r="GR91" s="189"/>
      <c r="GS91" s="189"/>
      <c r="GT91" s="189"/>
      <c r="GU91" s="189"/>
      <c r="GV91" s="189" t="s">
        <v>1160</v>
      </c>
    </row>
    <row r="92" spans="1:204" s="68" customFormat="1" ht="14.45" customHeight="1" x14ac:dyDescent="0.25">
      <c r="A92" s="68" t="s">
        <v>701</v>
      </c>
      <c r="B92" s="82" t="s">
        <v>154</v>
      </c>
      <c r="C92" s="82" t="s">
        <v>172</v>
      </c>
      <c r="D92" s="95" t="s">
        <v>196</v>
      </c>
      <c r="E92" s="82" t="s">
        <v>309</v>
      </c>
      <c r="F92" s="82" t="s">
        <v>549</v>
      </c>
      <c r="G92" s="82" t="s">
        <v>137</v>
      </c>
      <c r="H92" s="82" t="s">
        <v>137</v>
      </c>
      <c r="I92" s="82" t="s">
        <v>66</v>
      </c>
      <c r="J92" s="82" t="s">
        <v>531</v>
      </c>
      <c r="K92" s="92" t="s">
        <v>137</v>
      </c>
      <c r="L92" s="92" t="s">
        <v>137</v>
      </c>
      <c r="M92" s="92" t="s">
        <v>137</v>
      </c>
      <c r="N92" s="92" t="s">
        <v>137</v>
      </c>
      <c r="O92" s="92" t="s">
        <v>137</v>
      </c>
      <c r="P92" s="92" t="s">
        <v>137</v>
      </c>
      <c r="Q92" s="82" t="s">
        <v>552</v>
      </c>
      <c r="R92" s="82" t="s">
        <v>715</v>
      </c>
      <c r="S92" s="82" t="s">
        <v>555</v>
      </c>
      <c r="T92" s="82" t="s">
        <v>320</v>
      </c>
      <c r="U92" s="83">
        <v>0.95</v>
      </c>
      <c r="V92" s="83">
        <v>0.95</v>
      </c>
      <c r="W92" s="83">
        <v>0.95</v>
      </c>
      <c r="X92" s="83">
        <v>0.95</v>
      </c>
      <c r="Y92" s="83">
        <v>0.95</v>
      </c>
      <c r="Z92" s="83">
        <v>0.95</v>
      </c>
      <c r="AA92" s="83">
        <v>0.95</v>
      </c>
      <c r="AB92" s="83">
        <v>0.95</v>
      </c>
      <c r="AC92" s="83">
        <v>0.95</v>
      </c>
      <c r="AD92" s="83">
        <v>0.95</v>
      </c>
      <c r="AE92" s="83">
        <v>0.95</v>
      </c>
      <c r="AF92" s="83">
        <v>0.95</v>
      </c>
      <c r="AG92" s="82" t="s">
        <v>533</v>
      </c>
      <c r="AH92" s="82" t="s">
        <v>529</v>
      </c>
      <c r="AI92" s="88" t="s">
        <v>538</v>
      </c>
      <c r="AJ92" s="89" t="s">
        <v>538</v>
      </c>
      <c r="AK92" s="90">
        <v>46023</v>
      </c>
      <c r="AL92" s="90">
        <v>46387</v>
      </c>
      <c r="AM92" s="89"/>
      <c r="AN92" s="89"/>
      <c r="AO92" s="89"/>
      <c r="AP92" s="91" t="s">
        <v>542</v>
      </c>
      <c r="AQ92" s="90" cm="1">
        <f t="array" ref="AQ92">IFERROR(DATE(2026, _xlfn.AGGREGATE(15, 6, (COLUMN(BY92:CJ92)-COLUMN(BY92)+1)/(BY92:CJ92&lt;&gt;0), 1), 1),"N/A")</f>
        <v>46023</v>
      </c>
      <c r="AR92" s="90" cm="1">
        <f t="array" ref="AR92">IFERROR(EOMONTH(DATE(2026, _xlfn.AGGREGATE(14, 6, (COLUMN(BY92:CJ92)-COLUMN(BY92)+1)/(BY92:CJ92&lt;&gt;0), 1), 1), 0),"N/A")</f>
        <v>46387</v>
      </c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2" t="s">
        <v>606</v>
      </c>
      <c r="BF92" s="82" t="s">
        <v>1022</v>
      </c>
      <c r="BG92" s="82" t="str">
        <f t="shared" si="6"/>
        <v>000</v>
      </c>
      <c r="BH92" s="88">
        <v>670204</v>
      </c>
      <c r="BI92" s="92" t="s">
        <v>74</v>
      </c>
      <c r="BJ92" s="93">
        <v>3000</v>
      </c>
      <c r="BK92" s="94" t="s">
        <v>548</v>
      </c>
      <c r="BL92" s="94">
        <v>272.72000000000003</v>
      </c>
      <c r="BM92" s="94">
        <v>272.72000000000003</v>
      </c>
      <c r="BN92" s="72">
        <v>272.72000000000003</v>
      </c>
      <c r="BO92" s="94">
        <v>272.73</v>
      </c>
      <c r="BP92" s="94">
        <v>272.73</v>
      </c>
      <c r="BQ92" s="94">
        <v>272.73</v>
      </c>
      <c r="BR92" s="94">
        <v>272.73</v>
      </c>
      <c r="BS92" s="94">
        <v>272.73</v>
      </c>
      <c r="BT92" s="94">
        <v>272.73</v>
      </c>
      <c r="BU92" s="94">
        <v>272.73</v>
      </c>
      <c r="BV92" s="142">
        <v>272.73</v>
      </c>
      <c r="BW92" s="142"/>
      <c r="BX92" s="143">
        <f t="shared" si="11"/>
        <v>3000</v>
      </c>
      <c r="BY92" s="94" t="s">
        <v>548</v>
      </c>
      <c r="BZ92" s="94">
        <v>272.72000000000003</v>
      </c>
      <c r="CA92" s="94">
        <v>272.72000000000003</v>
      </c>
      <c r="CB92" s="72">
        <v>272.72000000000003</v>
      </c>
      <c r="CC92" s="94">
        <v>272.73</v>
      </c>
      <c r="CD92" s="94">
        <v>272.73</v>
      </c>
      <c r="CE92" s="94">
        <v>272.73</v>
      </c>
      <c r="CF92" s="94">
        <v>272.73</v>
      </c>
      <c r="CG92" s="94">
        <v>272.73</v>
      </c>
      <c r="CH92" s="94">
        <v>272.73</v>
      </c>
      <c r="CI92" s="94">
        <v>272.73</v>
      </c>
      <c r="CJ92" s="142">
        <v>272.73</v>
      </c>
      <c r="CK92" s="142"/>
      <c r="CL92" s="142">
        <f t="shared" si="7"/>
        <v>0</v>
      </c>
      <c r="CM92" s="171">
        <v>361.1</v>
      </c>
      <c r="CN92" s="171">
        <v>0</v>
      </c>
      <c r="CO92" s="171">
        <v>3000</v>
      </c>
      <c r="CP92" s="171">
        <v>4.96</v>
      </c>
      <c r="CQ92" s="171">
        <v>0</v>
      </c>
      <c r="CR92" s="171">
        <v>0</v>
      </c>
      <c r="CS92" s="171">
        <f t="shared" si="8"/>
        <v>366.06</v>
      </c>
      <c r="CT92" s="171">
        <f t="shared" si="9"/>
        <v>0</v>
      </c>
      <c r="CU92" s="171">
        <f t="shared" si="10"/>
        <v>3000</v>
      </c>
      <c r="CV92" s="149"/>
      <c r="CW92" s="149"/>
      <c r="CX92" s="130"/>
      <c r="CY92" s="130"/>
      <c r="CZ92" s="130"/>
      <c r="DA92" s="130"/>
      <c r="DB92" s="130"/>
      <c r="DC92" s="130"/>
      <c r="DD92" s="130"/>
      <c r="DE92" s="207"/>
      <c r="DF92" s="207"/>
      <c r="DG92" s="207"/>
      <c r="DH92" s="207"/>
      <c r="DI92" s="207"/>
      <c r="DJ92" s="207"/>
      <c r="DK92" s="207"/>
      <c r="DL92" s="207"/>
      <c r="DM92" s="207"/>
      <c r="DN92" s="207"/>
      <c r="DO92" s="207"/>
      <c r="DP92" s="207"/>
      <c r="DQ92" s="207"/>
      <c r="DR92" s="207"/>
      <c r="DS92" s="207"/>
      <c r="DT92" s="207"/>
      <c r="DU92" s="207"/>
      <c r="DV92" s="207"/>
      <c r="DW92" s="207"/>
      <c r="DX92" s="207"/>
      <c r="DY92" s="207"/>
      <c r="DZ92" s="207"/>
      <c r="EA92" s="207"/>
      <c r="EB92" s="207"/>
      <c r="EC92" s="207"/>
      <c r="ED92" s="207"/>
      <c r="EE92" s="207"/>
      <c r="EF92" s="207"/>
      <c r="EG92" s="207"/>
      <c r="EH92" s="207"/>
      <c r="EI92" s="207"/>
      <c r="EJ92" s="207"/>
      <c r="EK92" s="207"/>
      <c r="EL92" s="207"/>
      <c r="EM92" s="207"/>
      <c r="EN92" s="207"/>
      <c r="EO92" s="207"/>
      <c r="EP92" s="207"/>
      <c r="EQ92" s="207"/>
      <c r="ER92" s="207"/>
      <c r="ES92" s="207"/>
      <c r="ET92" s="207"/>
      <c r="EU92" s="207"/>
      <c r="EV92" s="207"/>
      <c r="EW92" s="207"/>
      <c r="EX92" s="207"/>
      <c r="EY92" s="207"/>
      <c r="EZ92" s="207"/>
      <c r="FA92" s="207"/>
      <c r="FB92" s="201"/>
      <c r="FC92" s="201"/>
      <c r="FD92" s="201"/>
      <c r="FE92" s="201"/>
      <c r="FF92" s="201"/>
      <c r="FG92" s="201"/>
      <c r="FH92" s="201"/>
      <c r="FI92" s="201"/>
      <c r="FJ92" s="201"/>
      <c r="FK92" s="201"/>
      <c r="FL92" s="201"/>
      <c r="FM92" s="201"/>
      <c r="FN92" s="201"/>
      <c r="FO92" s="201"/>
      <c r="FP92" s="201"/>
      <c r="FQ92" s="201"/>
      <c r="FR92" s="201"/>
      <c r="FS92" s="201"/>
      <c r="FT92" s="201"/>
      <c r="FU92" s="201"/>
      <c r="FV92" s="201"/>
      <c r="FW92" s="201"/>
      <c r="FX92" s="201"/>
      <c r="FY92" s="201"/>
      <c r="FZ92" s="201"/>
      <c r="GA92" s="201"/>
      <c r="GB92" s="201"/>
      <c r="GC92" s="201"/>
      <c r="GD92" s="201"/>
      <c r="GE92" s="201"/>
      <c r="GF92" s="201"/>
      <c r="GG92" s="201"/>
      <c r="GH92" s="201"/>
      <c r="GI92" s="201"/>
      <c r="GJ92" s="201"/>
      <c r="GK92" s="201"/>
      <c r="GL92" s="201"/>
      <c r="GM92" s="201"/>
      <c r="GN92" s="201"/>
      <c r="GO92" s="201"/>
      <c r="GP92" s="201"/>
      <c r="GQ92" s="201"/>
    </row>
    <row r="93" spans="1:204" s="68" customFormat="1" ht="14.45" customHeight="1" x14ac:dyDescent="0.25">
      <c r="A93" s="68" t="s">
        <v>691</v>
      </c>
      <c r="B93" s="82" t="s">
        <v>154</v>
      </c>
      <c r="C93" s="82" t="s">
        <v>172</v>
      </c>
      <c r="D93" s="82" t="s">
        <v>196</v>
      </c>
      <c r="E93" s="82" t="s">
        <v>309</v>
      </c>
      <c r="F93" s="82" t="s">
        <v>549</v>
      </c>
      <c r="G93" s="82" t="s">
        <v>137</v>
      </c>
      <c r="H93" s="82" t="s">
        <v>137</v>
      </c>
      <c r="I93" s="82" t="s">
        <v>66</v>
      </c>
      <c r="J93" s="82" t="s">
        <v>28</v>
      </c>
      <c r="K93" s="92" t="s">
        <v>137</v>
      </c>
      <c r="L93" s="92" t="s">
        <v>137</v>
      </c>
      <c r="M93" s="92" t="s">
        <v>137</v>
      </c>
      <c r="N93" s="92" t="s">
        <v>137</v>
      </c>
      <c r="O93" s="92" t="s">
        <v>137</v>
      </c>
      <c r="P93" s="92" t="s">
        <v>137</v>
      </c>
      <c r="Q93" s="82" t="s">
        <v>494</v>
      </c>
      <c r="R93" s="82" t="s">
        <v>716</v>
      </c>
      <c r="S93" s="82" t="s">
        <v>556</v>
      </c>
      <c r="T93" s="82" t="s">
        <v>2</v>
      </c>
      <c r="U93" s="82" t="s">
        <v>548</v>
      </c>
      <c r="V93" s="82" t="s">
        <v>548</v>
      </c>
      <c r="W93" s="82" t="s">
        <v>548</v>
      </c>
      <c r="X93" s="71" t="s">
        <v>548</v>
      </c>
      <c r="Y93" s="82" t="s">
        <v>548</v>
      </c>
      <c r="Z93" s="82" t="s">
        <v>548</v>
      </c>
      <c r="AA93" s="82" t="s">
        <v>548</v>
      </c>
      <c r="AB93" s="82" t="s">
        <v>548</v>
      </c>
      <c r="AC93" s="82" t="s">
        <v>548</v>
      </c>
      <c r="AD93" s="82" t="s">
        <v>548</v>
      </c>
      <c r="AE93" s="82" t="s">
        <v>548</v>
      </c>
      <c r="AF93" s="83">
        <v>1</v>
      </c>
      <c r="AG93" s="82" t="s">
        <v>534</v>
      </c>
      <c r="AH93" s="82" t="s">
        <v>529</v>
      </c>
      <c r="AI93" s="88" t="s">
        <v>538</v>
      </c>
      <c r="AJ93" s="89" t="s">
        <v>538</v>
      </c>
      <c r="AK93" s="90">
        <v>46023</v>
      </c>
      <c r="AL93" s="90">
        <v>46387</v>
      </c>
      <c r="AM93" s="89"/>
      <c r="AN93" s="89"/>
      <c r="AO93" s="89"/>
      <c r="AP93" s="91" t="s">
        <v>541</v>
      </c>
      <c r="AQ93" s="90" cm="1">
        <f t="array" ref="AQ93">IFERROR(DATE(2026, _xlfn.AGGREGATE(15, 6, (COLUMN(BY93:CJ93)-COLUMN(BY93)+1)/(BY93:CJ93&lt;&gt;0), 1), 1),"N/A")</f>
        <v>46023</v>
      </c>
      <c r="AR93" s="90" cm="1">
        <f t="array" ref="AR93">IFERROR(EOMONTH(DATE(2026, _xlfn.AGGREGATE(14, 6, (COLUMN(BY93:CJ93)-COLUMN(BY93)+1)/(BY93:CJ93&lt;&gt;0), 1), 1), 0),"N/A")</f>
        <v>46387</v>
      </c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2" t="s">
        <v>613</v>
      </c>
      <c r="BF93" s="82" t="s">
        <v>1047</v>
      </c>
      <c r="BG93" s="82" t="str">
        <f t="shared" si="6"/>
        <v>000</v>
      </c>
      <c r="BH93" s="88">
        <v>510306</v>
      </c>
      <c r="BI93" s="92" t="s">
        <v>74</v>
      </c>
      <c r="BJ93" s="93">
        <v>3758.4</v>
      </c>
      <c r="BK93" s="94">
        <v>313.2</v>
      </c>
      <c r="BL93" s="94">
        <v>313.2</v>
      </c>
      <c r="BM93" s="94">
        <v>313.2</v>
      </c>
      <c r="BN93" s="72">
        <v>313.2</v>
      </c>
      <c r="BO93" s="94">
        <v>313.2</v>
      </c>
      <c r="BP93" s="94">
        <v>313.2</v>
      </c>
      <c r="BQ93" s="94">
        <v>313.2</v>
      </c>
      <c r="BR93" s="94">
        <v>313.2</v>
      </c>
      <c r="BS93" s="94">
        <v>313.2</v>
      </c>
      <c r="BT93" s="94">
        <v>313.2</v>
      </c>
      <c r="BU93" s="94">
        <v>313.2</v>
      </c>
      <c r="BV93" s="142">
        <v>313.2</v>
      </c>
      <c r="BW93" s="142"/>
      <c r="BX93" s="143">
        <f t="shared" si="11"/>
        <v>3758.4</v>
      </c>
      <c r="BY93" s="94">
        <v>313.2</v>
      </c>
      <c r="BZ93" s="94">
        <v>313.2</v>
      </c>
      <c r="CA93" s="94">
        <v>313.2</v>
      </c>
      <c r="CB93" s="72">
        <v>313.2</v>
      </c>
      <c r="CC93" s="94">
        <v>313.2</v>
      </c>
      <c r="CD93" s="94">
        <v>313.2</v>
      </c>
      <c r="CE93" s="94">
        <v>313.2</v>
      </c>
      <c r="CF93" s="94">
        <v>313.2</v>
      </c>
      <c r="CG93" s="94">
        <v>313.2</v>
      </c>
      <c r="CH93" s="94">
        <v>313.2</v>
      </c>
      <c r="CI93" s="94">
        <v>313.2</v>
      </c>
      <c r="CJ93" s="142">
        <v>313.2</v>
      </c>
      <c r="CK93" s="142"/>
      <c r="CL93" s="142">
        <f t="shared" si="7"/>
        <v>0</v>
      </c>
      <c r="CM93" s="171">
        <v>280.8</v>
      </c>
      <c r="CN93" s="171">
        <v>0</v>
      </c>
      <c r="CO93" s="171">
        <v>280.8</v>
      </c>
      <c r="CP93" s="171">
        <v>241.2</v>
      </c>
      <c r="CQ93" s="171">
        <v>0</v>
      </c>
      <c r="CR93" s="171">
        <v>241.2</v>
      </c>
      <c r="CS93" s="171">
        <f t="shared" si="8"/>
        <v>522</v>
      </c>
      <c r="CT93" s="171">
        <f t="shared" si="9"/>
        <v>0</v>
      </c>
      <c r="CU93" s="171">
        <f t="shared" si="10"/>
        <v>522</v>
      </c>
      <c r="CV93" s="149"/>
      <c r="CW93" s="149"/>
      <c r="CX93" s="130"/>
      <c r="CY93" s="130"/>
      <c r="CZ93" s="130"/>
      <c r="DA93" s="130"/>
      <c r="DB93" s="130"/>
      <c r="DC93" s="130"/>
      <c r="DD93" s="130"/>
      <c r="DE93" s="130"/>
      <c r="DF93" s="130"/>
      <c r="DG93" s="130"/>
      <c r="DH93" s="130"/>
      <c r="DI93" s="130"/>
      <c r="DJ93" s="130"/>
      <c r="DK93" s="130"/>
      <c r="DL93" s="130"/>
      <c r="DM93" s="130"/>
      <c r="DN93" s="130"/>
      <c r="DO93" s="130"/>
      <c r="DP93" s="130"/>
      <c r="DQ93" s="130"/>
      <c r="DR93" s="130"/>
      <c r="DS93" s="130"/>
      <c r="DT93" s="130"/>
      <c r="DU93" s="130"/>
      <c r="DV93" s="130"/>
      <c r="DW93" s="130"/>
      <c r="DX93" s="130"/>
      <c r="DY93" s="130"/>
      <c r="DZ93" s="130"/>
      <c r="EA93" s="130"/>
      <c r="EB93" s="130"/>
      <c r="EC93" s="130"/>
      <c r="ED93" s="130"/>
      <c r="EE93" s="130"/>
      <c r="EF93" s="130"/>
      <c r="EG93" s="130"/>
      <c r="EH93" s="130"/>
      <c r="EI93" s="130"/>
      <c r="EJ93" s="130"/>
      <c r="EK93" s="130"/>
      <c r="EL93" s="130"/>
      <c r="EM93" s="130"/>
      <c r="EN93" s="130"/>
      <c r="EO93" s="130"/>
      <c r="EP93" s="130"/>
      <c r="EQ93" s="130"/>
      <c r="ER93" s="130"/>
      <c r="ES93" s="130"/>
      <c r="ET93" s="130"/>
      <c r="EU93" s="130"/>
      <c r="EV93" s="130"/>
      <c r="EW93" s="130"/>
      <c r="EX93" s="130"/>
      <c r="EY93" s="130"/>
      <c r="EZ93" s="130"/>
      <c r="FA93" s="130"/>
      <c r="FB93" s="201"/>
      <c r="FC93" s="201"/>
      <c r="FD93" s="201"/>
      <c r="FE93" s="201"/>
      <c r="FF93" s="201"/>
      <c r="FG93" s="201"/>
      <c r="FH93" s="201"/>
      <c r="FI93" s="201"/>
      <c r="FJ93" s="201"/>
      <c r="FK93" s="201"/>
      <c r="FL93" s="201"/>
      <c r="FM93" s="201"/>
      <c r="FN93" s="201"/>
      <c r="FO93" s="201"/>
      <c r="FP93" s="201"/>
      <c r="FQ93" s="201"/>
      <c r="FR93" s="201"/>
      <c r="FS93" s="201"/>
      <c r="FT93" s="201"/>
      <c r="FU93" s="201"/>
      <c r="FV93" s="201"/>
      <c r="FW93" s="201"/>
      <c r="FX93" s="201"/>
      <c r="FY93" s="201"/>
      <c r="FZ93" s="201"/>
      <c r="GA93" s="201"/>
      <c r="GB93" s="201"/>
      <c r="GC93" s="201"/>
      <c r="GD93" s="201"/>
      <c r="GE93" s="201"/>
      <c r="GF93" s="201"/>
      <c r="GG93" s="201"/>
      <c r="GH93" s="201"/>
      <c r="GI93" s="201"/>
      <c r="GJ93" s="201"/>
      <c r="GK93" s="201"/>
      <c r="GL93" s="201"/>
      <c r="GM93" s="201"/>
      <c r="GN93" s="201"/>
      <c r="GO93" s="201"/>
      <c r="GP93" s="201"/>
      <c r="GQ93" s="201"/>
    </row>
    <row r="94" spans="1:204" s="68" customFormat="1" ht="14.45" customHeight="1" x14ac:dyDescent="0.25">
      <c r="A94" s="68" t="s">
        <v>691</v>
      </c>
      <c r="B94" s="82" t="s">
        <v>154</v>
      </c>
      <c r="C94" s="82" t="s">
        <v>172</v>
      </c>
      <c r="D94" s="82" t="s">
        <v>196</v>
      </c>
      <c r="E94" s="82" t="s">
        <v>309</v>
      </c>
      <c r="F94" s="82" t="s">
        <v>549</v>
      </c>
      <c r="G94" s="82" t="s">
        <v>137</v>
      </c>
      <c r="H94" s="82" t="s">
        <v>137</v>
      </c>
      <c r="I94" s="82" t="s">
        <v>66</v>
      </c>
      <c r="J94" s="82" t="s">
        <v>28</v>
      </c>
      <c r="K94" s="92" t="s">
        <v>137</v>
      </c>
      <c r="L94" s="92" t="s">
        <v>137</v>
      </c>
      <c r="M94" s="92" t="s">
        <v>137</v>
      </c>
      <c r="N94" s="92" t="s">
        <v>137</v>
      </c>
      <c r="O94" s="92" t="s">
        <v>137</v>
      </c>
      <c r="P94" s="92" t="s">
        <v>137</v>
      </c>
      <c r="Q94" s="82" t="s">
        <v>494</v>
      </c>
      <c r="R94" s="82" t="s">
        <v>716</v>
      </c>
      <c r="S94" s="82" t="s">
        <v>556</v>
      </c>
      <c r="T94" s="82" t="s">
        <v>2</v>
      </c>
      <c r="U94" s="82" t="s">
        <v>548</v>
      </c>
      <c r="V94" s="82" t="s">
        <v>548</v>
      </c>
      <c r="W94" s="82" t="s">
        <v>548</v>
      </c>
      <c r="X94" s="71" t="s">
        <v>548</v>
      </c>
      <c r="Y94" s="82" t="s">
        <v>548</v>
      </c>
      <c r="Z94" s="82" t="s">
        <v>548</v>
      </c>
      <c r="AA94" s="82" t="s">
        <v>548</v>
      </c>
      <c r="AB94" s="82" t="s">
        <v>548</v>
      </c>
      <c r="AC94" s="82" t="s">
        <v>548</v>
      </c>
      <c r="AD94" s="82" t="s">
        <v>548</v>
      </c>
      <c r="AE94" s="82" t="s">
        <v>548</v>
      </c>
      <c r="AF94" s="83">
        <v>1</v>
      </c>
      <c r="AG94" s="82" t="s">
        <v>534</v>
      </c>
      <c r="AH94" s="82" t="s">
        <v>529</v>
      </c>
      <c r="AI94" s="88" t="s">
        <v>538</v>
      </c>
      <c r="AJ94" s="89" t="s">
        <v>538</v>
      </c>
      <c r="AK94" s="90">
        <v>46023</v>
      </c>
      <c r="AL94" s="90">
        <v>46387</v>
      </c>
      <c r="AM94" s="89"/>
      <c r="AN94" s="89"/>
      <c r="AO94" s="89"/>
      <c r="AP94" s="91" t="s">
        <v>541</v>
      </c>
      <c r="AQ94" s="90" cm="1">
        <f t="array" ref="AQ94">IFERROR(DATE(2026, _xlfn.AGGREGATE(15, 6, (COLUMN(BY94:CJ94)-COLUMN(BY94)+1)/(BY94:CJ94&lt;&gt;0), 1), 1),"N/A")</f>
        <v>46023</v>
      </c>
      <c r="AR94" s="90" cm="1">
        <f t="array" ref="AR94">IFERROR(EOMONTH(DATE(2026, _xlfn.AGGREGATE(14, 6, (COLUMN(BY94:CJ94)-COLUMN(BY94)+1)/(BY94:CJ94&lt;&gt;0), 1), 1), 0),"N/A")</f>
        <v>46387</v>
      </c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2" t="s">
        <v>650</v>
      </c>
      <c r="BF94" s="82" t="s">
        <v>1048</v>
      </c>
      <c r="BG94" s="82" t="str">
        <f t="shared" si="6"/>
        <v>000</v>
      </c>
      <c r="BH94" s="88">
        <v>510601</v>
      </c>
      <c r="BI94" s="92" t="s">
        <v>74</v>
      </c>
      <c r="BJ94" s="93">
        <v>193836.66999999998</v>
      </c>
      <c r="BK94" s="94">
        <v>16153.055833333332</v>
      </c>
      <c r="BL94" s="94">
        <v>16153.055833333332</v>
      </c>
      <c r="BM94" s="94">
        <v>16153.055833333332</v>
      </c>
      <c r="BN94" s="72">
        <v>16153.055833333332</v>
      </c>
      <c r="BO94" s="94">
        <v>16153.055833333332</v>
      </c>
      <c r="BP94" s="94">
        <v>16153.055833333332</v>
      </c>
      <c r="BQ94" s="94">
        <v>16153.055833333332</v>
      </c>
      <c r="BR94" s="94">
        <v>16153.055833333332</v>
      </c>
      <c r="BS94" s="94">
        <v>16153.055833333332</v>
      </c>
      <c r="BT94" s="94">
        <v>16153.055833333332</v>
      </c>
      <c r="BU94" s="94">
        <v>16153.055833333332</v>
      </c>
      <c r="BV94" s="142">
        <v>16153.055833333332</v>
      </c>
      <c r="BW94" s="142"/>
      <c r="BX94" s="143">
        <f t="shared" si="11"/>
        <v>193836.66999999998</v>
      </c>
      <c r="BY94" s="94">
        <v>16153.055833333332</v>
      </c>
      <c r="BZ94" s="94">
        <v>16153.055833333332</v>
      </c>
      <c r="CA94" s="94">
        <v>16153.055833333332</v>
      </c>
      <c r="CB94" s="72">
        <v>16153.055833333332</v>
      </c>
      <c r="CC94" s="94">
        <v>16153.055833333332</v>
      </c>
      <c r="CD94" s="94">
        <v>16153.055833333332</v>
      </c>
      <c r="CE94" s="94">
        <v>16153.055833333332</v>
      </c>
      <c r="CF94" s="94">
        <v>16153.055833333332</v>
      </c>
      <c r="CG94" s="94">
        <v>16153.055833333332</v>
      </c>
      <c r="CH94" s="94">
        <v>16153.055833333332</v>
      </c>
      <c r="CI94" s="94">
        <v>16153.055833333332</v>
      </c>
      <c r="CJ94" s="142">
        <v>16153.055833333332</v>
      </c>
      <c r="CK94" s="142"/>
      <c r="CL94" s="142">
        <f t="shared" si="7"/>
        <v>0</v>
      </c>
      <c r="CM94" s="171">
        <v>16359.85</v>
      </c>
      <c r="CN94" s="171">
        <v>5811.77</v>
      </c>
      <c r="CO94" s="171">
        <v>16359.85</v>
      </c>
      <c r="CP94" s="171">
        <v>15632.27</v>
      </c>
      <c r="CQ94" s="171">
        <v>22031.200000000001</v>
      </c>
      <c r="CR94" s="171">
        <v>15632.27</v>
      </c>
      <c r="CS94" s="171">
        <f t="shared" si="8"/>
        <v>31992.120000000003</v>
      </c>
      <c r="CT94" s="171">
        <f t="shared" si="9"/>
        <v>27842.97</v>
      </c>
      <c r="CU94" s="171">
        <f t="shared" si="10"/>
        <v>31992.120000000003</v>
      </c>
      <c r="CV94" s="149"/>
      <c r="CW94" s="149"/>
      <c r="CX94" s="130"/>
      <c r="CY94" s="130"/>
      <c r="CZ94" s="130"/>
      <c r="DA94" s="130"/>
      <c r="DB94" s="130"/>
      <c r="DC94" s="130"/>
      <c r="DD94" s="130"/>
      <c r="DE94" s="130"/>
      <c r="DF94" s="130"/>
      <c r="DG94" s="130"/>
      <c r="DH94" s="130"/>
      <c r="DI94" s="130"/>
      <c r="DJ94" s="130"/>
      <c r="DK94" s="130"/>
      <c r="DL94" s="130"/>
      <c r="DM94" s="130"/>
      <c r="DN94" s="130"/>
      <c r="DO94" s="130"/>
      <c r="DP94" s="130"/>
      <c r="DQ94" s="130"/>
      <c r="DR94" s="130"/>
      <c r="DS94" s="130"/>
      <c r="DT94" s="130"/>
      <c r="DU94" s="130"/>
      <c r="DV94" s="130"/>
      <c r="DW94" s="130"/>
      <c r="DX94" s="130"/>
      <c r="DY94" s="130"/>
      <c r="DZ94" s="130"/>
      <c r="EA94" s="130"/>
      <c r="EB94" s="130"/>
      <c r="EC94" s="130"/>
      <c r="ED94" s="130"/>
      <c r="EE94" s="130"/>
      <c r="EF94" s="130"/>
      <c r="EG94" s="130"/>
      <c r="EH94" s="130"/>
      <c r="EI94" s="130"/>
      <c r="EJ94" s="130"/>
      <c r="EK94" s="130"/>
      <c r="EL94" s="130"/>
      <c r="EM94" s="130"/>
      <c r="EN94" s="130"/>
      <c r="EO94" s="130"/>
      <c r="EP94" s="130"/>
      <c r="EQ94" s="130"/>
      <c r="ER94" s="130"/>
      <c r="ES94" s="130"/>
      <c r="ET94" s="130"/>
      <c r="EU94" s="130"/>
      <c r="EV94" s="130"/>
      <c r="EW94" s="130"/>
      <c r="EX94" s="130"/>
      <c r="EY94" s="130"/>
      <c r="EZ94" s="130"/>
      <c r="FA94" s="130"/>
      <c r="FB94" s="201"/>
      <c r="FC94" s="201"/>
      <c r="FD94" s="201"/>
      <c r="FE94" s="201"/>
      <c r="FF94" s="201"/>
      <c r="FG94" s="201"/>
      <c r="FH94" s="201"/>
      <c r="FI94" s="201"/>
      <c r="FJ94" s="201"/>
      <c r="FK94" s="201"/>
      <c r="FL94" s="201"/>
      <c r="FM94" s="201"/>
      <c r="FN94" s="201"/>
      <c r="FO94" s="201"/>
      <c r="FP94" s="201"/>
      <c r="FQ94" s="201"/>
      <c r="FR94" s="201"/>
      <c r="FS94" s="201"/>
      <c r="FT94" s="201"/>
      <c r="FU94" s="201"/>
      <c r="FV94" s="201"/>
      <c r="FW94" s="201"/>
      <c r="FX94" s="201"/>
      <c r="FY94" s="201"/>
      <c r="FZ94" s="201"/>
      <c r="GA94" s="201"/>
      <c r="GB94" s="201"/>
      <c r="GC94" s="201"/>
      <c r="GD94" s="201"/>
      <c r="GE94" s="201"/>
      <c r="GF94" s="201"/>
      <c r="GG94" s="201"/>
      <c r="GH94" s="201"/>
      <c r="GI94" s="201"/>
      <c r="GJ94" s="201"/>
      <c r="GK94" s="201"/>
      <c r="GL94" s="201"/>
      <c r="GM94" s="201"/>
      <c r="GN94" s="201"/>
      <c r="GO94" s="201"/>
      <c r="GP94" s="201"/>
      <c r="GQ94" s="201"/>
    </row>
    <row r="95" spans="1:204" s="68" customFormat="1" ht="14.45" customHeight="1" x14ac:dyDescent="0.25">
      <c r="A95" s="68" t="s">
        <v>691</v>
      </c>
      <c r="B95" s="82" t="s">
        <v>154</v>
      </c>
      <c r="C95" s="82" t="s">
        <v>172</v>
      </c>
      <c r="D95" s="82" t="s">
        <v>196</v>
      </c>
      <c r="E95" s="82" t="s">
        <v>309</v>
      </c>
      <c r="F95" s="82" t="s">
        <v>549</v>
      </c>
      <c r="G95" s="82" t="s">
        <v>137</v>
      </c>
      <c r="H95" s="82" t="s">
        <v>137</v>
      </c>
      <c r="I95" s="82" t="s">
        <v>66</v>
      </c>
      <c r="J95" s="82" t="s">
        <v>28</v>
      </c>
      <c r="K95" s="92" t="s">
        <v>137</v>
      </c>
      <c r="L95" s="92" t="s">
        <v>137</v>
      </c>
      <c r="M95" s="92" t="s">
        <v>137</v>
      </c>
      <c r="N95" s="92" t="s">
        <v>137</v>
      </c>
      <c r="O95" s="92" t="s">
        <v>137</v>
      </c>
      <c r="P95" s="92" t="s">
        <v>137</v>
      </c>
      <c r="Q95" s="82" t="s">
        <v>494</v>
      </c>
      <c r="R95" s="82" t="s">
        <v>716</v>
      </c>
      <c r="S95" s="82" t="s">
        <v>556</v>
      </c>
      <c r="T95" s="82" t="s">
        <v>2</v>
      </c>
      <c r="U95" s="82" t="s">
        <v>548</v>
      </c>
      <c r="V95" s="82" t="s">
        <v>548</v>
      </c>
      <c r="W95" s="82" t="s">
        <v>548</v>
      </c>
      <c r="X95" s="71" t="s">
        <v>548</v>
      </c>
      <c r="Y95" s="82" t="s">
        <v>548</v>
      </c>
      <c r="Z95" s="82" t="s">
        <v>548</v>
      </c>
      <c r="AA95" s="82" t="s">
        <v>548</v>
      </c>
      <c r="AB95" s="82" t="s">
        <v>548</v>
      </c>
      <c r="AC95" s="82" t="s">
        <v>548</v>
      </c>
      <c r="AD95" s="82" t="s">
        <v>548</v>
      </c>
      <c r="AE95" s="82" t="s">
        <v>548</v>
      </c>
      <c r="AF95" s="83">
        <v>1</v>
      </c>
      <c r="AG95" s="82" t="s">
        <v>534</v>
      </c>
      <c r="AH95" s="82" t="s">
        <v>529</v>
      </c>
      <c r="AI95" s="88" t="s">
        <v>538</v>
      </c>
      <c r="AJ95" s="89" t="s">
        <v>538</v>
      </c>
      <c r="AK95" s="90">
        <v>46023</v>
      </c>
      <c r="AL95" s="90">
        <v>46387</v>
      </c>
      <c r="AM95" s="89"/>
      <c r="AN95" s="89"/>
      <c r="AO95" s="89"/>
      <c r="AP95" s="91" t="s">
        <v>541</v>
      </c>
      <c r="AQ95" s="90" t="str" cm="1">
        <f t="array" ref="AQ95">IFERROR(DATE(2026, _xlfn.AGGREGATE(15, 6, (COLUMN(BY95:CJ95)-COLUMN(BY95)+1)/(BY95:CJ95&lt;&gt;0), 1), 1),"N/A")</f>
        <v>N/A</v>
      </c>
      <c r="AR95" s="90" t="str" cm="1">
        <f t="array" ref="AR95">IFERROR(EOMONTH(DATE(2026, _xlfn.AGGREGATE(14, 6, (COLUMN(BY95:CJ95)-COLUMN(BY95)+1)/(BY95:CJ95&lt;&gt;0), 1), 1), 0),"N/A")</f>
        <v>N/A</v>
      </c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2" t="s">
        <v>657</v>
      </c>
      <c r="BF95" s="82" t="s">
        <v>1060</v>
      </c>
      <c r="BG95" s="82" t="str">
        <f t="shared" si="6"/>
        <v>000</v>
      </c>
      <c r="BH95" s="88">
        <v>510704</v>
      </c>
      <c r="BI95" s="92" t="s">
        <v>74</v>
      </c>
      <c r="BJ95" s="93">
        <v>22302</v>
      </c>
      <c r="BK95" s="94">
        <v>1858.5</v>
      </c>
      <c r="BL95" s="94">
        <v>1858.5</v>
      </c>
      <c r="BM95" s="94">
        <v>1858.5</v>
      </c>
      <c r="BN95" s="72">
        <v>1858.5</v>
      </c>
      <c r="BO95" s="94">
        <v>1858.5</v>
      </c>
      <c r="BP95" s="94">
        <v>1858.5</v>
      </c>
      <c r="BQ95" s="94">
        <v>1858.5</v>
      </c>
      <c r="BR95" s="94">
        <v>1858.5</v>
      </c>
      <c r="BS95" s="94">
        <v>1858.5</v>
      </c>
      <c r="BT95" s="94">
        <v>1858.5</v>
      </c>
      <c r="BU95" s="94">
        <v>1858.5</v>
      </c>
      <c r="BV95" s="142">
        <v>1858.5</v>
      </c>
      <c r="BW95" s="142">
        <v>-22302</v>
      </c>
      <c r="BX95" s="143">
        <f t="shared" si="11"/>
        <v>0</v>
      </c>
      <c r="BY95" s="94"/>
      <c r="BZ95" s="94"/>
      <c r="CA95" s="94"/>
      <c r="CB95" s="72"/>
      <c r="CC95" s="94"/>
      <c r="CD95" s="94"/>
      <c r="CE95" s="94"/>
      <c r="CF95" s="94"/>
      <c r="CG95" s="94"/>
      <c r="CH95" s="94"/>
      <c r="CI95" s="94"/>
      <c r="CJ95" s="142"/>
      <c r="CK95" s="142"/>
      <c r="CL95" s="142">
        <f t="shared" si="7"/>
        <v>0</v>
      </c>
      <c r="CM95" s="171">
        <v>0</v>
      </c>
      <c r="CN95" s="171">
        <v>0</v>
      </c>
      <c r="CO95" s="171">
        <v>0</v>
      </c>
      <c r="CP95" s="171">
        <v>0</v>
      </c>
      <c r="CQ95" s="171">
        <v>0</v>
      </c>
      <c r="CR95" s="171">
        <v>0</v>
      </c>
      <c r="CS95" s="171">
        <f t="shared" si="8"/>
        <v>0</v>
      </c>
      <c r="CT95" s="171">
        <f t="shared" si="9"/>
        <v>0</v>
      </c>
      <c r="CU95" s="171">
        <f t="shared" si="10"/>
        <v>0</v>
      </c>
      <c r="CV95" s="149"/>
      <c r="CW95" s="149"/>
      <c r="CX95" s="130"/>
      <c r="CY95" s="130"/>
      <c r="CZ95" s="130"/>
      <c r="DA95" s="130"/>
      <c r="DB95" s="130"/>
      <c r="DC95" s="130"/>
      <c r="DD95" s="130"/>
      <c r="DE95" s="130"/>
      <c r="DF95" s="130"/>
      <c r="DG95" s="130"/>
      <c r="DH95" s="130"/>
      <c r="DI95" s="130"/>
      <c r="DJ95" s="130"/>
      <c r="DK95" s="130"/>
      <c r="DL95" s="130"/>
      <c r="DM95" s="130"/>
      <c r="DN95" s="130"/>
      <c r="DO95" s="130"/>
      <c r="DP95" s="130"/>
      <c r="DQ95" s="130"/>
      <c r="DR95" s="130"/>
      <c r="DS95" s="130"/>
      <c r="DT95" s="130"/>
      <c r="DU95" s="130"/>
      <c r="DV95" s="130"/>
      <c r="DW95" s="130"/>
      <c r="DX95" s="130"/>
      <c r="DY95" s="130"/>
      <c r="DZ95" s="130"/>
      <c r="EA95" s="130"/>
      <c r="EB95" s="130"/>
      <c r="EC95" s="130"/>
      <c r="ED95" s="130"/>
      <c r="EE95" s="130"/>
      <c r="EF95" s="130"/>
      <c r="EG95" s="130"/>
      <c r="EH95" s="130"/>
      <c r="EI95" s="130"/>
      <c r="EJ95" s="130"/>
      <c r="EK95" s="130"/>
      <c r="EL95" s="130"/>
      <c r="EM95" s="130"/>
      <c r="EN95" s="130"/>
      <c r="EO95" s="130"/>
      <c r="EP95" s="130"/>
      <c r="EQ95" s="130"/>
      <c r="ER95" s="130"/>
      <c r="ES95" s="130"/>
      <c r="ET95" s="130"/>
      <c r="EU95" s="130"/>
      <c r="EV95" s="130"/>
      <c r="EW95" s="130"/>
      <c r="EX95" s="130"/>
      <c r="EY95" s="130"/>
      <c r="EZ95" s="130"/>
      <c r="FA95" s="130"/>
      <c r="FB95" s="201"/>
      <c r="FC95" s="201"/>
      <c r="FD95" s="201"/>
      <c r="FE95" s="201"/>
      <c r="FF95" s="201"/>
      <c r="FG95" s="201"/>
      <c r="FH95" s="201"/>
      <c r="FI95" s="201"/>
      <c r="FJ95" s="201"/>
      <c r="FK95" s="201"/>
      <c r="FL95" s="201"/>
      <c r="FM95" s="201"/>
      <c r="FN95" s="201"/>
      <c r="FO95" s="201"/>
      <c r="FP95" s="201"/>
      <c r="FQ95" s="201"/>
      <c r="FR95" s="201"/>
      <c r="FS95" s="201"/>
      <c r="FT95" s="201"/>
      <c r="FU95" s="201"/>
      <c r="FV95" s="201"/>
      <c r="FW95" s="201"/>
      <c r="FX95" s="201"/>
      <c r="FY95" s="201"/>
      <c r="FZ95" s="201"/>
      <c r="GA95" s="201"/>
      <c r="GB95" s="201"/>
      <c r="GC95" s="201"/>
      <c r="GD95" s="201"/>
      <c r="GE95" s="201"/>
      <c r="GF95" s="201"/>
      <c r="GG95" s="201"/>
      <c r="GH95" s="201"/>
      <c r="GI95" s="201"/>
      <c r="GJ95" s="201"/>
      <c r="GK95" s="201"/>
      <c r="GL95" s="201"/>
      <c r="GM95" s="201"/>
      <c r="GN95" s="201"/>
      <c r="GO95" s="201"/>
      <c r="GP95" s="201"/>
      <c r="GQ95" s="201"/>
    </row>
    <row r="96" spans="1:204" s="68" customFormat="1" ht="14.45" customHeight="1" x14ac:dyDescent="0.25">
      <c r="A96" s="68" t="s">
        <v>691</v>
      </c>
      <c r="B96" s="82" t="s">
        <v>154</v>
      </c>
      <c r="C96" s="82" t="s">
        <v>172</v>
      </c>
      <c r="D96" s="82" t="s">
        <v>196</v>
      </c>
      <c r="E96" s="82" t="s">
        <v>309</v>
      </c>
      <c r="F96" s="82" t="s">
        <v>549</v>
      </c>
      <c r="G96" s="82" t="s">
        <v>137</v>
      </c>
      <c r="H96" s="82" t="s">
        <v>137</v>
      </c>
      <c r="I96" s="82" t="s">
        <v>66</v>
      </c>
      <c r="J96" s="82" t="s">
        <v>28</v>
      </c>
      <c r="K96" s="92" t="s">
        <v>137</v>
      </c>
      <c r="L96" s="92" t="s">
        <v>137</v>
      </c>
      <c r="M96" s="92" t="s">
        <v>137</v>
      </c>
      <c r="N96" s="92" t="s">
        <v>137</v>
      </c>
      <c r="O96" s="92" t="s">
        <v>137</v>
      </c>
      <c r="P96" s="92" t="s">
        <v>137</v>
      </c>
      <c r="Q96" s="82" t="s">
        <v>494</v>
      </c>
      <c r="R96" s="82" t="s">
        <v>716</v>
      </c>
      <c r="S96" s="82" t="s">
        <v>556</v>
      </c>
      <c r="T96" s="82" t="s">
        <v>2</v>
      </c>
      <c r="U96" s="82" t="s">
        <v>548</v>
      </c>
      <c r="V96" s="82" t="s">
        <v>548</v>
      </c>
      <c r="W96" s="82" t="s">
        <v>548</v>
      </c>
      <c r="X96" s="71" t="s">
        <v>548</v>
      </c>
      <c r="Y96" s="82" t="s">
        <v>548</v>
      </c>
      <c r="Z96" s="82" t="s">
        <v>548</v>
      </c>
      <c r="AA96" s="82" t="s">
        <v>548</v>
      </c>
      <c r="AB96" s="82" t="s">
        <v>548</v>
      </c>
      <c r="AC96" s="82" t="s">
        <v>548</v>
      </c>
      <c r="AD96" s="82" t="s">
        <v>548</v>
      </c>
      <c r="AE96" s="82" t="s">
        <v>548</v>
      </c>
      <c r="AF96" s="83">
        <v>1</v>
      </c>
      <c r="AG96" s="82" t="s">
        <v>534</v>
      </c>
      <c r="AH96" s="82" t="s">
        <v>529</v>
      </c>
      <c r="AI96" s="88" t="s">
        <v>538</v>
      </c>
      <c r="AJ96" s="89" t="s">
        <v>538</v>
      </c>
      <c r="AK96" s="90">
        <v>46023</v>
      </c>
      <c r="AL96" s="90">
        <v>46387</v>
      </c>
      <c r="AM96" s="89"/>
      <c r="AN96" s="89"/>
      <c r="AO96" s="89"/>
      <c r="AP96" s="91" t="s">
        <v>541</v>
      </c>
      <c r="AQ96" s="90" cm="1">
        <f t="array" ref="AQ96">IFERROR(DATE(2026, _xlfn.AGGREGATE(15, 6, (COLUMN(BY96:CJ96)-COLUMN(BY96)+1)/(BY96:CJ96&lt;&gt;0), 1), 1),"N/A")</f>
        <v>46023</v>
      </c>
      <c r="AR96" s="90" cm="1">
        <f t="array" ref="AR96">IFERROR(EOMONTH(DATE(2026, _xlfn.AGGREGATE(14, 6, (COLUMN(BY96:CJ96)-COLUMN(BY96)+1)/(BY96:CJ96&lt;&gt;0), 1), 1), 0),"N/A")</f>
        <v>46387</v>
      </c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2" t="s">
        <v>785</v>
      </c>
      <c r="BF96" s="82" t="s">
        <v>1049</v>
      </c>
      <c r="BG96" s="82" t="str">
        <f t="shared" si="6"/>
        <v>000</v>
      </c>
      <c r="BH96" s="88">
        <v>510304</v>
      </c>
      <c r="BI96" s="92" t="s">
        <v>74</v>
      </c>
      <c r="BJ96" s="93">
        <v>522</v>
      </c>
      <c r="BK96" s="94">
        <v>43.5</v>
      </c>
      <c r="BL96" s="94">
        <v>43.5</v>
      </c>
      <c r="BM96" s="94">
        <v>43.5</v>
      </c>
      <c r="BN96" s="72">
        <v>43.5</v>
      </c>
      <c r="BO96" s="94">
        <v>43.5</v>
      </c>
      <c r="BP96" s="94">
        <v>43.5</v>
      </c>
      <c r="BQ96" s="94">
        <v>43.5</v>
      </c>
      <c r="BR96" s="94">
        <v>43.5</v>
      </c>
      <c r="BS96" s="94">
        <v>43.5</v>
      </c>
      <c r="BT96" s="94">
        <v>43.5</v>
      </c>
      <c r="BU96" s="94">
        <v>43.5</v>
      </c>
      <c r="BV96" s="142">
        <v>43.5</v>
      </c>
      <c r="BW96" s="142"/>
      <c r="BX96" s="143">
        <f t="shared" si="11"/>
        <v>522</v>
      </c>
      <c r="BY96" s="94">
        <v>43.5</v>
      </c>
      <c r="BZ96" s="94">
        <v>43.5</v>
      </c>
      <c r="CA96" s="94">
        <v>43.5</v>
      </c>
      <c r="CB96" s="72">
        <v>43.5</v>
      </c>
      <c r="CC96" s="94">
        <v>43.5</v>
      </c>
      <c r="CD96" s="94">
        <v>43.5</v>
      </c>
      <c r="CE96" s="94">
        <v>43.5</v>
      </c>
      <c r="CF96" s="94">
        <v>43.5</v>
      </c>
      <c r="CG96" s="94">
        <v>43.5</v>
      </c>
      <c r="CH96" s="94">
        <v>43.5</v>
      </c>
      <c r="CI96" s="94">
        <v>43.5</v>
      </c>
      <c r="CJ96" s="142">
        <v>43.5</v>
      </c>
      <c r="CK96" s="142"/>
      <c r="CL96" s="142">
        <f t="shared" si="7"/>
        <v>0</v>
      </c>
      <c r="CM96" s="171">
        <v>39</v>
      </c>
      <c r="CN96" s="171">
        <v>0</v>
      </c>
      <c r="CO96" s="171">
        <v>39</v>
      </c>
      <c r="CP96" s="171">
        <v>33.5</v>
      </c>
      <c r="CQ96" s="171">
        <v>0</v>
      </c>
      <c r="CR96" s="171">
        <v>33.5</v>
      </c>
      <c r="CS96" s="171">
        <f t="shared" si="8"/>
        <v>72.5</v>
      </c>
      <c r="CT96" s="171">
        <f t="shared" si="9"/>
        <v>0</v>
      </c>
      <c r="CU96" s="171">
        <f t="shared" si="10"/>
        <v>72.5</v>
      </c>
      <c r="CV96" s="149"/>
      <c r="CW96" s="149"/>
      <c r="CX96" s="130"/>
      <c r="CY96" s="130"/>
      <c r="CZ96" s="130"/>
      <c r="DA96" s="130"/>
      <c r="DB96" s="130"/>
      <c r="DC96" s="130"/>
      <c r="DD96" s="130"/>
      <c r="DE96" s="130"/>
      <c r="DF96" s="130"/>
      <c r="DG96" s="130"/>
      <c r="DH96" s="130"/>
      <c r="DI96" s="130"/>
      <c r="DJ96" s="130"/>
      <c r="DK96" s="130"/>
      <c r="DL96" s="130"/>
      <c r="DM96" s="130"/>
      <c r="DN96" s="130"/>
      <c r="DO96" s="130"/>
      <c r="DP96" s="130"/>
      <c r="DQ96" s="130"/>
      <c r="DR96" s="130"/>
      <c r="DS96" s="130"/>
      <c r="DT96" s="130"/>
      <c r="DU96" s="130"/>
      <c r="DV96" s="130"/>
      <c r="DW96" s="130"/>
      <c r="DX96" s="130"/>
      <c r="DY96" s="130"/>
      <c r="DZ96" s="130"/>
      <c r="EA96" s="130"/>
      <c r="EB96" s="130"/>
      <c r="EC96" s="130"/>
      <c r="ED96" s="130"/>
      <c r="EE96" s="130"/>
      <c r="EF96" s="130"/>
      <c r="EG96" s="130"/>
      <c r="EH96" s="130"/>
      <c r="EI96" s="130"/>
      <c r="EJ96" s="130"/>
      <c r="EK96" s="130"/>
      <c r="EL96" s="130"/>
      <c r="EM96" s="130"/>
      <c r="EN96" s="130"/>
      <c r="EO96" s="130"/>
      <c r="EP96" s="130"/>
      <c r="EQ96" s="130"/>
      <c r="ER96" s="130"/>
      <c r="ES96" s="130"/>
      <c r="ET96" s="130"/>
      <c r="EU96" s="130"/>
      <c r="EV96" s="130"/>
      <c r="EW96" s="130"/>
      <c r="EX96" s="130"/>
      <c r="EY96" s="130"/>
      <c r="EZ96" s="130"/>
      <c r="FA96" s="130"/>
      <c r="FB96" s="201"/>
      <c r="FC96" s="201"/>
      <c r="FD96" s="201"/>
      <c r="FE96" s="201"/>
      <c r="FF96" s="201"/>
      <c r="FG96" s="201"/>
      <c r="FH96" s="201"/>
      <c r="FI96" s="201"/>
      <c r="FJ96" s="201"/>
      <c r="FK96" s="201"/>
      <c r="FL96" s="201"/>
      <c r="FM96" s="201"/>
      <c r="FN96" s="201"/>
      <c r="FO96" s="201"/>
      <c r="FP96" s="201"/>
      <c r="FQ96" s="201"/>
      <c r="FR96" s="201"/>
      <c r="FS96" s="201"/>
      <c r="FT96" s="201"/>
      <c r="FU96" s="201"/>
      <c r="FV96" s="201"/>
      <c r="FW96" s="201"/>
      <c r="FX96" s="201"/>
      <c r="FY96" s="201"/>
      <c r="FZ96" s="201"/>
      <c r="GA96" s="201"/>
      <c r="GB96" s="201"/>
      <c r="GC96" s="201"/>
      <c r="GD96" s="201"/>
      <c r="GE96" s="201"/>
      <c r="GF96" s="201"/>
      <c r="GG96" s="201"/>
      <c r="GH96" s="201"/>
      <c r="GI96" s="201"/>
      <c r="GJ96" s="201"/>
      <c r="GK96" s="201"/>
      <c r="GL96" s="201"/>
      <c r="GM96" s="201"/>
      <c r="GN96" s="201"/>
      <c r="GO96" s="201"/>
      <c r="GP96" s="201"/>
      <c r="GQ96" s="201"/>
    </row>
    <row r="97" spans="1:204" s="68" customFormat="1" ht="14.45" customHeight="1" x14ac:dyDescent="0.25">
      <c r="A97" s="68" t="s">
        <v>691</v>
      </c>
      <c r="B97" s="82" t="s">
        <v>154</v>
      </c>
      <c r="C97" s="82" t="s">
        <v>172</v>
      </c>
      <c r="D97" s="82" t="s">
        <v>196</v>
      </c>
      <c r="E97" s="82" t="s">
        <v>309</v>
      </c>
      <c r="F97" s="82" t="s">
        <v>549</v>
      </c>
      <c r="G97" s="82" t="s">
        <v>137</v>
      </c>
      <c r="H97" s="82" t="s">
        <v>137</v>
      </c>
      <c r="I97" s="82" t="s">
        <v>66</v>
      </c>
      <c r="J97" s="82" t="s">
        <v>28</v>
      </c>
      <c r="K97" s="92" t="s">
        <v>137</v>
      </c>
      <c r="L97" s="92" t="s">
        <v>137</v>
      </c>
      <c r="M97" s="92" t="s">
        <v>137</v>
      </c>
      <c r="N97" s="92" t="s">
        <v>137</v>
      </c>
      <c r="O97" s="92" t="s">
        <v>137</v>
      </c>
      <c r="P97" s="92" t="s">
        <v>137</v>
      </c>
      <c r="Q97" s="82" t="s">
        <v>494</v>
      </c>
      <c r="R97" s="82" t="s">
        <v>716</v>
      </c>
      <c r="S97" s="82" t="s">
        <v>556</v>
      </c>
      <c r="T97" s="82" t="s">
        <v>2</v>
      </c>
      <c r="U97" s="82" t="s">
        <v>548</v>
      </c>
      <c r="V97" s="82" t="s">
        <v>548</v>
      </c>
      <c r="W97" s="82" t="s">
        <v>548</v>
      </c>
      <c r="X97" s="71" t="s">
        <v>548</v>
      </c>
      <c r="Y97" s="82" t="s">
        <v>548</v>
      </c>
      <c r="Z97" s="82" t="s">
        <v>548</v>
      </c>
      <c r="AA97" s="82" t="s">
        <v>548</v>
      </c>
      <c r="AB97" s="82" t="s">
        <v>548</v>
      </c>
      <c r="AC97" s="82" t="s">
        <v>548</v>
      </c>
      <c r="AD97" s="82" t="s">
        <v>548</v>
      </c>
      <c r="AE97" s="82" t="s">
        <v>548</v>
      </c>
      <c r="AF97" s="83">
        <v>1</v>
      </c>
      <c r="AG97" s="82" t="s">
        <v>534</v>
      </c>
      <c r="AH97" s="82" t="s">
        <v>529</v>
      </c>
      <c r="AI97" s="88" t="s">
        <v>538</v>
      </c>
      <c r="AJ97" s="89" t="s">
        <v>538</v>
      </c>
      <c r="AK97" s="90">
        <v>46023</v>
      </c>
      <c r="AL97" s="90">
        <v>46387</v>
      </c>
      <c r="AM97" s="89"/>
      <c r="AN97" s="89"/>
      <c r="AO97" s="89"/>
      <c r="AP97" s="91" t="s">
        <v>541</v>
      </c>
      <c r="AQ97" s="90" cm="1">
        <f t="array" ref="AQ97">IFERROR(DATE(2026, _xlfn.AGGREGATE(15, 6, (COLUMN(BY97:CJ97)-COLUMN(BY97)+1)/(BY97:CJ97&lt;&gt;0), 1), 1),"N/A")</f>
        <v>46023</v>
      </c>
      <c r="AR97" s="90" cm="1">
        <f t="array" ref="AR97">IFERROR(EOMONTH(DATE(2026, _xlfn.AGGREGATE(14, 6, (COLUMN(BY97:CJ97)-COLUMN(BY97)+1)/(BY97:CJ97&lt;&gt;0), 1), 1), 0),"N/A")</f>
        <v>46387</v>
      </c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2" t="s">
        <v>615</v>
      </c>
      <c r="BF97" s="82" t="s">
        <v>1050</v>
      </c>
      <c r="BG97" s="82" t="str">
        <f t="shared" si="6"/>
        <v>000</v>
      </c>
      <c r="BH97" s="88">
        <v>510707</v>
      </c>
      <c r="BI97" s="92" t="s">
        <v>74</v>
      </c>
      <c r="BJ97" s="93">
        <v>31317.69999999999</v>
      </c>
      <c r="BK97" s="94">
        <v>2609.8083333333325</v>
      </c>
      <c r="BL97" s="94">
        <v>2609.8083333333325</v>
      </c>
      <c r="BM97" s="94">
        <v>2609.8083333333325</v>
      </c>
      <c r="BN97" s="72">
        <v>2609.8083333333325</v>
      </c>
      <c r="BO97" s="94">
        <v>2609.8083333333325</v>
      </c>
      <c r="BP97" s="94">
        <v>2609.8083333333325</v>
      </c>
      <c r="BQ97" s="94">
        <v>2609.8083333333325</v>
      </c>
      <c r="BR97" s="94">
        <v>2609.8083333333325</v>
      </c>
      <c r="BS97" s="94">
        <v>2609.8083333333325</v>
      </c>
      <c r="BT97" s="94">
        <v>2609.8083333333325</v>
      </c>
      <c r="BU97" s="94">
        <v>2609.8083333333325</v>
      </c>
      <c r="BV97" s="142">
        <v>2609.8083333333325</v>
      </c>
      <c r="BW97" s="142">
        <v>-12212.58</v>
      </c>
      <c r="BX97" s="143">
        <f t="shared" si="11"/>
        <v>19105.119999999988</v>
      </c>
      <c r="BY97" s="94">
        <v>1592.09</v>
      </c>
      <c r="BZ97" s="94">
        <v>1592.09</v>
      </c>
      <c r="CA97" s="94">
        <v>1592.09</v>
      </c>
      <c r="CB97" s="94">
        <v>1592.09</v>
      </c>
      <c r="CC97" s="94">
        <v>1592.09</v>
      </c>
      <c r="CD97" s="94">
        <v>1592.09</v>
      </c>
      <c r="CE97" s="94">
        <v>1592.09</v>
      </c>
      <c r="CF97" s="94">
        <v>1592.09</v>
      </c>
      <c r="CG97" s="94">
        <v>1592.09</v>
      </c>
      <c r="CH97" s="94">
        <v>1592.09</v>
      </c>
      <c r="CI97" s="94">
        <v>1592.09</v>
      </c>
      <c r="CJ97" s="94">
        <v>1592.13</v>
      </c>
      <c r="CK97" s="142"/>
      <c r="CL97" s="142">
        <f t="shared" si="7"/>
        <v>0</v>
      </c>
      <c r="CM97" s="171">
        <v>2166.06</v>
      </c>
      <c r="CN97" s="171">
        <v>0</v>
      </c>
      <c r="CO97" s="171">
        <v>2166.06</v>
      </c>
      <c r="CP97" s="171">
        <v>0</v>
      </c>
      <c r="CQ97" s="171">
        <v>0</v>
      </c>
      <c r="CR97" s="171">
        <v>0</v>
      </c>
      <c r="CS97" s="171">
        <f t="shared" si="8"/>
        <v>2166.06</v>
      </c>
      <c r="CT97" s="171">
        <f t="shared" si="9"/>
        <v>0</v>
      </c>
      <c r="CU97" s="171">
        <f t="shared" si="10"/>
        <v>2166.06</v>
      </c>
      <c r="CV97" s="149"/>
      <c r="CW97" s="149"/>
      <c r="CX97" s="130"/>
      <c r="CY97" s="130"/>
      <c r="CZ97" s="130"/>
      <c r="DA97" s="130"/>
      <c r="DB97" s="130"/>
      <c r="DC97" s="130"/>
      <c r="DD97" s="130"/>
      <c r="DE97" s="130"/>
      <c r="DF97" s="130"/>
      <c r="DG97" s="130"/>
      <c r="DH97" s="130"/>
      <c r="DI97" s="130"/>
      <c r="DJ97" s="130"/>
      <c r="DK97" s="130"/>
      <c r="DL97" s="130"/>
      <c r="DM97" s="130"/>
      <c r="DN97" s="130"/>
      <c r="DO97" s="130"/>
      <c r="DP97" s="130"/>
      <c r="DQ97" s="130"/>
      <c r="DR97" s="130"/>
      <c r="DS97" s="130"/>
      <c r="DT97" s="130"/>
      <c r="DU97" s="130"/>
      <c r="DV97" s="130"/>
      <c r="DW97" s="130"/>
      <c r="DX97" s="130"/>
      <c r="DY97" s="130"/>
      <c r="DZ97" s="130"/>
      <c r="EA97" s="130"/>
      <c r="EB97" s="130"/>
      <c r="EC97" s="130"/>
      <c r="ED97" s="130"/>
      <c r="EE97" s="130"/>
      <c r="EF97" s="130"/>
      <c r="EG97" s="130"/>
      <c r="EH97" s="130"/>
      <c r="EI97" s="130"/>
      <c r="EJ97" s="130"/>
      <c r="EK97" s="130"/>
      <c r="EL97" s="130"/>
      <c r="EM97" s="130"/>
      <c r="EN97" s="130"/>
      <c r="EO97" s="130"/>
      <c r="EP97" s="130"/>
      <c r="EQ97" s="130"/>
      <c r="ER97" s="130"/>
      <c r="ES97" s="130"/>
      <c r="ET97" s="130"/>
      <c r="EU97" s="130"/>
      <c r="EV97" s="130"/>
      <c r="EW97" s="130"/>
      <c r="EX97" s="130"/>
      <c r="EY97" s="130"/>
      <c r="EZ97" s="130"/>
      <c r="FA97" s="130"/>
      <c r="FB97" s="201"/>
      <c r="FC97" s="201"/>
      <c r="FD97" s="201"/>
      <c r="FE97" s="201"/>
      <c r="FF97" s="201"/>
      <c r="FG97" s="201"/>
      <c r="FH97" s="201"/>
      <c r="FI97" s="201"/>
      <c r="FJ97" s="201"/>
      <c r="FK97" s="201"/>
      <c r="FL97" s="201"/>
      <c r="FM97" s="201"/>
      <c r="FN97" s="201"/>
      <c r="FO97" s="201"/>
      <c r="FP97" s="201"/>
      <c r="FQ97" s="201"/>
      <c r="FR97" s="201"/>
      <c r="FS97" s="201"/>
      <c r="FT97" s="201"/>
      <c r="FU97" s="201"/>
      <c r="FV97" s="201"/>
      <c r="FW97" s="201"/>
      <c r="FX97" s="201"/>
      <c r="FY97" s="201"/>
      <c r="FZ97" s="201"/>
      <c r="GA97" s="201"/>
      <c r="GB97" s="201"/>
      <c r="GC97" s="201"/>
      <c r="GD97" s="201"/>
      <c r="GE97" s="201"/>
      <c r="GF97" s="201"/>
      <c r="GG97" s="201"/>
      <c r="GH97" s="201"/>
      <c r="GI97" s="201"/>
      <c r="GJ97" s="201"/>
      <c r="GK97" s="201"/>
      <c r="GL97" s="201"/>
      <c r="GM97" s="201"/>
      <c r="GN97" s="201"/>
      <c r="GO97" s="201"/>
      <c r="GP97" s="201"/>
      <c r="GQ97" s="201"/>
    </row>
    <row r="98" spans="1:204" s="68" customFormat="1" ht="14.45" customHeight="1" x14ac:dyDescent="0.25">
      <c r="A98" s="68" t="s">
        <v>691</v>
      </c>
      <c r="B98" s="82" t="s">
        <v>154</v>
      </c>
      <c r="C98" s="82" t="s">
        <v>172</v>
      </c>
      <c r="D98" s="82" t="s">
        <v>196</v>
      </c>
      <c r="E98" s="82" t="s">
        <v>309</v>
      </c>
      <c r="F98" s="82" t="s">
        <v>549</v>
      </c>
      <c r="G98" s="82" t="s">
        <v>137</v>
      </c>
      <c r="H98" s="82" t="s">
        <v>137</v>
      </c>
      <c r="I98" s="82" t="s">
        <v>66</v>
      </c>
      <c r="J98" s="82" t="s">
        <v>28</v>
      </c>
      <c r="K98" s="92" t="s">
        <v>137</v>
      </c>
      <c r="L98" s="92" t="s">
        <v>137</v>
      </c>
      <c r="M98" s="92" t="s">
        <v>137</v>
      </c>
      <c r="N98" s="92" t="s">
        <v>137</v>
      </c>
      <c r="O98" s="92" t="s">
        <v>137</v>
      </c>
      <c r="P98" s="92" t="s">
        <v>137</v>
      </c>
      <c r="Q98" s="82" t="s">
        <v>494</v>
      </c>
      <c r="R98" s="82" t="s">
        <v>716</v>
      </c>
      <c r="S98" s="82" t="s">
        <v>556</v>
      </c>
      <c r="T98" s="82" t="s">
        <v>2</v>
      </c>
      <c r="U98" s="82" t="s">
        <v>548</v>
      </c>
      <c r="V98" s="82" t="s">
        <v>548</v>
      </c>
      <c r="W98" s="82" t="s">
        <v>548</v>
      </c>
      <c r="X98" s="71" t="s">
        <v>548</v>
      </c>
      <c r="Y98" s="82" t="s">
        <v>548</v>
      </c>
      <c r="Z98" s="82" t="s">
        <v>548</v>
      </c>
      <c r="AA98" s="82" t="s">
        <v>548</v>
      </c>
      <c r="AB98" s="82" t="s">
        <v>548</v>
      </c>
      <c r="AC98" s="82" t="s">
        <v>548</v>
      </c>
      <c r="AD98" s="82" t="s">
        <v>548</v>
      </c>
      <c r="AE98" s="82" t="s">
        <v>548</v>
      </c>
      <c r="AF98" s="83">
        <v>1</v>
      </c>
      <c r="AG98" s="82" t="s">
        <v>534</v>
      </c>
      <c r="AH98" s="82" t="s">
        <v>529</v>
      </c>
      <c r="AI98" s="88" t="s">
        <v>538</v>
      </c>
      <c r="AJ98" s="89" t="s">
        <v>538</v>
      </c>
      <c r="AK98" s="90">
        <v>46023</v>
      </c>
      <c r="AL98" s="90">
        <v>46387</v>
      </c>
      <c r="AM98" s="89"/>
      <c r="AN98" s="89"/>
      <c r="AO98" s="89"/>
      <c r="AP98" s="91" t="s">
        <v>541</v>
      </c>
      <c r="AQ98" s="90" cm="1">
        <f t="array" ref="AQ98">IFERROR(DATE(2026, _xlfn.AGGREGATE(15, 6, (COLUMN(BY98:CJ98)-COLUMN(BY98)+1)/(BY98:CJ98&lt;&gt;0), 1), 1),"N/A")</f>
        <v>46023</v>
      </c>
      <c r="AR98" s="90" cm="1">
        <f t="array" ref="AR98">IFERROR(EOMONTH(DATE(2026, _xlfn.AGGREGATE(14, 6, (COLUMN(BY98:CJ98)-COLUMN(BY98)+1)/(BY98:CJ98&lt;&gt;0), 1), 1), 0),"N/A")</f>
        <v>46387</v>
      </c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2" t="s">
        <v>618</v>
      </c>
      <c r="BF98" s="82" t="s">
        <v>1051</v>
      </c>
      <c r="BG98" s="82" t="str">
        <f t="shared" si="6"/>
        <v>000</v>
      </c>
      <c r="BH98" s="88">
        <v>510204</v>
      </c>
      <c r="BI98" s="92" t="s">
        <v>74</v>
      </c>
      <c r="BJ98" s="93">
        <v>44160</v>
      </c>
      <c r="BK98" s="94">
        <v>3680</v>
      </c>
      <c r="BL98" s="94">
        <v>3680</v>
      </c>
      <c r="BM98" s="94">
        <v>3680</v>
      </c>
      <c r="BN98" s="72">
        <v>3680</v>
      </c>
      <c r="BO98" s="94">
        <v>3680</v>
      </c>
      <c r="BP98" s="94">
        <v>3680</v>
      </c>
      <c r="BQ98" s="94">
        <v>3680</v>
      </c>
      <c r="BR98" s="94">
        <v>3680</v>
      </c>
      <c r="BS98" s="94">
        <v>3680</v>
      </c>
      <c r="BT98" s="94">
        <v>3680</v>
      </c>
      <c r="BU98" s="94">
        <v>3680</v>
      </c>
      <c r="BV98" s="142">
        <v>3680</v>
      </c>
      <c r="BW98" s="142"/>
      <c r="BX98" s="143">
        <f t="shared" si="11"/>
        <v>44160</v>
      </c>
      <c r="BY98" s="94">
        <v>3680</v>
      </c>
      <c r="BZ98" s="94">
        <v>3680</v>
      </c>
      <c r="CA98" s="94">
        <v>3680</v>
      </c>
      <c r="CB98" s="72">
        <v>3680</v>
      </c>
      <c r="CC98" s="94">
        <v>3680</v>
      </c>
      <c r="CD98" s="94">
        <v>3680</v>
      </c>
      <c r="CE98" s="94">
        <v>3680</v>
      </c>
      <c r="CF98" s="94">
        <v>3680</v>
      </c>
      <c r="CG98" s="94">
        <v>3680</v>
      </c>
      <c r="CH98" s="94">
        <v>3680</v>
      </c>
      <c r="CI98" s="94">
        <v>3680</v>
      </c>
      <c r="CJ98" s="142">
        <v>3680</v>
      </c>
      <c r="CK98" s="142"/>
      <c r="CL98" s="142">
        <f t="shared" si="7"/>
        <v>0</v>
      </c>
      <c r="CM98" s="171">
        <v>870.69</v>
      </c>
      <c r="CN98" s="171">
        <v>1792.76</v>
      </c>
      <c r="CO98" s="171">
        <v>870.69</v>
      </c>
      <c r="CP98" s="171">
        <v>873.02</v>
      </c>
      <c r="CQ98" s="171">
        <v>5538.97</v>
      </c>
      <c r="CR98" s="171">
        <v>873.02</v>
      </c>
      <c r="CS98" s="171">
        <f t="shared" si="8"/>
        <v>1743.71</v>
      </c>
      <c r="CT98" s="171">
        <f t="shared" si="9"/>
        <v>7331.7300000000005</v>
      </c>
      <c r="CU98" s="171">
        <f t="shared" si="10"/>
        <v>1743.71</v>
      </c>
      <c r="CV98" s="149"/>
      <c r="CW98" s="149"/>
      <c r="CX98" s="130"/>
      <c r="CY98" s="130"/>
      <c r="CZ98" s="130"/>
      <c r="DA98" s="130"/>
      <c r="DB98" s="130"/>
      <c r="DC98" s="130"/>
      <c r="DD98" s="130"/>
      <c r="DE98" s="130"/>
      <c r="DF98" s="130"/>
      <c r="DG98" s="130"/>
      <c r="DH98" s="130"/>
      <c r="DI98" s="130"/>
      <c r="DJ98" s="130"/>
      <c r="DK98" s="130"/>
      <c r="DL98" s="130"/>
      <c r="DM98" s="130"/>
      <c r="DN98" s="130"/>
      <c r="DO98" s="130"/>
      <c r="DP98" s="130"/>
      <c r="DQ98" s="130"/>
      <c r="DR98" s="130"/>
      <c r="DS98" s="130"/>
      <c r="DT98" s="130"/>
      <c r="DU98" s="130"/>
      <c r="DV98" s="130"/>
      <c r="DW98" s="130"/>
      <c r="DX98" s="130"/>
      <c r="DY98" s="130"/>
      <c r="DZ98" s="130"/>
      <c r="EA98" s="130"/>
      <c r="EB98" s="130"/>
      <c r="EC98" s="130"/>
      <c r="ED98" s="130"/>
      <c r="EE98" s="130"/>
      <c r="EF98" s="130"/>
      <c r="EG98" s="130"/>
      <c r="EH98" s="130"/>
      <c r="EI98" s="130"/>
      <c r="EJ98" s="130"/>
      <c r="EK98" s="130"/>
      <c r="EL98" s="130"/>
      <c r="EM98" s="130"/>
      <c r="EN98" s="130"/>
      <c r="EO98" s="130"/>
      <c r="EP98" s="130"/>
      <c r="EQ98" s="130"/>
      <c r="ER98" s="130"/>
      <c r="ES98" s="130"/>
      <c r="ET98" s="130"/>
      <c r="EU98" s="130"/>
      <c r="EV98" s="130"/>
      <c r="EW98" s="130"/>
      <c r="EX98" s="130"/>
      <c r="EY98" s="130"/>
      <c r="EZ98" s="130"/>
      <c r="FA98" s="130"/>
      <c r="FB98" s="201"/>
      <c r="FC98" s="201"/>
      <c r="FD98" s="201"/>
      <c r="FE98" s="201"/>
      <c r="FF98" s="201"/>
      <c r="FG98" s="201"/>
      <c r="FH98" s="201"/>
      <c r="FI98" s="201"/>
      <c r="FJ98" s="201"/>
      <c r="FK98" s="201"/>
      <c r="FL98" s="201"/>
      <c r="FM98" s="201"/>
      <c r="FN98" s="201"/>
      <c r="FO98" s="201"/>
      <c r="FP98" s="201"/>
      <c r="FQ98" s="201"/>
      <c r="FR98" s="201"/>
      <c r="FS98" s="201"/>
      <c r="FT98" s="201"/>
      <c r="FU98" s="201"/>
      <c r="FV98" s="201"/>
      <c r="FW98" s="201"/>
      <c r="FX98" s="201"/>
      <c r="FY98" s="201"/>
      <c r="FZ98" s="201"/>
      <c r="GA98" s="201"/>
      <c r="GB98" s="201"/>
      <c r="GC98" s="201"/>
      <c r="GD98" s="201"/>
      <c r="GE98" s="201"/>
      <c r="GF98" s="201"/>
      <c r="GG98" s="201"/>
      <c r="GH98" s="201"/>
      <c r="GI98" s="201"/>
      <c r="GJ98" s="201"/>
      <c r="GK98" s="201"/>
      <c r="GL98" s="201"/>
      <c r="GM98" s="201"/>
      <c r="GN98" s="201"/>
      <c r="GO98" s="201"/>
      <c r="GP98" s="201"/>
      <c r="GQ98" s="201"/>
    </row>
    <row r="99" spans="1:204" s="68" customFormat="1" ht="14.45" customHeight="1" x14ac:dyDescent="0.25">
      <c r="A99" s="68" t="s">
        <v>691</v>
      </c>
      <c r="B99" s="82" t="s">
        <v>154</v>
      </c>
      <c r="C99" s="82" t="s">
        <v>172</v>
      </c>
      <c r="D99" s="82" t="s">
        <v>196</v>
      </c>
      <c r="E99" s="82" t="s">
        <v>309</v>
      </c>
      <c r="F99" s="82" t="s">
        <v>549</v>
      </c>
      <c r="G99" s="82" t="s">
        <v>137</v>
      </c>
      <c r="H99" s="82" t="s">
        <v>137</v>
      </c>
      <c r="I99" s="82" t="s">
        <v>66</v>
      </c>
      <c r="J99" s="82" t="s">
        <v>28</v>
      </c>
      <c r="K99" s="92" t="s">
        <v>137</v>
      </c>
      <c r="L99" s="92" t="s">
        <v>137</v>
      </c>
      <c r="M99" s="92" t="s">
        <v>137</v>
      </c>
      <c r="N99" s="92" t="s">
        <v>137</v>
      </c>
      <c r="O99" s="92" t="s">
        <v>137</v>
      </c>
      <c r="P99" s="92" t="s">
        <v>137</v>
      </c>
      <c r="Q99" s="82" t="s">
        <v>494</v>
      </c>
      <c r="R99" s="82" t="s">
        <v>716</v>
      </c>
      <c r="S99" s="82" t="s">
        <v>556</v>
      </c>
      <c r="T99" s="82" t="s">
        <v>2</v>
      </c>
      <c r="U99" s="82" t="s">
        <v>548</v>
      </c>
      <c r="V99" s="82" t="s">
        <v>548</v>
      </c>
      <c r="W99" s="82" t="s">
        <v>548</v>
      </c>
      <c r="X99" s="71" t="s">
        <v>548</v>
      </c>
      <c r="Y99" s="82" t="s">
        <v>548</v>
      </c>
      <c r="Z99" s="82" t="s">
        <v>548</v>
      </c>
      <c r="AA99" s="82" t="s">
        <v>548</v>
      </c>
      <c r="AB99" s="82" t="s">
        <v>548</v>
      </c>
      <c r="AC99" s="82" t="s">
        <v>548</v>
      </c>
      <c r="AD99" s="82" t="s">
        <v>548</v>
      </c>
      <c r="AE99" s="82" t="s">
        <v>548</v>
      </c>
      <c r="AF99" s="83">
        <v>1</v>
      </c>
      <c r="AG99" s="82" t="s">
        <v>534</v>
      </c>
      <c r="AH99" s="82" t="s">
        <v>529</v>
      </c>
      <c r="AI99" s="88" t="s">
        <v>538</v>
      </c>
      <c r="AJ99" s="89" t="s">
        <v>538</v>
      </c>
      <c r="AK99" s="90">
        <v>46023</v>
      </c>
      <c r="AL99" s="90">
        <v>46387</v>
      </c>
      <c r="AM99" s="89"/>
      <c r="AN99" s="89"/>
      <c r="AO99" s="89"/>
      <c r="AP99" s="91" t="s">
        <v>541</v>
      </c>
      <c r="AQ99" s="90" cm="1">
        <f t="array" ref="AQ99">IFERROR(DATE(2026, _xlfn.AGGREGATE(15, 6, (COLUMN(BY99:CJ99)-COLUMN(BY99)+1)/(BY99:CJ99&lt;&gt;0), 1), 1),"N/A")</f>
        <v>46023</v>
      </c>
      <c r="AR99" s="90" cm="1">
        <f t="array" ref="AR99">IFERROR(EOMONTH(DATE(2026, _xlfn.AGGREGATE(14, 6, (COLUMN(BY99:CJ99)-COLUMN(BY99)+1)/(BY99:CJ99&lt;&gt;0), 1), 1), 0),"N/A")</f>
        <v>46387</v>
      </c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2" t="s">
        <v>639</v>
      </c>
      <c r="BF99" s="82" t="s">
        <v>1052</v>
      </c>
      <c r="BG99" s="82" t="str">
        <f t="shared" si="6"/>
        <v>000</v>
      </c>
      <c r="BH99" s="88">
        <v>510203</v>
      </c>
      <c r="BI99" s="92" t="s">
        <v>74</v>
      </c>
      <c r="BJ99" s="93">
        <v>136687.44999999998</v>
      </c>
      <c r="BK99" s="94">
        <v>11390.620833333332</v>
      </c>
      <c r="BL99" s="94">
        <v>11390.620833333332</v>
      </c>
      <c r="BM99" s="94">
        <v>11390.620833333332</v>
      </c>
      <c r="BN99" s="72">
        <v>11390.620833333332</v>
      </c>
      <c r="BO99" s="94">
        <v>11390.620833333332</v>
      </c>
      <c r="BP99" s="94">
        <v>11390.620833333332</v>
      </c>
      <c r="BQ99" s="94">
        <v>11390.620833333332</v>
      </c>
      <c r="BR99" s="94">
        <v>11390.620833333332</v>
      </c>
      <c r="BS99" s="94">
        <v>11390.620833333332</v>
      </c>
      <c r="BT99" s="94">
        <v>11390.620833333332</v>
      </c>
      <c r="BU99" s="94">
        <v>11390.620833333332</v>
      </c>
      <c r="BV99" s="142">
        <v>11390.620833333332</v>
      </c>
      <c r="BW99" s="142"/>
      <c r="BX99" s="143">
        <f t="shared" si="11"/>
        <v>136687.44999999998</v>
      </c>
      <c r="BY99" s="94">
        <v>11390.620833333332</v>
      </c>
      <c r="BZ99" s="94">
        <v>11390.620833333332</v>
      </c>
      <c r="CA99" s="94">
        <v>11390.620833333332</v>
      </c>
      <c r="CB99" s="72">
        <v>11390.620833333332</v>
      </c>
      <c r="CC99" s="94">
        <v>11390.620833333332</v>
      </c>
      <c r="CD99" s="94">
        <v>11390.620833333332</v>
      </c>
      <c r="CE99" s="94">
        <v>11390.620833333332</v>
      </c>
      <c r="CF99" s="94">
        <v>11390.620833333332</v>
      </c>
      <c r="CG99" s="94">
        <v>11390.620833333332</v>
      </c>
      <c r="CH99" s="94">
        <v>11390.620833333332</v>
      </c>
      <c r="CI99" s="94">
        <v>11390.620833333332</v>
      </c>
      <c r="CJ99" s="142">
        <v>11390.620833333332</v>
      </c>
      <c r="CK99" s="142"/>
      <c r="CL99" s="142">
        <f t="shared" si="7"/>
        <v>0</v>
      </c>
      <c r="CM99" s="171">
        <v>3362.72</v>
      </c>
      <c r="CN99" s="171">
        <v>4157.21</v>
      </c>
      <c r="CO99" s="171">
        <v>3362.72</v>
      </c>
      <c r="CP99" s="171">
        <v>3285.42</v>
      </c>
      <c r="CQ99" s="171">
        <v>15991.1</v>
      </c>
      <c r="CR99" s="171">
        <v>3285.42</v>
      </c>
      <c r="CS99" s="171">
        <f t="shared" si="8"/>
        <v>6648.1399999999994</v>
      </c>
      <c r="CT99" s="171">
        <f t="shared" si="9"/>
        <v>20148.310000000001</v>
      </c>
      <c r="CU99" s="171">
        <f t="shared" si="10"/>
        <v>6648.1399999999994</v>
      </c>
      <c r="CV99" s="149"/>
      <c r="CW99" s="149"/>
      <c r="CX99" s="130"/>
      <c r="CY99" s="130"/>
      <c r="CZ99" s="130"/>
      <c r="DA99" s="130"/>
      <c r="DB99" s="130"/>
      <c r="DC99" s="130"/>
      <c r="DD99" s="130"/>
      <c r="DE99" s="130"/>
      <c r="DF99" s="130"/>
      <c r="DG99" s="130"/>
      <c r="DH99" s="130"/>
      <c r="DI99" s="130"/>
      <c r="DJ99" s="130"/>
      <c r="DK99" s="130"/>
      <c r="DL99" s="130"/>
      <c r="DM99" s="130"/>
      <c r="DN99" s="130"/>
      <c r="DO99" s="130"/>
      <c r="DP99" s="130"/>
      <c r="DQ99" s="130"/>
      <c r="DR99" s="130"/>
      <c r="DS99" s="130"/>
      <c r="DT99" s="130"/>
      <c r="DU99" s="130"/>
      <c r="DV99" s="130"/>
      <c r="DW99" s="130"/>
      <c r="DX99" s="130"/>
      <c r="DY99" s="130"/>
      <c r="DZ99" s="130"/>
      <c r="EA99" s="130"/>
      <c r="EB99" s="130"/>
      <c r="EC99" s="130"/>
      <c r="ED99" s="130"/>
      <c r="EE99" s="130"/>
      <c r="EF99" s="130"/>
      <c r="EG99" s="130"/>
      <c r="EH99" s="130"/>
      <c r="EI99" s="130"/>
      <c r="EJ99" s="130"/>
      <c r="EK99" s="130"/>
      <c r="EL99" s="130"/>
      <c r="EM99" s="130"/>
      <c r="EN99" s="130"/>
      <c r="EO99" s="130"/>
      <c r="EP99" s="130"/>
      <c r="EQ99" s="130"/>
      <c r="ER99" s="130"/>
      <c r="ES99" s="130"/>
      <c r="ET99" s="130"/>
      <c r="EU99" s="130"/>
      <c r="EV99" s="130"/>
      <c r="EW99" s="130"/>
      <c r="EX99" s="130"/>
      <c r="EY99" s="130"/>
      <c r="EZ99" s="130"/>
      <c r="FA99" s="130"/>
      <c r="FB99" s="201"/>
      <c r="FC99" s="201"/>
      <c r="FD99" s="201"/>
      <c r="FE99" s="201"/>
      <c r="FF99" s="201"/>
      <c r="FG99" s="201"/>
      <c r="FH99" s="201"/>
      <c r="FI99" s="201"/>
      <c r="FJ99" s="201"/>
      <c r="FK99" s="201"/>
      <c r="FL99" s="201"/>
      <c r="FM99" s="201"/>
      <c r="FN99" s="201"/>
      <c r="FO99" s="201"/>
      <c r="FP99" s="201"/>
      <c r="FQ99" s="201"/>
      <c r="FR99" s="201"/>
      <c r="FS99" s="201"/>
      <c r="FT99" s="201"/>
      <c r="FU99" s="201"/>
      <c r="FV99" s="201"/>
      <c r="FW99" s="201"/>
      <c r="FX99" s="201"/>
      <c r="FY99" s="201"/>
      <c r="FZ99" s="201"/>
      <c r="GA99" s="201"/>
      <c r="GB99" s="201"/>
      <c r="GC99" s="201"/>
      <c r="GD99" s="201"/>
      <c r="GE99" s="201"/>
      <c r="GF99" s="201"/>
      <c r="GG99" s="201"/>
      <c r="GH99" s="201"/>
      <c r="GI99" s="201"/>
      <c r="GJ99" s="201"/>
      <c r="GK99" s="201"/>
      <c r="GL99" s="201"/>
      <c r="GM99" s="201"/>
      <c r="GN99" s="201"/>
      <c r="GO99" s="201"/>
      <c r="GP99" s="201"/>
      <c r="GQ99" s="201"/>
    </row>
    <row r="100" spans="1:204" s="68" customFormat="1" ht="14.45" customHeight="1" x14ac:dyDescent="0.25">
      <c r="A100" s="68" t="s">
        <v>691</v>
      </c>
      <c r="B100" s="82" t="s">
        <v>154</v>
      </c>
      <c r="C100" s="82" t="s">
        <v>172</v>
      </c>
      <c r="D100" s="82" t="s">
        <v>196</v>
      </c>
      <c r="E100" s="82" t="s">
        <v>309</v>
      </c>
      <c r="F100" s="82" t="s">
        <v>549</v>
      </c>
      <c r="G100" s="82" t="s">
        <v>137</v>
      </c>
      <c r="H100" s="82" t="s">
        <v>137</v>
      </c>
      <c r="I100" s="82" t="s">
        <v>66</v>
      </c>
      <c r="J100" s="82" t="s">
        <v>28</v>
      </c>
      <c r="K100" s="92" t="s">
        <v>137</v>
      </c>
      <c r="L100" s="92" t="s">
        <v>137</v>
      </c>
      <c r="M100" s="92" t="s">
        <v>137</v>
      </c>
      <c r="N100" s="92" t="s">
        <v>137</v>
      </c>
      <c r="O100" s="92" t="s">
        <v>137</v>
      </c>
      <c r="P100" s="92" t="s">
        <v>137</v>
      </c>
      <c r="Q100" s="82" t="s">
        <v>494</v>
      </c>
      <c r="R100" s="82" t="s">
        <v>716</v>
      </c>
      <c r="S100" s="82" t="s">
        <v>556</v>
      </c>
      <c r="T100" s="82" t="s">
        <v>2</v>
      </c>
      <c r="U100" s="82" t="s">
        <v>548</v>
      </c>
      <c r="V100" s="82" t="s">
        <v>548</v>
      </c>
      <c r="W100" s="82" t="s">
        <v>548</v>
      </c>
      <c r="X100" s="71" t="s">
        <v>548</v>
      </c>
      <c r="Y100" s="82" t="s">
        <v>548</v>
      </c>
      <c r="Z100" s="82" t="s">
        <v>548</v>
      </c>
      <c r="AA100" s="82" t="s">
        <v>548</v>
      </c>
      <c r="AB100" s="82" t="s">
        <v>548</v>
      </c>
      <c r="AC100" s="82" t="s">
        <v>548</v>
      </c>
      <c r="AD100" s="82" t="s">
        <v>548</v>
      </c>
      <c r="AE100" s="82" t="s">
        <v>548</v>
      </c>
      <c r="AF100" s="83">
        <v>1</v>
      </c>
      <c r="AG100" s="82" t="s">
        <v>534</v>
      </c>
      <c r="AH100" s="82" t="s">
        <v>529</v>
      </c>
      <c r="AI100" s="88" t="s">
        <v>538</v>
      </c>
      <c r="AJ100" s="89" t="s">
        <v>538</v>
      </c>
      <c r="AK100" s="90">
        <v>46023</v>
      </c>
      <c r="AL100" s="90">
        <v>46387</v>
      </c>
      <c r="AM100" s="89"/>
      <c r="AN100" s="89"/>
      <c r="AO100" s="89"/>
      <c r="AP100" s="91" t="s">
        <v>541</v>
      </c>
      <c r="AQ100" s="90" cm="1">
        <f t="array" ref="AQ100">IFERROR(DATE(2026, _xlfn.AGGREGATE(15, 6, (COLUMN(BY100:CJ100)-COLUMN(BY100)+1)/(BY100:CJ100&lt;&gt;0), 1), 1),"N/A")</f>
        <v>46023</v>
      </c>
      <c r="AR100" s="90" cm="1">
        <f t="array" ref="AR100">IFERROR(EOMONTH(DATE(2026, _xlfn.AGGREGATE(14, 6, (COLUMN(BY100:CJ100)-COLUMN(BY100)+1)/(BY100:CJ100&lt;&gt;0), 1), 1), 0),"N/A")</f>
        <v>46387</v>
      </c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2" t="s">
        <v>646</v>
      </c>
      <c r="BF100" s="82" t="s">
        <v>1053</v>
      </c>
      <c r="BG100" s="82" t="str">
        <f t="shared" si="6"/>
        <v>000</v>
      </c>
      <c r="BH100" s="88">
        <v>510513</v>
      </c>
      <c r="BI100" s="92" t="s">
        <v>74</v>
      </c>
      <c r="BJ100" s="93">
        <v>10766.630000000001</v>
      </c>
      <c r="BK100" s="94">
        <v>897.21916666666675</v>
      </c>
      <c r="BL100" s="94">
        <v>897.21916666666675</v>
      </c>
      <c r="BM100" s="94">
        <v>897.21916666666675</v>
      </c>
      <c r="BN100" s="72">
        <v>897.21916666666675</v>
      </c>
      <c r="BO100" s="94">
        <v>897.21916666666675</v>
      </c>
      <c r="BP100" s="94">
        <v>897.21916666666675</v>
      </c>
      <c r="BQ100" s="94">
        <v>897.21916666666675</v>
      </c>
      <c r="BR100" s="94">
        <v>897.21916666666675</v>
      </c>
      <c r="BS100" s="94">
        <v>897.21916666666675</v>
      </c>
      <c r="BT100" s="94">
        <v>897.21916666666675</v>
      </c>
      <c r="BU100" s="94">
        <v>897.21916666666675</v>
      </c>
      <c r="BV100" s="142">
        <v>897.21916666666675</v>
      </c>
      <c r="BW100" s="142"/>
      <c r="BX100" s="143">
        <f t="shared" si="11"/>
        <v>10766.630000000001</v>
      </c>
      <c r="BY100" s="94">
        <v>897.21916666666675</v>
      </c>
      <c r="BZ100" s="94">
        <v>897.21916666666675</v>
      </c>
      <c r="CA100" s="94">
        <v>897.21916666666675</v>
      </c>
      <c r="CB100" s="72">
        <v>897.21916666666675</v>
      </c>
      <c r="CC100" s="94">
        <v>897.21916666666675</v>
      </c>
      <c r="CD100" s="94">
        <v>897.21916666666675</v>
      </c>
      <c r="CE100" s="94">
        <v>897.21916666666675</v>
      </c>
      <c r="CF100" s="94">
        <v>897.21916666666675</v>
      </c>
      <c r="CG100" s="94">
        <v>897.21916666666675</v>
      </c>
      <c r="CH100" s="94">
        <v>897.21916666666675</v>
      </c>
      <c r="CI100" s="94">
        <v>897.21916666666675</v>
      </c>
      <c r="CJ100" s="142">
        <v>897.21916666666675</v>
      </c>
      <c r="CK100" s="142"/>
      <c r="CL100" s="142">
        <f t="shared" si="7"/>
        <v>0</v>
      </c>
      <c r="CM100" s="171">
        <v>1870.5</v>
      </c>
      <c r="CN100" s="171">
        <v>8896.1299999999992</v>
      </c>
      <c r="CO100" s="171">
        <v>1870.5</v>
      </c>
      <c r="CP100" s="171">
        <v>1164.27</v>
      </c>
      <c r="CQ100" s="171">
        <v>7731.86</v>
      </c>
      <c r="CR100" s="171">
        <v>1164.27</v>
      </c>
      <c r="CS100" s="171">
        <f t="shared" si="8"/>
        <v>3034.77</v>
      </c>
      <c r="CT100" s="171">
        <f t="shared" si="9"/>
        <v>16627.989999999998</v>
      </c>
      <c r="CU100" s="171">
        <f t="shared" si="10"/>
        <v>3034.77</v>
      </c>
      <c r="CV100" s="149"/>
      <c r="CW100" s="149"/>
      <c r="CX100" s="130"/>
      <c r="CY100" s="130"/>
      <c r="CZ100" s="130"/>
      <c r="DA100" s="130"/>
      <c r="DB100" s="130"/>
      <c r="DC100" s="130"/>
      <c r="DD100" s="130"/>
      <c r="DE100" s="130"/>
      <c r="DF100" s="130"/>
      <c r="DG100" s="130"/>
      <c r="DH100" s="130"/>
      <c r="DI100" s="130"/>
      <c r="DJ100" s="130"/>
      <c r="DK100" s="130"/>
      <c r="DL100" s="130"/>
      <c r="DM100" s="130"/>
      <c r="DN100" s="130"/>
      <c r="DO100" s="130"/>
      <c r="DP100" s="130"/>
      <c r="DQ100" s="130"/>
      <c r="DR100" s="130"/>
      <c r="DS100" s="130"/>
      <c r="DT100" s="130"/>
      <c r="DU100" s="130"/>
      <c r="DV100" s="130"/>
      <c r="DW100" s="130"/>
      <c r="DX100" s="130"/>
      <c r="DY100" s="130"/>
      <c r="DZ100" s="130"/>
      <c r="EA100" s="130"/>
      <c r="EB100" s="130"/>
      <c r="EC100" s="130"/>
      <c r="ED100" s="130"/>
      <c r="EE100" s="130"/>
      <c r="EF100" s="130"/>
      <c r="EG100" s="130"/>
      <c r="EH100" s="130"/>
      <c r="EI100" s="130"/>
      <c r="EJ100" s="130"/>
      <c r="EK100" s="130"/>
      <c r="EL100" s="130"/>
      <c r="EM100" s="130"/>
      <c r="EN100" s="130"/>
      <c r="EO100" s="130"/>
      <c r="EP100" s="130"/>
      <c r="EQ100" s="130"/>
      <c r="ER100" s="130"/>
      <c r="ES100" s="130"/>
      <c r="ET100" s="130"/>
      <c r="EU100" s="130"/>
      <c r="EV100" s="130"/>
      <c r="EW100" s="130"/>
      <c r="EX100" s="130"/>
      <c r="EY100" s="130"/>
      <c r="EZ100" s="130"/>
      <c r="FA100" s="130"/>
      <c r="FB100" s="201"/>
      <c r="FC100" s="201"/>
      <c r="FD100" s="201"/>
      <c r="FE100" s="201"/>
      <c r="FF100" s="201"/>
      <c r="FG100" s="201"/>
      <c r="FH100" s="201"/>
      <c r="FI100" s="201"/>
      <c r="FJ100" s="201"/>
      <c r="FK100" s="201"/>
      <c r="FL100" s="201"/>
      <c r="FM100" s="201"/>
      <c r="FN100" s="201"/>
      <c r="FO100" s="201"/>
      <c r="FP100" s="201"/>
      <c r="FQ100" s="201"/>
      <c r="FR100" s="201"/>
      <c r="FS100" s="201"/>
      <c r="FT100" s="201"/>
      <c r="FU100" s="201"/>
      <c r="FV100" s="201"/>
      <c r="FW100" s="201"/>
      <c r="FX100" s="201"/>
      <c r="FY100" s="201"/>
      <c r="FZ100" s="201"/>
      <c r="GA100" s="201"/>
      <c r="GB100" s="201"/>
      <c r="GC100" s="201"/>
      <c r="GD100" s="201"/>
      <c r="GE100" s="201"/>
      <c r="GF100" s="201"/>
      <c r="GG100" s="201"/>
      <c r="GH100" s="201"/>
      <c r="GI100" s="201"/>
      <c r="GJ100" s="201"/>
      <c r="GK100" s="201"/>
      <c r="GL100" s="201"/>
      <c r="GM100" s="201"/>
      <c r="GN100" s="201"/>
      <c r="GO100" s="201"/>
      <c r="GP100" s="201"/>
      <c r="GQ100" s="201"/>
    </row>
    <row r="101" spans="1:204" s="68" customFormat="1" ht="14.45" customHeight="1" x14ac:dyDescent="0.25">
      <c r="A101" s="68" t="s">
        <v>691</v>
      </c>
      <c r="B101" s="82" t="s">
        <v>154</v>
      </c>
      <c r="C101" s="82" t="s">
        <v>172</v>
      </c>
      <c r="D101" s="82" t="s">
        <v>196</v>
      </c>
      <c r="E101" s="82" t="s">
        <v>309</v>
      </c>
      <c r="F101" s="82" t="s">
        <v>549</v>
      </c>
      <c r="G101" s="82" t="s">
        <v>137</v>
      </c>
      <c r="H101" s="82" t="s">
        <v>137</v>
      </c>
      <c r="I101" s="82" t="s">
        <v>66</v>
      </c>
      <c r="J101" s="82" t="s">
        <v>28</v>
      </c>
      <c r="K101" s="92" t="s">
        <v>137</v>
      </c>
      <c r="L101" s="92" t="s">
        <v>137</v>
      </c>
      <c r="M101" s="92" t="s">
        <v>137</v>
      </c>
      <c r="N101" s="92" t="s">
        <v>137</v>
      </c>
      <c r="O101" s="92" t="s">
        <v>137</v>
      </c>
      <c r="P101" s="92" t="s">
        <v>137</v>
      </c>
      <c r="Q101" s="82" t="s">
        <v>494</v>
      </c>
      <c r="R101" s="82" t="s">
        <v>716</v>
      </c>
      <c r="S101" s="82" t="s">
        <v>556</v>
      </c>
      <c r="T101" s="82" t="s">
        <v>2</v>
      </c>
      <c r="U101" s="82" t="s">
        <v>548</v>
      </c>
      <c r="V101" s="82" t="s">
        <v>548</v>
      </c>
      <c r="W101" s="82" t="s">
        <v>548</v>
      </c>
      <c r="X101" s="71" t="s">
        <v>548</v>
      </c>
      <c r="Y101" s="82" t="s">
        <v>548</v>
      </c>
      <c r="Z101" s="82" t="s">
        <v>548</v>
      </c>
      <c r="AA101" s="82" t="s">
        <v>548</v>
      </c>
      <c r="AB101" s="82" t="s">
        <v>548</v>
      </c>
      <c r="AC101" s="82" t="s">
        <v>548</v>
      </c>
      <c r="AD101" s="82" t="s">
        <v>548</v>
      </c>
      <c r="AE101" s="82" t="s">
        <v>548</v>
      </c>
      <c r="AF101" s="83">
        <v>1</v>
      </c>
      <c r="AG101" s="82" t="s">
        <v>534</v>
      </c>
      <c r="AH101" s="82" t="s">
        <v>529</v>
      </c>
      <c r="AI101" s="88" t="s">
        <v>538</v>
      </c>
      <c r="AJ101" s="89" t="s">
        <v>538</v>
      </c>
      <c r="AK101" s="90">
        <v>46023</v>
      </c>
      <c r="AL101" s="90">
        <v>46387</v>
      </c>
      <c r="AM101" s="89"/>
      <c r="AN101" s="89"/>
      <c r="AO101" s="89"/>
      <c r="AP101" s="91" t="s">
        <v>541</v>
      </c>
      <c r="AQ101" s="90" cm="1">
        <f t="array" ref="AQ101">IFERROR(DATE(2026, _xlfn.AGGREGATE(15, 6, (COLUMN(BY101:CJ101)-COLUMN(BY101)+1)/(BY101:CJ101&lt;&gt;0), 1), 1),"N/A")</f>
        <v>46023</v>
      </c>
      <c r="AR101" s="90" cm="1">
        <f t="array" ref="AR101">IFERROR(EOMONTH(DATE(2026, _xlfn.AGGREGATE(14, 6, (COLUMN(BY101:CJ101)-COLUMN(BY101)+1)/(BY101:CJ101&lt;&gt;0), 1), 1), 0),"N/A")</f>
        <v>46387</v>
      </c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/>
      <c r="BE101" s="82" t="s">
        <v>638</v>
      </c>
      <c r="BF101" s="82" t="s">
        <v>1054</v>
      </c>
      <c r="BG101" s="82" t="str">
        <f t="shared" si="6"/>
        <v>000</v>
      </c>
      <c r="BH101" s="88">
        <v>510602</v>
      </c>
      <c r="BI101" s="92" t="s">
        <v>74</v>
      </c>
      <c r="BJ101" s="93">
        <v>106188.31</v>
      </c>
      <c r="BK101" s="94">
        <v>8849.0258333333331</v>
      </c>
      <c r="BL101" s="94">
        <v>8849.0258333333331</v>
      </c>
      <c r="BM101" s="94">
        <v>8849.0258333333331</v>
      </c>
      <c r="BN101" s="72">
        <v>8849.0258333333331</v>
      </c>
      <c r="BO101" s="94">
        <v>8849.0258333333331</v>
      </c>
      <c r="BP101" s="94">
        <v>8849.0258333333331</v>
      </c>
      <c r="BQ101" s="94">
        <v>8849.0258333333331</v>
      </c>
      <c r="BR101" s="94">
        <v>8849.0258333333331</v>
      </c>
      <c r="BS101" s="94">
        <v>8849.0258333333331</v>
      </c>
      <c r="BT101" s="94">
        <v>8849.0258333333331</v>
      </c>
      <c r="BU101" s="94">
        <v>8849.0258333333331</v>
      </c>
      <c r="BV101" s="142">
        <v>8849.0258333333331</v>
      </c>
      <c r="BW101" s="142">
        <v>-1813.96</v>
      </c>
      <c r="BX101" s="143">
        <f t="shared" si="11"/>
        <v>104374.34999999999</v>
      </c>
      <c r="BY101" s="94">
        <v>8697.86</v>
      </c>
      <c r="BZ101" s="94">
        <v>8697.86</v>
      </c>
      <c r="CA101" s="94">
        <v>8697.86</v>
      </c>
      <c r="CB101" s="94">
        <v>8697.86</v>
      </c>
      <c r="CC101" s="94">
        <v>8697.86</v>
      </c>
      <c r="CD101" s="94">
        <v>8697.86</v>
      </c>
      <c r="CE101" s="94">
        <v>8697.86</v>
      </c>
      <c r="CF101" s="94">
        <v>8697.86</v>
      </c>
      <c r="CG101" s="94">
        <v>8697.86</v>
      </c>
      <c r="CH101" s="94">
        <v>8697.86</v>
      </c>
      <c r="CI101" s="94">
        <v>8697.86</v>
      </c>
      <c r="CJ101" s="94">
        <v>8697.89</v>
      </c>
      <c r="CK101" s="142"/>
      <c r="CL101" s="142">
        <f t="shared" si="7"/>
        <v>0</v>
      </c>
      <c r="CM101" s="171">
        <v>8564.68</v>
      </c>
      <c r="CN101" s="171">
        <v>865.71</v>
      </c>
      <c r="CO101" s="171">
        <v>8564.68</v>
      </c>
      <c r="CP101" s="171">
        <v>7735.4</v>
      </c>
      <c r="CQ101" s="171">
        <v>6837.87</v>
      </c>
      <c r="CR101" s="171">
        <v>7735.4</v>
      </c>
      <c r="CS101" s="171">
        <f t="shared" si="8"/>
        <v>16300.08</v>
      </c>
      <c r="CT101" s="171">
        <f t="shared" si="9"/>
        <v>7703.58</v>
      </c>
      <c r="CU101" s="171">
        <f t="shared" si="10"/>
        <v>16300.08</v>
      </c>
      <c r="CV101" s="149"/>
      <c r="CW101" s="149"/>
      <c r="CX101" s="130"/>
      <c r="CY101" s="130"/>
      <c r="CZ101" s="130"/>
      <c r="DA101" s="130"/>
      <c r="DB101" s="130"/>
      <c r="DC101" s="130"/>
      <c r="DD101" s="130"/>
      <c r="DE101" s="130"/>
      <c r="DF101" s="130"/>
      <c r="DG101" s="130"/>
      <c r="DH101" s="130"/>
      <c r="DI101" s="130"/>
      <c r="DJ101" s="130"/>
      <c r="DK101" s="130"/>
      <c r="DL101" s="130"/>
      <c r="DM101" s="130"/>
      <c r="DN101" s="130"/>
      <c r="DO101" s="130"/>
      <c r="DP101" s="130"/>
      <c r="DQ101" s="130"/>
      <c r="DR101" s="130"/>
      <c r="DS101" s="130"/>
      <c r="DT101" s="130"/>
      <c r="DU101" s="130"/>
      <c r="DV101" s="130"/>
      <c r="DW101" s="130"/>
      <c r="DX101" s="130"/>
      <c r="DY101" s="130"/>
      <c r="DZ101" s="130"/>
      <c r="EA101" s="130"/>
      <c r="EB101" s="130"/>
      <c r="EC101" s="130"/>
      <c r="ED101" s="130"/>
      <c r="EE101" s="130"/>
      <c r="EF101" s="130"/>
      <c r="EG101" s="130"/>
      <c r="EH101" s="130"/>
      <c r="EI101" s="130"/>
      <c r="EJ101" s="130"/>
      <c r="EK101" s="130"/>
      <c r="EL101" s="130"/>
      <c r="EM101" s="130"/>
      <c r="EN101" s="130"/>
      <c r="EO101" s="130"/>
      <c r="EP101" s="130"/>
      <c r="EQ101" s="130"/>
      <c r="ER101" s="130"/>
      <c r="ES101" s="130"/>
      <c r="ET101" s="130"/>
      <c r="EU101" s="130"/>
      <c r="EV101" s="130"/>
      <c r="EW101" s="130"/>
      <c r="EX101" s="130"/>
      <c r="EY101" s="130"/>
      <c r="EZ101" s="130"/>
      <c r="FA101" s="130"/>
      <c r="FB101" s="201"/>
      <c r="FC101" s="201"/>
      <c r="FD101" s="201"/>
      <c r="FE101" s="201"/>
      <c r="FF101" s="201"/>
      <c r="FG101" s="201"/>
      <c r="FH101" s="201"/>
      <c r="FI101" s="201"/>
      <c r="FJ101" s="201"/>
      <c r="FK101" s="201"/>
      <c r="FL101" s="201"/>
      <c r="FM101" s="201"/>
      <c r="FN101" s="201"/>
      <c r="FO101" s="201"/>
      <c r="FP101" s="201"/>
      <c r="FQ101" s="201"/>
      <c r="FR101" s="201"/>
      <c r="FS101" s="201"/>
      <c r="FT101" s="201"/>
      <c r="FU101" s="201"/>
      <c r="FV101" s="201"/>
      <c r="FW101" s="201"/>
      <c r="FX101" s="201"/>
      <c r="FY101" s="201"/>
      <c r="FZ101" s="201"/>
      <c r="GA101" s="201"/>
      <c r="GB101" s="201"/>
      <c r="GC101" s="201"/>
      <c r="GD101" s="201"/>
      <c r="GE101" s="201"/>
      <c r="GF101" s="201"/>
      <c r="GG101" s="201"/>
      <c r="GH101" s="201"/>
      <c r="GI101" s="201"/>
      <c r="GJ101" s="201"/>
      <c r="GK101" s="201"/>
      <c r="GL101" s="201"/>
      <c r="GM101" s="201"/>
      <c r="GN101" s="201"/>
      <c r="GO101" s="201"/>
      <c r="GP101" s="201"/>
      <c r="GQ101" s="201"/>
    </row>
    <row r="102" spans="1:204" s="68" customFormat="1" ht="14.45" customHeight="1" x14ac:dyDescent="0.25">
      <c r="A102" s="68" t="s">
        <v>691</v>
      </c>
      <c r="B102" s="82" t="s">
        <v>154</v>
      </c>
      <c r="C102" s="82" t="s">
        <v>172</v>
      </c>
      <c r="D102" s="82" t="s">
        <v>196</v>
      </c>
      <c r="E102" s="82" t="s">
        <v>309</v>
      </c>
      <c r="F102" s="82" t="s">
        <v>549</v>
      </c>
      <c r="G102" s="82" t="s">
        <v>137</v>
      </c>
      <c r="H102" s="82" t="s">
        <v>137</v>
      </c>
      <c r="I102" s="82" t="s">
        <v>66</v>
      </c>
      <c r="J102" s="82" t="s">
        <v>28</v>
      </c>
      <c r="K102" s="92" t="s">
        <v>137</v>
      </c>
      <c r="L102" s="92" t="s">
        <v>137</v>
      </c>
      <c r="M102" s="92" t="s">
        <v>137</v>
      </c>
      <c r="N102" s="92" t="s">
        <v>137</v>
      </c>
      <c r="O102" s="92" t="s">
        <v>137</v>
      </c>
      <c r="P102" s="92" t="s">
        <v>137</v>
      </c>
      <c r="Q102" s="82" t="s">
        <v>494</v>
      </c>
      <c r="R102" s="82" t="s">
        <v>716</v>
      </c>
      <c r="S102" s="82" t="s">
        <v>556</v>
      </c>
      <c r="T102" s="82" t="s">
        <v>2</v>
      </c>
      <c r="U102" s="82" t="s">
        <v>548</v>
      </c>
      <c r="V102" s="82" t="s">
        <v>548</v>
      </c>
      <c r="W102" s="82" t="s">
        <v>548</v>
      </c>
      <c r="X102" s="71" t="s">
        <v>548</v>
      </c>
      <c r="Y102" s="82" t="s">
        <v>548</v>
      </c>
      <c r="Z102" s="82" t="s">
        <v>548</v>
      </c>
      <c r="AA102" s="82" t="s">
        <v>548</v>
      </c>
      <c r="AB102" s="82" t="s">
        <v>548</v>
      </c>
      <c r="AC102" s="82" t="s">
        <v>548</v>
      </c>
      <c r="AD102" s="82" t="s">
        <v>548</v>
      </c>
      <c r="AE102" s="82" t="s">
        <v>548</v>
      </c>
      <c r="AF102" s="83">
        <v>1</v>
      </c>
      <c r="AG102" s="82" t="s">
        <v>534</v>
      </c>
      <c r="AH102" s="82" t="s">
        <v>529</v>
      </c>
      <c r="AI102" s="88" t="s">
        <v>538</v>
      </c>
      <c r="AJ102" s="89" t="s">
        <v>538</v>
      </c>
      <c r="AK102" s="90">
        <v>46023</v>
      </c>
      <c r="AL102" s="90">
        <v>46387</v>
      </c>
      <c r="AM102" s="89"/>
      <c r="AN102" s="89"/>
      <c r="AO102" s="89"/>
      <c r="AP102" s="91" t="s">
        <v>541</v>
      </c>
      <c r="AQ102" s="90" cm="1">
        <f t="array" ref="AQ102">IFERROR(DATE(2026, _xlfn.AGGREGATE(15, 6, (COLUMN(BY102:CJ102)-COLUMN(BY102)+1)/(BY102:CJ102&lt;&gt;0), 1), 1),"N/A")</f>
        <v>46023</v>
      </c>
      <c r="AR102" s="90" cm="1">
        <f t="array" ref="AR102">IFERROR(EOMONTH(DATE(2026, _xlfn.AGGREGATE(14, 6, (COLUMN(BY102:CJ102)-COLUMN(BY102)+1)/(BY102:CJ102&lt;&gt;0), 1), 1), 0),"N/A")</f>
        <v>46387</v>
      </c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2" t="s">
        <v>616</v>
      </c>
      <c r="BF102" s="82" t="s">
        <v>1055</v>
      </c>
      <c r="BG102" s="82" t="str">
        <f t="shared" si="6"/>
        <v>000</v>
      </c>
      <c r="BH102" s="88">
        <v>510509</v>
      </c>
      <c r="BI102" s="92" t="s">
        <v>74</v>
      </c>
      <c r="BJ102" s="93">
        <v>52597.97</v>
      </c>
      <c r="BK102" s="94">
        <v>4383.1641666666665</v>
      </c>
      <c r="BL102" s="94">
        <v>4383.1641666666665</v>
      </c>
      <c r="BM102" s="94">
        <v>4383.1641666666665</v>
      </c>
      <c r="BN102" s="72">
        <v>4383.1641666666665</v>
      </c>
      <c r="BO102" s="94">
        <v>4383.1641666666665</v>
      </c>
      <c r="BP102" s="94">
        <v>4383.1641666666665</v>
      </c>
      <c r="BQ102" s="94">
        <v>4383.1641666666665</v>
      </c>
      <c r="BR102" s="94">
        <v>4383.1641666666665</v>
      </c>
      <c r="BS102" s="94">
        <v>4383.1641666666665</v>
      </c>
      <c r="BT102" s="94">
        <v>4383.1641666666665</v>
      </c>
      <c r="BU102" s="94">
        <v>4383.1641666666665</v>
      </c>
      <c r="BV102" s="142">
        <v>4383.1641666666665</v>
      </c>
      <c r="BW102" s="142"/>
      <c r="BX102" s="143">
        <f t="shared" si="11"/>
        <v>52597.97</v>
      </c>
      <c r="BY102" s="94">
        <v>4383.1641666666665</v>
      </c>
      <c r="BZ102" s="94">
        <v>4383.1641666666665</v>
      </c>
      <c r="CA102" s="94">
        <v>4383.1641666666665</v>
      </c>
      <c r="CB102" s="72">
        <v>4383.1641666666665</v>
      </c>
      <c r="CC102" s="94">
        <v>4383.1641666666665</v>
      </c>
      <c r="CD102" s="94">
        <v>4383.1641666666665</v>
      </c>
      <c r="CE102" s="94">
        <v>4383.1641666666665</v>
      </c>
      <c r="CF102" s="94">
        <v>4383.1641666666665</v>
      </c>
      <c r="CG102" s="94">
        <v>4383.1641666666665</v>
      </c>
      <c r="CH102" s="94">
        <v>4383.1641666666665</v>
      </c>
      <c r="CI102" s="94">
        <v>4383.1641666666665</v>
      </c>
      <c r="CJ102" s="142">
        <v>4383.1641666666665</v>
      </c>
      <c r="CK102" s="142"/>
      <c r="CL102" s="142">
        <f t="shared" si="7"/>
        <v>0</v>
      </c>
      <c r="CM102" s="171">
        <v>13115.94</v>
      </c>
      <c r="CN102" s="171">
        <v>35580.730000000003</v>
      </c>
      <c r="CO102" s="171">
        <v>13115.94</v>
      </c>
      <c r="CP102" s="171">
        <v>3583.21</v>
      </c>
      <c r="CQ102" s="171">
        <v>31997.52</v>
      </c>
      <c r="CR102" s="171">
        <v>3583.21</v>
      </c>
      <c r="CS102" s="171">
        <f t="shared" si="8"/>
        <v>16699.150000000001</v>
      </c>
      <c r="CT102" s="171">
        <f t="shared" si="9"/>
        <v>67578.25</v>
      </c>
      <c r="CU102" s="171">
        <f t="shared" si="10"/>
        <v>16699.150000000001</v>
      </c>
      <c r="CV102" s="149"/>
      <c r="CW102" s="149"/>
      <c r="CX102" s="130"/>
      <c r="CY102" s="130"/>
      <c r="CZ102" s="130"/>
      <c r="DA102" s="130"/>
      <c r="DB102" s="130"/>
      <c r="DC102" s="130"/>
      <c r="DD102" s="130"/>
      <c r="DE102" s="130"/>
      <c r="DF102" s="130"/>
      <c r="DG102" s="130"/>
      <c r="DH102" s="130"/>
      <c r="DI102" s="130"/>
      <c r="DJ102" s="130"/>
      <c r="DK102" s="130"/>
      <c r="DL102" s="130"/>
      <c r="DM102" s="130"/>
      <c r="DN102" s="130"/>
      <c r="DO102" s="130"/>
      <c r="DP102" s="130"/>
      <c r="DQ102" s="130"/>
      <c r="DR102" s="130"/>
      <c r="DS102" s="130"/>
      <c r="DT102" s="130"/>
      <c r="DU102" s="130"/>
      <c r="DV102" s="130"/>
      <c r="DW102" s="130"/>
      <c r="DX102" s="130"/>
      <c r="DY102" s="130"/>
      <c r="DZ102" s="130"/>
      <c r="EA102" s="130"/>
      <c r="EB102" s="130"/>
      <c r="EC102" s="130"/>
      <c r="ED102" s="130"/>
      <c r="EE102" s="130"/>
      <c r="EF102" s="130"/>
      <c r="EG102" s="130"/>
      <c r="EH102" s="130"/>
      <c r="EI102" s="130"/>
      <c r="EJ102" s="130"/>
      <c r="EK102" s="130"/>
      <c r="EL102" s="130"/>
      <c r="EM102" s="130"/>
      <c r="EN102" s="130"/>
      <c r="EO102" s="130"/>
      <c r="EP102" s="130"/>
      <c r="EQ102" s="130"/>
      <c r="ER102" s="130"/>
      <c r="ES102" s="130"/>
      <c r="ET102" s="130"/>
      <c r="EU102" s="130"/>
      <c r="EV102" s="130"/>
      <c r="EW102" s="130"/>
      <c r="EX102" s="130"/>
      <c r="EY102" s="130"/>
      <c r="EZ102" s="130"/>
      <c r="FA102" s="130"/>
      <c r="FB102" s="201"/>
      <c r="FC102" s="201"/>
      <c r="FD102" s="201"/>
      <c r="FE102" s="201"/>
      <c r="FF102" s="201"/>
      <c r="FG102" s="201"/>
      <c r="FH102" s="201"/>
      <c r="FI102" s="201"/>
      <c r="FJ102" s="201"/>
      <c r="FK102" s="201"/>
      <c r="FL102" s="201"/>
      <c r="FM102" s="201"/>
      <c r="FN102" s="201"/>
      <c r="FO102" s="201"/>
      <c r="FP102" s="201"/>
      <c r="FQ102" s="201"/>
      <c r="FR102" s="201"/>
      <c r="FS102" s="201"/>
      <c r="FT102" s="201"/>
      <c r="FU102" s="201"/>
      <c r="FV102" s="201"/>
      <c r="FW102" s="201"/>
      <c r="FX102" s="201"/>
      <c r="FY102" s="201"/>
      <c r="FZ102" s="201"/>
      <c r="GA102" s="201"/>
      <c r="GB102" s="201"/>
      <c r="GC102" s="201"/>
      <c r="GD102" s="201"/>
      <c r="GE102" s="201"/>
      <c r="GF102" s="201"/>
      <c r="GG102" s="201"/>
      <c r="GH102" s="201"/>
      <c r="GI102" s="201"/>
      <c r="GJ102" s="201"/>
      <c r="GK102" s="201"/>
      <c r="GL102" s="201"/>
      <c r="GM102" s="201"/>
      <c r="GN102" s="201"/>
      <c r="GO102" s="201"/>
      <c r="GP102" s="201"/>
      <c r="GQ102" s="201"/>
    </row>
    <row r="103" spans="1:204" s="68" customFormat="1" ht="14.45" customHeight="1" x14ac:dyDescent="0.25">
      <c r="A103" s="68" t="s">
        <v>691</v>
      </c>
      <c r="B103" s="82" t="s">
        <v>154</v>
      </c>
      <c r="C103" s="82" t="s">
        <v>172</v>
      </c>
      <c r="D103" s="82" t="s">
        <v>196</v>
      </c>
      <c r="E103" s="82" t="s">
        <v>309</v>
      </c>
      <c r="F103" s="82" t="s">
        <v>549</v>
      </c>
      <c r="G103" s="82" t="s">
        <v>137</v>
      </c>
      <c r="H103" s="82" t="s">
        <v>137</v>
      </c>
      <c r="I103" s="82" t="s">
        <v>66</v>
      </c>
      <c r="J103" s="82" t="s">
        <v>28</v>
      </c>
      <c r="K103" s="92" t="s">
        <v>137</v>
      </c>
      <c r="L103" s="92" t="s">
        <v>137</v>
      </c>
      <c r="M103" s="92" t="s">
        <v>137</v>
      </c>
      <c r="N103" s="92" t="s">
        <v>137</v>
      </c>
      <c r="O103" s="92" t="s">
        <v>137</v>
      </c>
      <c r="P103" s="92" t="s">
        <v>137</v>
      </c>
      <c r="Q103" s="82" t="s">
        <v>494</v>
      </c>
      <c r="R103" s="82" t="s">
        <v>716</v>
      </c>
      <c r="S103" s="82" t="s">
        <v>556</v>
      </c>
      <c r="T103" s="82" t="s">
        <v>2</v>
      </c>
      <c r="U103" s="82" t="s">
        <v>548</v>
      </c>
      <c r="V103" s="82" t="s">
        <v>548</v>
      </c>
      <c r="W103" s="82" t="s">
        <v>548</v>
      </c>
      <c r="X103" s="71" t="s">
        <v>548</v>
      </c>
      <c r="Y103" s="82" t="s">
        <v>548</v>
      </c>
      <c r="Z103" s="82" t="s">
        <v>548</v>
      </c>
      <c r="AA103" s="82" t="s">
        <v>548</v>
      </c>
      <c r="AB103" s="82" t="s">
        <v>548</v>
      </c>
      <c r="AC103" s="82" t="s">
        <v>548</v>
      </c>
      <c r="AD103" s="82" t="s">
        <v>548</v>
      </c>
      <c r="AE103" s="82" t="s">
        <v>548</v>
      </c>
      <c r="AF103" s="83">
        <v>1</v>
      </c>
      <c r="AG103" s="82" t="s">
        <v>534</v>
      </c>
      <c r="AH103" s="82" t="s">
        <v>529</v>
      </c>
      <c r="AI103" s="88" t="s">
        <v>538</v>
      </c>
      <c r="AJ103" s="89" t="s">
        <v>538</v>
      </c>
      <c r="AK103" s="90">
        <v>46023</v>
      </c>
      <c r="AL103" s="90">
        <v>46387</v>
      </c>
      <c r="AM103" s="89"/>
      <c r="AN103" s="89"/>
      <c r="AO103" s="89"/>
      <c r="AP103" s="91" t="s">
        <v>541</v>
      </c>
      <c r="AQ103" s="90" cm="1">
        <f t="array" ref="AQ103">IFERROR(DATE(2026, _xlfn.AGGREGATE(15, 6, (COLUMN(BY103:CJ103)-COLUMN(BY103)+1)/(BY103:CJ103&lt;&gt;0), 1), 1),"N/A")</f>
        <v>46023</v>
      </c>
      <c r="AR103" s="90" cm="1">
        <f t="array" ref="AR103">IFERROR(EOMONTH(DATE(2026, _xlfn.AGGREGATE(14, 6, (COLUMN(BY103:CJ103)-COLUMN(BY103)+1)/(BY103:CJ103&lt;&gt;0), 1), 1), 0),"N/A")</f>
        <v>46387</v>
      </c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2" t="s">
        <v>689</v>
      </c>
      <c r="BF103" s="82" t="s">
        <v>1056</v>
      </c>
      <c r="BG103" s="82" t="str">
        <f t="shared" si="6"/>
        <v>000</v>
      </c>
      <c r="BH103" s="88">
        <v>510105</v>
      </c>
      <c r="BI103" s="92" t="s">
        <v>74</v>
      </c>
      <c r="BJ103" s="93">
        <v>847680</v>
      </c>
      <c r="BK103" s="94">
        <v>70640</v>
      </c>
      <c r="BL103" s="94">
        <v>70640</v>
      </c>
      <c r="BM103" s="94">
        <v>70640</v>
      </c>
      <c r="BN103" s="72">
        <v>70640</v>
      </c>
      <c r="BO103" s="94">
        <v>70640</v>
      </c>
      <c r="BP103" s="94">
        <v>70640</v>
      </c>
      <c r="BQ103" s="94">
        <v>70640</v>
      </c>
      <c r="BR103" s="94">
        <v>70640</v>
      </c>
      <c r="BS103" s="94">
        <v>70640</v>
      </c>
      <c r="BT103" s="94">
        <v>70640</v>
      </c>
      <c r="BU103" s="94">
        <v>70640</v>
      </c>
      <c r="BV103" s="142">
        <v>70640</v>
      </c>
      <c r="BW103" s="142">
        <v>-37800</v>
      </c>
      <c r="BX103" s="143">
        <f t="shared" si="11"/>
        <v>809880</v>
      </c>
      <c r="BY103" s="94">
        <v>67490</v>
      </c>
      <c r="BZ103" s="94">
        <v>67490</v>
      </c>
      <c r="CA103" s="94">
        <v>67490</v>
      </c>
      <c r="CB103" s="94">
        <v>67490</v>
      </c>
      <c r="CC103" s="94">
        <v>67490</v>
      </c>
      <c r="CD103" s="94">
        <v>67490</v>
      </c>
      <c r="CE103" s="94">
        <v>67490</v>
      </c>
      <c r="CF103" s="94">
        <v>67490</v>
      </c>
      <c r="CG103" s="94">
        <v>67490</v>
      </c>
      <c r="CH103" s="94">
        <v>67490</v>
      </c>
      <c r="CI103" s="94">
        <v>67490</v>
      </c>
      <c r="CJ103" s="94">
        <v>67490</v>
      </c>
      <c r="CK103" s="142"/>
      <c r="CL103" s="142">
        <f t="shared" si="7"/>
        <v>0</v>
      </c>
      <c r="CM103" s="171">
        <v>57356.66</v>
      </c>
      <c r="CN103" s="171">
        <v>45600</v>
      </c>
      <c r="CO103" s="171">
        <v>57356.66</v>
      </c>
      <c r="CP103" s="171">
        <v>64473.33</v>
      </c>
      <c r="CQ103" s="171">
        <v>67399.199999999997</v>
      </c>
      <c r="CR103" s="171">
        <v>64473.33</v>
      </c>
      <c r="CS103" s="171">
        <f t="shared" si="8"/>
        <v>121829.99</v>
      </c>
      <c r="CT103" s="171">
        <f t="shared" si="9"/>
        <v>112999.2</v>
      </c>
      <c r="CU103" s="171">
        <f t="shared" si="10"/>
        <v>121829.99</v>
      </c>
      <c r="CV103" s="149"/>
      <c r="CW103" s="149"/>
      <c r="CX103" s="130"/>
      <c r="CY103" s="130"/>
      <c r="CZ103" s="130"/>
      <c r="DA103" s="130"/>
      <c r="DB103" s="130"/>
      <c r="DC103" s="130"/>
      <c r="DD103" s="130"/>
      <c r="DE103" s="130"/>
      <c r="DF103" s="130"/>
      <c r="DG103" s="130"/>
      <c r="DH103" s="130"/>
      <c r="DI103" s="130"/>
      <c r="DJ103" s="130"/>
      <c r="DK103" s="130"/>
      <c r="DL103" s="130"/>
      <c r="DM103" s="130"/>
      <c r="DN103" s="130"/>
      <c r="DO103" s="130"/>
      <c r="DP103" s="130"/>
      <c r="DQ103" s="130"/>
      <c r="DR103" s="130"/>
      <c r="DS103" s="130"/>
      <c r="DT103" s="130"/>
      <c r="DU103" s="130"/>
      <c r="DV103" s="130"/>
      <c r="DW103" s="130"/>
      <c r="DX103" s="130"/>
      <c r="DY103" s="130"/>
      <c r="DZ103" s="130"/>
      <c r="EA103" s="130"/>
      <c r="EB103" s="130"/>
      <c r="EC103" s="130"/>
      <c r="ED103" s="130"/>
      <c r="EE103" s="130"/>
      <c r="EF103" s="130"/>
      <c r="EG103" s="130"/>
      <c r="EH103" s="130"/>
      <c r="EI103" s="130"/>
      <c r="EJ103" s="130"/>
      <c r="EK103" s="130"/>
      <c r="EL103" s="130"/>
      <c r="EM103" s="130"/>
      <c r="EN103" s="130"/>
      <c r="EO103" s="130"/>
      <c r="EP103" s="130"/>
      <c r="EQ103" s="130"/>
      <c r="ER103" s="130"/>
      <c r="ES103" s="130"/>
      <c r="ET103" s="130"/>
      <c r="EU103" s="130"/>
      <c r="EV103" s="130"/>
      <c r="EW103" s="130"/>
      <c r="EX103" s="130"/>
      <c r="EY103" s="130"/>
      <c r="EZ103" s="130"/>
      <c r="FA103" s="130"/>
      <c r="FB103" s="201"/>
      <c r="FC103" s="201"/>
      <c r="FD103" s="201"/>
      <c r="FE103" s="201"/>
      <c r="FF103" s="201"/>
      <c r="FG103" s="201"/>
      <c r="FH103" s="201"/>
      <c r="FI103" s="201"/>
      <c r="FJ103" s="201"/>
      <c r="FK103" s="201"/>
      <c r="FL103" s="201"/>
      <c r="FM103" s="201"/>
      <c r="FN103" s="201"/>
      <c r="FO103" s="201"/>
      <c r="FP103" s="201"/>
      <c r="FQ103" s="201"/>
      <c r="FR103" s="201"/>
      <c r="FS103" s="201"/>
      <c r="FT103" s="201"/>
      <c r="FU103" s="201"/>
      <c r="FV103" s="201"/>
      <c r="FW103" s="201"/>
      <c r="FX103" s="201"/>
      <c r="FY103" s="201"/>
      <c r="FZ103" s="201"/>
      <c r="GA103" s="201"/>
      <c r="GB103" s="201"/>
      <c r="GC103" s="201"/>
      <c r="GD103" s="201"/>
      <c r="GE103" s="201"/>
      <c r="GF103" s="201"/>
      <c r="GG103" s="201"/>
      <c r="GH103" s="201"/>
      <c r="GI103" s="201"/>
      <c r="GJ103" s="201"/>
      <c r="GK103" s="201"/>
      <c r="GL103" s="201"/>
      <c r="GM103" s="201"/>
      <c r="GN103" s="201"/>
      <c r="GO103" s="201"/>
      <c r="GP103" s="201"/>
      <c r="GQ103" s="201"/>
    </row>
    <row r="104" spans="1:204" s="68" customFormat="1" ht="14.45" customHeight="1" x14ac:dyDescent="0.25">
      <c r="A104" s="68" t="s">
        <v>691</v>
      </c>
      <c r="B104" s="82" t="s">
        <v>154</v>
      </c>
      <c r="C104" s="82" t="s">
        <v>172</v>
      </c>
      <c r="D104" s="82" t="s">
        <v>196</v>
      </c>
      <c r="E104" s="82" t="s">
        <v>309</v>
      </c>
      <c r="F104" s="82" t="s">
        <v>549</v>
      </c>
      <c r="G104" s="82" t="s">
        <v>137</v>
      </c>
      <c r="H104" s="82" t="s">
        <v>137</v>
      </c>
      <c r="I104" s="82" t="s">
        <v>66</v>
      </c>
      <c r="J104" s="82" t="s">
        <v>28</v>
      </c>
      <c r="K104" s="92" t="s">
        <v>137</v>
      </c>
      <c r="L104" s="92" t="s">
        <v>137</v>
      </c>
      <c r="M104" s="92" t="s">
        <v>137</v>
      </c>
      <c r="N104" s="92" t="s">
        <v>137</v>
      </c>
      <c r="O104" s="92" t="s">
        <v>137</v>
      </c>
      <c r="P104" s="92" t="s">
        <v>137</v>
      </c>
      <c r="Q104" s="82" t="s">
        <v>494</v>
      </c>
      <c r="R104" s="82" t="s">
        <v>716</v>
      </c>
      <c r="S104" s="82" t="s">
        <v>556</v>
      </c>
      <c r="T104" s="82" t="s">
        <v>2</v>
      </c>
      <c r="U104" s="82" t="s">
        <v>548</v>
      </c>
      <c r="V104" s="82" t="s">
        <v>548</v>
      </c>
      <c r="W104" s="82" t="s">
        <v>548</v>
      </c>
      <c r="X104" s="71" t="s">
        <v>548</v>
      </c>
      <c r="Y104" s="82" t="s">
        <v>548</v>
      </c>
      <c r="Z104" s="82" t="s">
        <v>548</v>
      </c>
      <c r="AA104" s="82" t="s">
        <v>548</v>
      </c>
      <c r="AB104" s="82" t="s">
        <v>548</v>
      </c>
      <c r="AC104" s="82" t="s">
        <v>548</v>
      </c>
      <c r="AD104" s="82" t="s">
        <v>548</v>
      </c>
      <c r="AE104" s="82" t="s">
        <v>548</v>
      </c>
      <c r="AF104" s="83">
        <v>1</v>
      </c>
      <c r="AG104" s="82" t="s">
        <v>534</v>
      </c>
      <c r="AH104" s="82" t="s">
        <v>529</v>
      </c>
      <c r="AI104" s="88" t="s">
        <v>538</v>
      </c>
      <c r="AJ104" s="89" t="s">
        <v>538</v>
      </c>
      <c r="AK104" s="90">
        <v>46023</v>
      </c>
      <c r="AL104" s="90">
        <v>46387</v>
      </c>
      <c r="AM104" s="89"/>
      <c r="AN104" s="89"/>
      <c r="AO104" s="89"/>
      <c r="AP104" s="91" t="s">
        <v>541</v>
      </c>
      <c r="AQ104" s="90" cm="1">
        <f t="array" ref="AQ104">IFERROR(DATE(2026, _xlfn.AGGREGATE(15, 6, (COLUMN(BY104:CJ104)-COLUMN(BY104)+1)/(BY104:CJ104&lt;&gt;0), 1), 1),"N/A")</f>
        <v>46023</v>
      </c>
      <c r="AR104" s="90" cm="1">
        <f t="array" ref="AR104">IFERROR(EOMONTH(DATE(2026, _xlfn.AGGREGATE(14, 6, (COLUMN(BY104:CJ104)-COLUMN(BY104)+1)/(BY104:CJ104&lt;&gt;0), 1), 1), 0),"N/A")</f>
        <v>46387</v>
      </c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2" t="s">
        <v>665</v>
      </c>
      <c r="BF104" s="82" t="s">
        <v>1057</v>
      </c>
      <c r="BG104" s="82" t="str">
        <f t="shared" si="6"/>
        <v>000</v>
      </c>
      <c r="BH104" s="88">
        <v>510106</v>
      </c>
      <c r="BI104" s="92" t="s">
        <v>74</v>
      </c>
      <c r="BJ104" s="93">
        <v>34656</v>
      </c>
      <c r="BK104" s="94">
        <v>2888</v>
      </c>
      <c r="BL104" s="94">
        <v>2888</v>
      </c>
      <c r="BM104" s="94">
        <v>2888</v>
      </c>
      <c r="BN104" s="72">
        <v>2888</v>
      </c>
      <c r="BO104" s="94">
        <v>2888</v>
      </c>
      <c r="BP104" s="94">
        <v>2888</v>
      </c>
      <c r="BQ104" s="94">
        <v>2888</v>
      </c>
      <c r="BR104" s="94">
        <v>2888</v>
      </c>
      <c r="BS104" s="94">
        <v>2888</v>
      </c>
      <c r="BT104" s="94">
        <v>2888</v>
      </c>
      <c r="BU104" s="94">
        <v>2888</v>
      </c>
      <c r="BV104" s="142">
        <v>2888</v>
      </c>
      <c r="BW104" s="142"/>
      <c r="BX104" s="143">
        <f t="shared" si="11"/>
        <v>34656</v>
      </c>
      <c r="BY104" s="94">
        <v>2888</v>
      </c>
      <c r="BZ104" s="94">
        <v>2888</v>
      </c>
      <c r="CA104" s="94">
        <v>2888</v>
      </c>
      <c r="CB104" s="72">
        <v>2888</v>
      </c>
      <c r="CC104" s="94">
        <v>2888</v>
      </c>
      <c r="CD104" s="94">
        <v>2888</v>
      </c>
      <c r="CE104" s="94">
        <v>2888</v>
      </c>
      <c r="CF104" s="94">
        <v>2888</v>
      </c>
      <c r="CG104" s="94">
        <v>2888</v>
      </c>
      <c r="CH104" s="94">
        <v>2888</v>
      </c>
      <c r="CI104" s="94">
        <v>2888</v>
      </c>
      <c r="CJ104" s="142">
        <v>2888</v>
      </c>
      <c r="CK104" s="142"/>
      <c r="CL104" s="142">
        <f t="shared" si="7"/>
        <v>0</v>
      </c>
      <c r="CM104" s="171">
        <v>2888</v>
      </c>
      <c r="CN104" s="171">
        <v>0</v>
      </c>
      <c r="CO104" s="171">
        <v>2888</v>
      </c>
      <c r="CP104" s="171">
        <v>2888</v>
      </c>
      <c r="CQ104" s="171">
        <v>0</v>
      </c>
      <c r="CR104" s="171">
        <v>2888</v>
      </c>
      <c r="CS104" s="171">
        <f t="shared" si="8"/>
        <v>5776</v>
      </c>
      <c r="CT104" s="171">
        <f t="shared" si="9"/>
        <v>0</v>
      </c>
      <c r="CU104" s="171">
        <f t="shared" si="10"/>
        <v>5776</v>
      </c>
      <c r="CV104" s="149"/>
      <c r="CW104" s="149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/>
      <c r="DI104" s="130"/>
      <c r="DJ104" s="130"/>
      <c r="DK104" s="130"/>
      <c r="DL104" s="130"/>
      <c r="DM104" s="130"/>
      <c r="DN104" s="130"/>
      <c r="DO104" s="130"/>
      <c r="DP104" s="130"/>
      <c r="DQ104" s="130"/>
      <c r="DR104" s="130"/>
      <c r="DS104" s="130"/>
      <c r="DT104" s="130"/>
      <c r="DU104" s="130"/>
      <c r="DV104" s="130"/>
      <c r="DW104" s="130"/>
      <c r="DX104" s="130"/>
      <c r="DY104" s="130"/>
      <c r="DZ104" s="130"/>
      <c r="EA104" s="130"/>
      <c r="EB104" s="130"/>
      <c r="EC104" s="130"/>
      <c r="ED104" s="130"/>
      <c r="EE104" s="130"/>
      <c r="EF104" s="130"/>
      <c r="EG104" s="130"/>
      <c r="EH104" s="130"/>
      <c r="EI104" s="130"/>
      <c r="EJ104" s="130"/>
      <c r="EK104" s="130"/>
      <c r="EL104" s="130"/>
      <c r="EM104" s="130"/>
      <c r="EN104" s="130"/>
      <c r="EO104" s="130"/>
      <c r="EP104" s="130"/>
      <c r="EQ104" s="130"/>
      <c r="ER104" s="130"/>
      <c r="ES104" s="130"/>
      <c r="ET104" s="130"/>
      <c r="EU104" s="130"/>
      <c r="EV104" s="130"/>
      <c r="EW104" s="130"/>
      <c r="EX104" s="130"/>
      <c r="EY104" s="130"/>
      <c r="EZ104" s="130"/>
      <c r="FA104" s="130"/>
      <c r="FB104" s="201"/>
      <c r="FC104" s="201"/>
      <c r="FD104" s="201"/>
      <c r="FE104" s="201"/>
      <c r="FF104" s="201"/>
      <c r="FG104" s="201"/>
      <c r="FH104" s="201"/>
      <c r="FI104" s="201"/>
      <c r="FJ104" s="201"/>
      <c r="FK104" s="201"/>
      <c r="FL104" s="201"/>
      <c r="FM104" s="201"/>
      <c r="FN104" s="201"/>
      <c r="FO104" s="201"/>
      <c r="FP104" s="201"/>
      <c r="FQ104" s="201"/>
      <c r="FR104" s="201"/>
      <c r="FS104" s="201"/>
      <c r="FT104" s="201"/>
      <c r="FU104" s="201"/>
      <c r="FV104" s="201"/>
      <c r="FW104" s="201"/>
      <c r="FX104" s="201"/>
      <c r="FY104" s="201"/>
      <c r="FZ104" s="201"/>
      <c r="GA104" s="201"/>
      <c r="GB104" s="201"/>
      <c r="GC104" s="201"/>
      <c r="GD104" s="201"/>
      <c r="GE104" s="201"/>
      <c r="GF104" s="201"/>
      <c r="GG104" s="201"/>
      <c r="GH104" s="201"/>
      <c r="GI104" s="201"/>
      <c r="GJ104" s="201"/>
      <c r="GK104" s="201"/>
      <c r="GL104" s="201"/>
      <c r="GM104" s="201"/>
      <c r="GN104" s="201"/>
      <c r="GO104" s="201"/>
      <c r="GP104" s="201"/>
      <c r="GQ104" s="201"/>
    </row>
    <row r="105" spans="1:204" s="68" customFormat="1" ht="14.45" customHeight="1" x14ac:dyDescent="0.25">
      <c r="A105" s="68" t="s">
        <v>691</v>
      </c>
      <c r="B105" s="82" t="s">
        <v>154</v>
      </c>
      <c r="C105" s="82" t="s">
        <v>172</v>
      </c>
      <c r="D105" s="82" t="s">
        <v>196</v>
      </c>
      <c r="E105" s="82" t="s">
        <v>309</v>
      </c>
      <c r="F105" s="82" t="s">
        <v>549</v>
      </c>
      <c r="G105" s="82" t="s">
        <v>137</v>
      </c>
      <c r="H105" s="82" t="s">
        <v>137</v>
      </c>
      <c r="I105" s="82" t="s">
        <v>66</v>
      </c>
      <c r="J105" s="82" t="s">
        <v>28</v>
      </c>
      <c r="K105" s="92" t="s">
        <v>137</v>
      </c>
      <c r="L105" s="92" t="s">
        <v>137</v>
      </c>
      <c r="M105" s="92" t="s">
        <v>137</v>
      </c>
      <c r="N105" s="92" t="s">
        <v>137</v>
      </c>
      <c r="O105" s="92" t="s">
        <v>137</v>
      </c>
      <c r="P105" s="92" t="s">
        <v>137</v>
      </c>
      <c r="Q105" s="82" t="s">
        <v>494</v>
      </c>
      <c r="R105" s="82" t="s">
        <v>716</v>
      </c>
      <c r="S105" s="82" t="s">
        <v>556</v>
      </c>
      <c r="T105" s="82" t="s">
        <v>2</v>
      </c>
      <c r="U105" s="82" t="s">
        <v>548</v>
      </c>
      <c r="V105" s="82" t="s">
        <v>548</v>
      </c>
      <c r="W105" s="82" t="s">
        <v>548</v>
      </c>
      <c r="X105" s="71" t="s">
        <v>548</v>
      </c>
      <c r="Y105" s="82" t="s">
        <v>548</v>
      </c>
      <c r="Z105" s="82" t="s">
        <v>548</v>
      </c>
      <c r="AA105" s="82" t="s">
        <v>548</v>
      </c>
      <c r="AB105" s="82" t="s">
        <v>548</v>
      </c>
      <c r="AC105" s="82" t="s">
        <v>548</v>
      </c>
      <c r="AD105" s="82" t="s">
        <v>548</v>
      </c>
      <c r="AE105" s="82" t="s">
        <v>548</v>
      </c>
      <c r="AF105" s="83">
        <v>1</v>
      </c>
      <c r="AG105" s="82" t="s">
        <v>534</v>
      </c>
      <c r="AH105" s="82" t="s">
        <v>529</v>
      </c>
      <c r="AI105" s="88" t="s">
        <v>538</v>
      </c>
      <c r="AJ105" s="89" t="s">
        <v>538</v>
      </c>
      <c r="AK105" s="90">
        <v>46023</v>
      </c>
      <c r="AL105" s="90">
        <v>46387</v>
      </c>
      <c r="AM105" s="89"/>
      <c r="AN105" s="89"/>
      <c r="AO105" s="89"/>
      <c r="AP105" s="91" t="s">
        <v>541</v>
      </c>
      <c r="AQ105" s="90" cm="1">
        <f t="array" ref="AQ105">IFERROR(DATE(2026, _xlfn.AGGREGATE(15, 6, (COLUMN(BY105:CJ105)-COLUMN(BY105)+1)/(BY105:CJ105&lt;&gt;0), 1), 1),"N/A")</f>
        <v>46023</v>
      </c>
      <c r="AR105" s="90" cm="1">
        <f t="array" ref="AR105">IFERROR(EOMONTH(DATE(2026, _xlfn.AGGREGATE(14, 6, (COLUMN(BY105:CJ105)-COLUMN(BY105)+1)/(BY105:CJ105&lt;&gt;0), 1), 1), 0),"N/A")</f>
        <v>46387</v>
      </c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2" t="s">
        <v>681</v>
      </c>
      <c r="BF105" s="82" t="s">
        <v>1058</v>
      </c>
      <c r="BG105" s="82" t="str">
        <f t="shared" si="6"/>
        <v>000</v>
      </c>
      <c r="BH105" s="88">
        <v>510510</v>
      </c>
      <c r="BI105" s="92" t="s">
        <v>74</v>
      </c>
      <c r="BJ105" s="93">
        <v>728292</v>
      </c>
      <c r="BK105" s="94">
        <v>60691</v>
      </c>
      <c r="BL105" s="94">
        <v>60691</v>
      </c>
      <c r="BM105" s="94">
        <v>60691</v>
      </c>
      <c r="BN105" s="72">
        <v>60691</v>
      </c>
      <c r="BO105" s="94">
        <v>60691</v>
      </c>
      <c r="BP105" s="94">
        <v>60691</v>
      </c>
      <c r="BQ105" s="94">
        <v>60691</v>
      </c>
      <c r="BR105" s="94">
        <v>60691</v>
      </c>
      <c r="BS105" s="94">
        <v>60691</v>
      </c>
      <c r="BT105" s="94">
        <v>60691</v>
      </c>
      <c r="BU105" s="94">
        <v>60691</v>
      </c>
      <c r="BV105" s="142">
        <v>60691</v>
      </c>
      <c r="BW105" s="142">
        <v>74128.539999999994</v>
      </c>
      <c r="BX105" s="143">
        <f t="shared" si="11"/>
        <v>802420.54</v>
      </c>
      <c r="BY105" s="94">
        <v>66868.38</v>
      </c>
      <c r="BZ105" s="94">
        <v>66868.38</v>
      </c>
      <c r="CA105" s="94">
        <v>66868.38</v>
      </c>
      <c r="CB105" s="94">
        <v>66868.38</v>
      </c>
      <c r="CC105" s="94">
        <v>66868.38</v>
      </c>
      <c r="CD105" s="94">
        <v>66868.38</v>
      </c>
      <c r="CE105" s="94">
        <v>66868.38</v>
      </c>
      <c r="CF105" s="94">
        <v>66868.38</v>
      </c>
      <c r="CG105" s="94">
        <v>66868.38</v>
      </c>
      <c r="CH105" s="94">
        <v>66868.38</v>
      </c>
      <c r="CI105" s="94">
        <v>66868.38</v>
      </c>
      <c r="CJ105" s="94">
        <v>66868.36</v>
      </c>
      <c r="CK105" s="142"/>
      <c r="CL105" s="142">
        <f t="shared" si="7"/>
        <v>0</v>
      </c>
      <c r="CM105" s="171">
        <v>64055.03</v>
      </c>
      <c r="CN105" s="171">
        <v>61464.71</v>
      </c>
      <c r="CO105" s="171">
        <v>64055.03</v>
      </c>
      <c r="CP105" s="171">
        <v>61936.13</v>
      </c>
      <c r="CQ105" s="171">
        <v>173887.11</v>
      </c>
      <c r="CR105" s="171">
        <v>61936.13</v>
      </c>
      <c r="CS105" s="171">
        <f t="shared" si="8"/>
        <v>125991.16</v>
      </c>
      <c r="CT105" s="171">
        <f t="shared" si="9"/>
        <v>235351.81999999998</v>
      </c>
      <c r="CU105" s="171">
        <f t="shared" si="10"/>
        <v>125991.16</v>
      </c>
      <c r="CV105" s="149"/>
      <c r="CW105" s="149"/>
      <c r="CX105" s="130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/>
      <c r="DI105" s="130"/>
      <c r="DJ105" s="130"/>
      <c r="DK105" s="130"/>
      <c r="DL105" s="130"/>
      <c r="DM105" s="130"/>
      <c r="DN105" s="130"/>
      <c r="DO105" s="130"/>
      <c r="DP105" s="130"/>
      <c r="DQ105" s="130"/>
      <c r="DR105" s="130"/>
      <c r="DS105" s="130"/>
      <c r="DT105" s="130"/>
      <c r="DU105" s="130"/>
      <c r="DV105" s="130"/>
      <c r="DW105" s="130"/>
      <c r="DX105" s="130"/>
      <c r="DY105" s="130"/>
      <c r="DZ105" s="130"/>
      <c r="EA105" s="130"/>
      <c r="EB105" s="130"/>
      <c r="EC105" s="130"/>
      <c r="ED105" s="130"/>
      <c r="EE105" s="130"/>
      <c r="EF105" s="130"/>
      <c r="EG105" s="130"/>
      <c r="EH105" s="130"/>
      <c r="EI105" s="130"/>
      <c r="EJ105" s="130"/>
      <c r="EK105" s="130"/>
      <c r="EL105" s="130"/>
      <c r="EM105" s="130"/>
      <c r="EN105" s="130"/>
      <c r="EO105" s="130"/>
      <c r="EP105" s="130"/>
      <c r="EQ105" s="130"/>
      <c r="ER105" s="130"/>
      <c r="ES105" s="130"/>
      <c r="ET105" s="130"/>
      <c r="EU105" s="130"/>
      <c r="EV105" s="130"/>
      <c r="EW105" s="130"/>
      <c r="EX105" s="130"/>
      <c r="EY105" s="130"/>
      <c r="EZ105" s="130"/>
      <c r="FA105" s="130"/>
      <c r="FB105" s="201"/>
      <c r="FC105" s="201"/>
      <c r="FD105" s="201"/>
      <c r="FE105" s="201"/>
      <c r="FF105" s="201"/>
      <c r="FG105" s="201"/>
      <c r="FH105" s="201"/>
      <c r="FI105" s="201"/>
      <c r="FJ105" s="201"/>
      <c r="FK105" s="201"/>
      <c r="FL105" s="201"/>
      <c r="FM105" s="201"/>
      <c r="FN105" s="201"/>
      <c r="FO105" s="201"/>
      <c r="FP105" s="201"/>
      <c r="FQ105" s="201"/>
      <c r="FR105" s="201"/>
      <c r="FS105" s="201"/>
      <c r="FT105" s="201"/>
      <c r="FU105" s="201"/>
      <c r="FV105" s="201"/>
      <c r="FW105" s="201"/>
      <c r="FX105" s="201"/>
      <c r="FY105" s="201"/>
      <c r="FZ105" s="201"/>
      <c r="GA105" s="201"/>
      <c r="GB105" s="201"/>
      <c r="GC105" s="201"/>
      <c r="GD105" s="201"/>
      <c r="GE105" s="201"/>
      <c r="GF105" s="201"/>
      <c r="GG105" s="201"/>
      <c r="GH105" s="201"/>
      <c r="GI105" s="201"/>
      <c r="GJ105" s="201"/>
      <c r="GK105" s="201"/>
      <c r="GL105" s="201"/>
      <c r="GM105" s="201"/>
      <c r="GN105" s="201"/>
      <c r="GO105" s="201"/>
      <c r="GP105" s="201"/>
      <c r="GQ105" s="201"/>
    </row>
    <row r="106" spans="1:204" s="68" customFormat="1" ht="14.45" customHeight="1" x14ac:dyDescent="0.25">
      <c r="A106" s="68" t="s">
        <v>691</v>
      </c>
      <c r="B106" s="82" t="s">
        <v>154</v>
      </c>
      <c r="C106" s="82" t="s">
        <v>172</v>
      </c>
      <c r="D106" s="82" t="s">
        <v>196</v>
      </c>
      <c r="E106" s="82" t="s">
        <v>309</v>
      </c>
      <c r="F106" s="82" t="s">
        <v>549</v>
      </c>
      <c r="G106" s="82" t="s">
        <v>137</v>
      </c>
      <c r="H106" s="82" t="s">
        <v>137</v>
      </c>
      <c r="I106" s="82" t="s">
        <v>66</v>
      </c>
      <c r="J106" s="82" t="s">
        <v>28</v>
      </c>
      <c r="K106" s="92" t="s">
        <v>137</v>
      </c>
      <c r="L106" s="92" t="s">
        <v>137</v>
      </c>
      <c r="M106" s="92" t="s">
        <v>137</v>
      </c>
      <c r="N106" s="92" t="s">
        <v>137</v>
      </c>
      <c r="O106" s="92" t="s">
        <v>137</v>
      </c>
      <c r="P106" s="92" t="s">
        <v>137</v>
      </c>
      <c r="Q106" s="82" t="s">
        <v>494</v>
      </c>
      <c r="R106" s="82" t="s">
        <v>716</v>
      </c>
      <c r="S106" s="82" t="s">
        <v>556</v>
      </c>
      <c r="T106" s="82" t="s">
        <v>2</v>
      </c>
      <c r="U106" s="82" t="s">
        <v>548</v>
      </c>
      <c r="V106" s="82" t="s">
        <v>548</v>
      </c>
      <c r="W106" s="82" t="s">
        <v>548</v>
      </c>
      <c r="X106" s="71" t="s">
        <v>548</v>
      </c>
      <c r="Y106" s="82" t="s">
        <v>548</v>
      </c>
      <c r="Z106" s="82" t="s">
        <v>548</v>
      </c>
      <c r="AA106" s="82" t="s">
        <v>548</v>
      </c>
      <c r="AB106" s="82" t="s">
        <v>548</v>
      </c>
      <c r="AC106" s="82" t="s">
        <v>548</v>
      </c>
      <c r="AD106" s="82" t="s">
        <v>548</v>
      </c>
      <c r="AE106" s="82" t="s">
        <v>548</v>
      </c>
      <c r="AF106" s="83">
        <v>1</v>
      </c>
      <c r="AG106" s="82" t="s">
        <v>534</v>
      </c>
      <c r="AH106" s="82" t="s">
        <v>529</v>
      </c>
      <c r="AI106" s="88" t="s">
        <v>538</v>
      </c>
      <c r="AJ106" s="89" t="s">
        <v>538</v>
      </c>
      <c r="AK106" s="90">
        <v>46023</v>
      </c>
      <c r="AL106" s="90">
        <v>46387</v>
      </c>
      <c r="AM106" s="89"/>
      <c r="AN106" s="89"/>
      <c r="AO106" s="89"/>
      <c r="AP106" s="91" t="s">
        <v>541</v>
      </c>
      <c r="AQ106" s="90" cm="1">
        <f t="array" ref="AQ106">IFERROR(DATE(2026, _xlfn.AGGREGATE(15, 6, (COLUMN(BY106:CJ106)-COLUMN(BY106)+1)/(BY106:CJ106&lt;&gt;0), 1), 1),"N/A")</f>
        <v>46023</v>
      </c>
      <c r="AR106" s="90" cm="1">
        <f t="array" ref="AR106">IFERROR(EOMONTH(DATE(2026, _xlfn.AGGREGATE(14, 6, (COLUMN(BY106:CJ106)-COLUMN(BY106)+1)/(BY106:CJ106&lt;&gt;0), 1), 1), 0),"N/A")</f>
        <v>46387</v>
      </c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2" t="s">
        <v>647</v>
      </c>
      <c r="BF106" s="82" t="s">
        <v>1059</v>
      </c>
      <c r="BG106" s="82" t="str">
        <f t="shared" si="6"/>
        <v>000</v>
      </c>
      <c r="BH106" s="88">
        <v>510512</v>
      </c>
      <c r="BI106" s="92" t="s">
        <v>74</v>
      </c>
      <c r="BJ106" s="93">
        <v>10766.630000000001</v>
      </c>
      <c r="BK106" s="94">
        <v>897.21916666666675</v>
      </c>
      <c r="BL106" s="94">
        <v>897.21916666666675</v>
      </c>
      <c r="BM106" s="94">
        <v>897.21916666666675</v>
      </c>
      <c r="BN106" s="72">
        <v>897.21916666666675</v>
      </c>
      <c r="BO106" s="94">
        <v>897.21916666666675</v>
      </c>
      <c r="BP106" s="94">
        <v>897.21916666666675</v>
      </c>
      <c r="BQ106" s="94">
        <v>897.21916666666675</v>
      </c>
      <c r="BR106" s="94">
        <v>897.21916666666675</v>
      </c>
      <c r="BS106" s="94">
        <v>897.21916666666675</v>
      </c>
      <c r="BT106" s="94">
        <v>897.21916666666675</v>
      </c>
      <c r="BU106" s="94">
        <v>897.21916666666675</v>
      </c>
      <c r="BV106" s="142">
        <v>897.21916666666675</v>
      </c>
      <c r="BW106" s="142"/>
      <c r="BX106" s="143">
        <f t="shared" si="11"/>
        <v>10766.630000000001</v>
      </c>
      <c r="BY106" s="94">
        <v>897.21916666666675</v>
      </c>
      <c r="BZ106" s="94">
        <v>897.21916666666675</v>
      </c>
      <c r="CA106" s="94">
        <v>897.21916666666675</v>
      </c>
      <c r="CB106" s="72">
        <v>897.21916666666675</v>
      </c>
      <c r="CC106" s="94">
        <v>897.21916666666675</v>
      </c>
      <c r="CD106" s="94">
        <v>897.21916666666675</v>
      </c>
      <c r="CE106" s="94">
        <v>897.21916666666675</v>
      </c>
      <c r="CF106" s="94">
        <v>897.21916666666675</v>
      </c>
      <c r="CG106" s="94">
        <v>897.21916666666675</v>
      </c>
      <c r="CH106" s="94">
        <v>897.21916666666675</v>
      </c>
      <c r="CI106" s="94">
        <v>897.21916666666675</v>
      </c>
      <c r="CJ106" s="142">
        <v>897.21916666666675</v>
      </c>
      <c r="CK106" s="142"/>
      <c r="CL106" s="142">
        <f t="shared" si="7"/>
        <v>0</v>
      </c>
      <c r="CM106" s="171">
        <v>1186.6600000000001</v>
      </c>
      <c r="CN106" s="171">
        <v>9579.9699999999993</v>
      </c>
      <c r="CO106" s="171">
        <v>1186.6600000000001</v>
      </c>
      <c r="CP106" s="171">
        <v>200</v>
      </c>
      <c r="CQ106" s="171">
        <v>9379.9699999999993</v>
      </c>
      <c r="CR106" s="171">
        <v>200</v>
      </c>
      <c r="CS106" s="171">
        <f t="shared" si="8"/>
        <v>1386.66</v>
      </c>
      <c r="CT106" s="171">
        <f t="shared" si="9"/>
        <v>18959.939999999999</v>
      </c>
      <c r="CU106" s="171">
        <f t="shared" si="10"/>
        <v>1386.66</v>
      </c>
      <c r="CV106" s="149"/>
      <c r="CW106" s="149"/>
      <c r="CX106" s="130"/>
      <c r="CY106" s="130"/>
      <c r="CZ106" s="130"/>
      <c r="DA106" s="130"/>
      <c r="DB106" s="130"/>
      <c r="DC106" s="130"/>
      <c r="DD106" s="130"/>
      <c r="DE106" s="130"/>
      <c r="DF106" s="130"/>
      <c r="DG106" s="130"/>
      <c r="DH106" s="130"/>
      <c r="DI106" s="130"/>
      <c r="DJ106" s="130"/>
      <c r="DK106" s="130"/>
      <c r="DL106" s="130"/>
      <c r="DM106" s="130"/>
      <c r="DN106" s="130"/>
      <c r="DO106" s="130"/>
      <c r="DP106" s="130"/>
      <c r="DQ106" s="130"/>
      <c r="DR106" s="130"/>
      <c r="DS106" s="130"/>
      <c r="DT106" s="130"/>
      <c r="DU106" s="130"/>
      <c r="DV106" s="130"/>
      <c r="DW106" s="130"/>
      <c r="DX106" s="130"/>
      <c r="DY106" s="130"/>
      <c r="DZ106" s="130"/>
      <c r="EA106" s="130"/>
      <c r="EB106" s="130"/>
      <c r="EC106" s="130"/>
      <c r="ED106" s="130"/>
      <c r="EE106" s="130"/>
      <c r="EF106" s="130"/>
      <c r="EG106" s="130"/>
      <c r="EH106" s="130"/>
      <c r="EI106" s="130"/>
      <c r="EJ106" s="130"/>
      <c r="EK106" s="130"/>
      <c r="EL106" s="130"/>
      <c r="EM106" s="130"/>
      <c r="EN106" s="130"/>
      <c r="EO106" s="130"/>
      <c r="EP106" s="130"/>
      <c r="EQ106" s="130"/>
      <c r="ER106" s="130"/>
      <c r="ES106" s="130"/>
      <c r="ET106" s="130"/>
      <c r="EU106" s="130"/>
      <c r="EV106" s="130"/>
      <c r="EW106" s="130"/>
      <c r="EX106" s="130"/>
      <c r="EY106" s="130"/>
      <c r="EZ106" s="130"/>
      <c r="FA106" s="130"/>
      <c r="FB106" s="201"/>
      <c r="FC106" s="201"/>
      <c r="FD106" s="201"/>
      <c r="FE106" s="201"/>
      <c r="FF106" s="201"/>
      <c r="FG106" s="201"/>
      <c r="FH106" s="201"/>
      <c r="FI106" s="201"/>
      <c r="FJ106" s="201"/>
      <c r="FK106" s="201"/>
      <c r="FL106" s="201"/>
      <c r="FM106" s="201"/>
      <c r="FN106" s="201"/>
      <c r="FO106" s="201"/>
      <c r="FP106" s="201"/>
      <c r="FQ106" s="201"/>
      <c r="FR106" s="201"/>
      <c r="FS106" s="201"/>
      <c r="FT106" s="201"/>
      <c r="FU106" s="201"/>
      <c r="FV106" s="201"/>
      <c r="FW106" s="201"/>
      <c r="FX106" s="201"/>
      <c r="FY106" s="201"/>
      <c r="FZ106" s="201"/>
      <c r="GA106" s="201"/>
      <c r="GB106" s="201"/>
      <c r="GC106" s="201"/>
      <c r="GD106" s="201"/>
      <c r="GE106" s="201"/>
      <c r="GF106" s="201"/>
      <c r="GG106" s="201"/>
      <c r="GH106" s="201"/>
      <c r="GI106" s="201"/>
      <c r="GJ106" s="201"/>
      <c r="GK106" s="201"/>
      <c r="GL106" s="201"/>
      <c r="GM106" s="201"/>
      <c r="GN106" s="201"/>
      <c r="GO106" s="201"/>
      <c r="GP106" s="201"/>
      <c r="GQ106" s="201"/>
    </row>
    <row r="107" spans="1:204" s="68" customFormat="1" ht="14.45" customHeight="1" x14ac:dyDescent="0.25">
      <c r="A107" s="68" t="s">
        <v>696</v>
      </c>
      <c r="B107" s="82" t="s">
        <v>154</v>
      </c>
      <c r="C107" s="82" t="s">
        <v>172</v>
      </c>
      <c r="D107" s="82" t="s">
        <v>196</v>
      </c>
      <c r="E107" s="82" t="s">
        <v>309</v>
      </c>
      <c r="F107" s="82" t="s">
        <v>549</v>
      </c>
      <c r="G107" s="82" t="s">
        <v>137</v>
      </c>
      <c r="H107" s="82" t="s">
        <v>137</v>
      </c>
      <c r="I107" s="82" t="s">
        <v>66</v>
      </c>
      <c r="J107" s="82" t="s">
        <v>29</v>
      </c>
      <c r="K107" s="92" t="s">
        <v>137</v>
      </c>
      <c r="L107" s="92" t="s">
        <v>137</v>
      </c>
      <c r="M107" s="92" t="s">
        <v>137</v>
      </c>
      <c r="N107" s="92" t="s">
        <v>137</v>
      </c>
      <c r="O107" s="92" t="s">
        <v>137</v>
      </c>
      <c r="P107" s="92" t="s">
        <v>137</v>
      </c>
      <c r="Q107" s="82" t="s">
        <v>87</v>
      </c>
      <c r="R107" s="82" t="s">
        <v>714</v>
      </c>
      <c r="S107" s="82" t="s">
        <v>40</v>
      </c>
      <c r="T107" s="82" t="s">
        <v>2</v>
      </c>
      <c r="U107" s="83"/>
      <c r="V107" s="83">
        <v>0.05</v>
      </c>
      <c r="W107" s="83">
        <v>0.08</v>
      </c>
      <c r="X107" s="83">
        <v>0.15</v>
      </c>
      <c r="Y107" s="83">
        <v>0.2</v>
      </c>
      <c r="Z107" s="83">
        <v>0.25</v>
      </c>
      <c r="AA107" s="83">
        <v>0.37</v>
      </c>
      <c r="AB107" s="83">
        <v>0.42</v>
      </c>
      <c r="AC107" s="83">
        <v>0.57999999999999996</v>
      </c>
      <c r="AD107" s="83">
        <v>0.67</v>
      </c>
      <c r="AE107" s="83">
        <v>0.83</v>
      </c>
      <c r="AF107" s="83">
        <v>1</v>
      </c>
      <c r="AG107" s="82" t="s">
        <v>532</v>
      </c>
      <c r="AH107" s="82" t="s">
        <v>529</v>
      </c>
      <c r="AI107" s="88" t="s">
        <v>538</v>
      </c>
      <c r="AJ107" s="89" t="s">
        <v>538</v>
      </c>
      <c r="AK107" s="90">
        <v>46023</v>
      </c>
      <c r="AL107" s="90">
        <v>46387</v>
      </c>
      <c r="AM107" s="89"/>
      <c r="AN107" s="89"/>
      <c r="AO107" s="89"/>
      <c r="AP107" s="91" t="s">
        <v>539</v>
      </c>
      <c r="AQ107" s="90" cm="1">
        <f t="array" ref="AQ107">IFERROR(DATE(2026, _xlfn.AGGREGATE(15, 6, (COLUMN(BY107:CJ107)-COLUMN(BY107)+1)/(BY107:CJ107&lt;&gt;0), 1), 1),"N/A")</f>
        <v>46204</v>
      </c>
      <c r="AR107" s="90" cm="1">
        <f t="array" ref="AR107">IFERROR(EOMONTH(DATE(2026, _xlfn.AGGREGATE(14, 6, (COLUMN(BY107:CJ107)-COLUMN(BY107)+1)/(BY107:CJ107&lt;&gt;0), 1), 1), 0),"N/A")</f>
        <v>46387</v>
      </c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2" t="s">
        <v>607</v>
      </c>
      <c r="BF107" s="82" t="s">
        <v>960</v>
      </c>
      <c r="BG107" s="82" t="str">
        <f t="shared" si="6"/>
        <v>000</v>
      </c>
      <c r="BH107" s="88">
        <v>530404</v>
      </c>
      <c r="BI107" s="92" t="s">
        <v>74</v>
      </c>
      <c r="BJ107" s="93">
        <v>3000</v>
      </c>
      <c r="BK107" s="74">
        <v>0</v>
      </c>
      <c r="BL107" s="74">
        <v>0</v>
      </c>
      <c r="BM107" s="74">
        <v>0</v>
      </c>
      <c r="BN107" s="74">
        <v>0</v>
      </c>
      <c r="BO107" s="74">
        <v>0</v>
      </c>
      <c r="BP107" s="74">
        <v>0</v>
      </c>
      <c r="BQ107" s="94">
        <v>1500</v>
      </c>
      <c r="BR107" s="74">
        <v>0</v>
      </c>
      <c r="BS107" s="74">
        <v>0</v>
      </c>
      <c r="BT107" s="74">
        <v>0</v>
      </c>
      <c r="BU107" s="74">
        <v>0</v>
      </c>
      <c r="BV107" s="142">
        <v>1500</v>
      </c>
      <c r="BW107" s="142"/>
      <c r="BX107" s="143">
        <f t="shared" si="11"/>
        <v>3000</v>
      </c>
      <c r="BY107" s="74">
        <v>0</v>
      </c>
      <c r="BZ107" s="74">
        <v>0</v>
      </c>
      <c r="CA107" s="74">
        <v>0</v>
      </c>
      <c r="CB107" s="74">
        <v>0</v>
      </c>
      <c r="CC107" s="74">
        <v>0</v>
      </c>
      <c r="CD107" s="74">
        <v>0</v>
      </c>
      <c r="CE107" s="94">
        <v>1500</v>
      </c>
      <c r="CF107" s="74">
        <v>0</v>
      </c>
      <c r="CG107" s="74">
        <v>0</v>
      </c>
      <c r="CH107" s="74">
        <v>0</v>
      </c>
      <c r="CI107" s="74">
        <v>0</v>
      </c>
      <c r="CJ107" s="142">
        <v>1500</v>
      </c>
      <c r="CK107" s="142"/>
      <c r="CL107" s="142">
        <f t="shared" si="7"/>
        <v>0</v>
      </c>
      <c r="CM107" s="171">
        <v>0</v>
      </c>
      <c r="CN107" s="171">
        <v>0</v>
      </c>
      <c r="CO107" s="171">
        <v>0</v>
      </c>
      <c r="CP107" s="171">
        <v>0</v>
      </c>
      <c r="CQ107" s="171">
        <v>0</v>
      </c>
      <c r="CR107" s="171">
        <v>0</v>
      </c>
      <c r="CS107" s="171">
        <f t="shared" si="8"/>
        <v>0</v>
      </c>
      <c r="CT107" s="171">
        <f t="shared" si="9"/>
        <v>0</v>
      </c>
      <c r="CU107" s="171">
        <f t="shared" si="10"/>
        <v>0</v>
      </c>
      <c r="CV107" s="150">
        <v>3000</v>
      </c>
      <c r="CW107" s="150">
        <v>3000</v>
      </c>
      <c r="CX107" s="130"/>
      <c r="CY107" s="130">
        <v>2</v>
      </c>
      <c r="CZ107" s="130"/>
      <c r="DA107" s="130"/>
      <c r="DB107" s="130"/>
      <c r="DC107" s="130"/>
      <c r="DD107" s="130"/>
      <c r="DE107" s="131">
        <v>46087</v>
      </c>
      <c r="DF107" s="131">
        <v>46087</v>
      </c>
      <c r="DG107" s="132">
        <v>1</v>
      </c>
      <c r="DH107" s="131">
        <v>46090</v>
      </c>
      <c r="DI107" s="131">
        <v>46090</v>
      </c>
      <c r="DJ107" s="131">
        <v>46090</v>
      </c>
      <c r="DK107" s="131">
        <v>46091</v>
      </c>
      <c r="DL107" s="131">
        <v>46092</v>
      </c>
      <c r="DM107" s="131">
        <v>46093</v>
      </c>
      <c r="DN107" s="131">
        <v>46094</v>
      </c>
      <c r="DO107" s="131">
        <v>46097</v>
      </c>
      <c r="DP107" s="131">
        <v>46098</v>
      </c>
      <c r="DQ107" s="131">
        <v>46098</v>
      </c>
      <c r="DR107" s="132">
        <v>1</v>
      </c>
      <c r="DS107" s="131">
        <v>46099</v>
      </c>
      <c r="DT107" s="131">
        <v>46100</v>
      </c>
      <c r="DU107" s="131">
        <v>46101</v>
      </c>
      <c r="DV107" s="131">
        <v>46104</v>
      </c>
      <c r="DW107" s="131">
        <v>46104</v>
      </c>
      <c r="DX107" s="131">
        <v>46105</v>
      </c>
      <c r="DY107" s="131">
        <v>46105</v>
      </c>
      <c r="DZ107" s="132"/>
      <c r="EA107" s="132"/>
      <c r="EB107" s="132"/>
      <c r="EC107" s="132"/>
      <c r="ED107" s="131">
        <v>46106</v>
      </c>
      <c r="EE107" s="131">
        <v>46107</v>
      </c>
      <c r="EF107" s="131">
        <v>46107</v>
      </c>
      <c r="EG107" s="131"/>
      <c r="EH107" s="131"/>
      <c r="EI107" s="131"/>
      <c r="EJ107" s="131">
        <v>46107</v>
      </c>
      <c r="EK107" s="131">
        <v>46113</v>
      </c>
      <c r="EL107" s="132">
        <v>18</v>
      </c>
      <c r="EM107" s="133"/>
      <c r="EN107" s="133"/>
      <c r="EO107" s="133"/>
      <c r="EP107" s="133"/>
      <c r="EQ107" s="133"/>
      <c r="ER107" s="133"/>
      <c r="ES107" s="133"/>
      <c r="ET107" s="133"/>
      <c r="EU107" s="133"/>
      <c r="EV107" s="134"/>
      <c r="EW107" s="133">
        <v>46113</v>
      </c>
      <c r="EX107" s="133"/>
      <c r="EY107" s="135" t="s">
        <v>854</v>
      </c>
      <c r="EZ107" s="132" t="s">
        <v>860</v>
      </c>
      <c r="FA107" s="130"/>
      <c r="FB107" s="203">
        <v>46087</v>
      </c>
      <c r="FC107" s="203">
        <v>46087</v>
      </c>
      <c r="FD107" s="203">
        <v>46090</v>
      </c>
      <c r="FE107" s="203">
        <v>46090</v>
      </c>
      <c r="FF107" s="203">
        <v>46090</v>
      </c>
      <c r="FG107" s="203">
        <v>46091</v>
      </c>
      <c r="FH107" s="203">
        <v>46092</v>
      </c>
      <c r="FI107" s="203">
        <v>46093</v>
      </c>
      <c r="FJ107" s="203">
        <v>46094</v>
      </c>
      <c r="FK107" s="203">
        <v>46097</v>
      </c>
      <c r="FL107" s="203">
        <v>46098</v>
      </c>
      <c r="FM107" s="203">
        <v>46098</v>
      </c>
      <c r="FN107" s="203">
        <v>46099</v>
      </c>
      <c r="FO107" s="203">
        <v>46100</v>
      </c>
      <c r="FP107" s="203">
        <v>46101</v>
      </c>
      <c r="FQ107" s="203">
        <v>46104</v>
      </c>
      <c r="FR107" s="203">
        <v>46104</v>
      </c>
      <c r="FS107" s="203">
        <v>46105</v>
      </c>
      <c r="FT107" s="203">
        <v>46105</v>
      </c>
      <c r="FU107" s="203"/>
      <c r="FV107" s="203"/>
      <c r="FW107" s="203"/>
      <c r="FX107" s="203"/>
      <c r="FY107" s="203">
        <v>46106</v>
      </c>
      <c r="FZ107" s="203">
        <v>46107</v>
      </c>
      <c r="GA107" s="203">
        <v>46107</v>
      </c>
      <c r="GB107" s="203"/>
      <c r="GC107" s="203"/>
      <c r="GD107" s="203"/>
      <c r="GE107" s="203">
        <v>46107</v>
      </c>
      <c r="GF107" s="203">
        <v>46113</v>
      </c>
      <c r="GG107" s="203">
        <v>18</v>
      </c>
      <c r="GH107" s="203"/>
      <c r="GI107" s="203"/>
      <c r="GJ107" s="203"/>
      <c r="GK107" s="203"/>
      <c r="GL107" s="203"/>
      <c r="GM107" s="203"/>
      <c r="GN107" s="203"/>
      <c r="GO107" s="203"/>
      <c r="GP107" s="203"/>
      <c r="GQ107" s="203">
        <v>46113</v>
      </c>
      <c r="GR107" s="187"/>
      <c r="GS107" s="187" t="s">
        <v>1181</v>
      </c>
      <c r="GT107" s="187" t="s">
        <v>854</v>
      </c>
      <c r="GU107" s="187" t="s">
        <v>860</v>
      </c>
      <c r="GV107" s="187"/>
    </row>
    <row r="108" spans="1:204" s="68" customFormat="1" ht="14.45" customHeight="1" x14ac:dyDescent="0.25">
      <c r="A108" s="68" t="s">
        <v>695</v>
      </c>
      <c r="B108" s="82" t="s">
        <v>154</v>
      </c>
      <c r="C108" s="82" t="s">
        <v>172</v>
      </c>
      <c r="D108" s="95" t="s">
        <v>196</v>
      </c>
      <c r="E108" s="82" t="s">
        <v>309</v>
      </c>
      <c r="F108" s="82" t="s">
        <v>549</v>
      </c>
      <c r="G108" s="82" t="s">
        <v>137</v>
      </c>
      <c r="H108" s="82" t="s">
        <v>137</v>
      </c>
      <c r="I108" s="82" t="s">
        <v>66</v>
      </c>
      <c r="J108" s="82" t="s">
        <v>531</v>
      </c>
      <c r="K108" s="92" t="s">
        <v>137</v>
      </c>
      <c r="L108" s="92" t="s">
        <v>137</v>
      </c>
      <c r="M108" s="92" t="s">
        <v>137</v>
      </c>
      <c r="N108" s="92" t="s">
        <v>137</v>
      </c>
      <c r="O108" s="92" t="s">
        <v>137</v>
      </c>
      <c r="P108" s="92" t="s">
        <v>137</v>
      </c>
      <c r="Q108" s="82" t="s">
        <v>552</v>
      </c>
      <c r="R108" s="82" t="s">
        <v>715</v>
      </c>
      <c r="S108" s="82" t="s">
        <v>555</v>
      </c>
      <c r="T108" s="82" t="s">
        <v>320</v>
      </c>
      <c r="U108" s="83">
        <v>0.95</v>
      </c>
      <c r="V108" s="83">
        <v>0.95</v>
      </c>
      <c r="W108" s="83">
        <v>0.95</v>
      </c>
      <c r="X108" s="83">
        <v>0.95</v>
      </c>
      <c r="Y108" s="83">
        <v>0.95</v>
      </c>
      <c r="Z108" s="83">
        <v>0.95</v>
      </c>
      <c r="AA108" s="83">
        <v>0.95</v>
      </c>
      <c r="AB108" s="83">
        <v>0.95</v>
      </c>
      <c r="AC108" s="83">
        <v>0.95</v>
      </c>
      <c r="AD108" s="83">
        <v>0.95</v>
      </c>
      <c r="AE108" s="83">
        <v>0.95</v>
      </c>
      <c r="AF108" s="83">
        <v>0.95</v>
      </c>
      <c r="AG108" s="82" t="s">
        <v>533</v>
      </c>
      <c r="AH108" s="82" t="s">
        <v>529</v>
      </c>
      <c r="AI108" s="88" t="s">
        <v>538</v>
      </c>
      <c r="AJ108" s="89" t="s">
        <v>538</v>
      </c>
      <c r="AK108" s="90">
        <v>46023</v>
      </c>
      <c r="AL108" s="90">
        <v>46387</v>
      </c>
      <c r="AM108" s="89"/>
      <c r="AN108" s="89"/>
      <c r="AO108" s="89"/>
      <c r="AP108" s="91" t="s">
        <v>542</v>
      </c>
      <c r="AQ108" s="90" cm="1">
        <f t="array" ref="AQ108">IFERROR(DATE(2026, _xlfn.AGGREGATE(15, 6, (COLUMN(BY108:CJ108)-COLUMN(BY108)+1)/(BY108:CJ108&lt;&gt;0), 1), 1),"N/A")</f>
        <v>46174</v>
      </c>
      <c r="AR108" s="90" cm="1">
        <f t="array" ref="AR108">IFERROR(EOMONTH(DATE(2026, _xlfn.AGGREGATE(14, 6, (COLUMN(BY108:CJ108)-COLUMN(BY108)+1)/(BY108:CJ108&lt;&gt;0), 1), 1), 0),"N/A")</f>
        <v>46203</v>
      </c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2" t="s">
        <v>1124</v>
      </c>
      <c r="BF108" s="82" t="s">
        <v>1125</v>
      </c>
      <c r="BG108" s="82" t="str">
        <f t="shared" si="6"/>
        <v>000</v>
      </c>
      <c r="BH108" s="88">
        <v>530207</v>
      </c>
      <c r="BI108" s="92" t="s">
        <v>74</v>
      </c>
      <c r="BJ108" s="93">
        <v>0</v>
      </c>
      <c r="BK108" s="74"/>
      <c r="BL108" s="74"/>
      <c r="BM108" s="74"/>
      <c r="BN108" s="74"/>
      <c r="BO108" s="74"/>
      <c r="BP108" s="94"/>
      <c r="BQ108" s="74"/>
      <c r="BR108" s="74"/>
      <c r="BS108" s="74"/>
      <c r="BT108" s="74"/>
      <c r="BU108" s="74"/>
      <c r="BV108" s="143"/>
      <c r="BW108" s="143">
        <v>50000</v>
      </c>
      <c r="BX108" s="143">
        <f t="shared" si="11"/>
        <v>50000</v>
      </c>
      <c r="BY108" s="74"/>
      <c r="BZ108" s="74"/>
      <c r="CA108" s="74"/>
      <c r="CB108" s="74"/>
      <c r="CC108" s="74"/>
      <c r="CD108" s="94">
        <v>50000</v>
      </c>
      <c r="CE108" s="74"/>
      <c r="CF108" s="74"/>
      <c r="CG108" s="74"/>
      <c r="CH108" s="74"/>
      <c r="CI108" s="74"/>
      <c r="CJ108" s="143"/>
      <c r="CK108" s="143"/>
      <c r="CL108" s="142">
        <f t="shared" si="7"/>
        <v>0</v>
      </c>
      <c r="CM108" s="171">
        <v>0</v>
      </c>
      <c r="CN108" s="171">
        <v>0</v>
      </c>
      <c r="CO108" s="171">
        <v>0</v>
      </c>
      <c r="CP108" s="171">
        <v>0</v>
      </c>
      <c r="CQ108" s="171">
        <v>0</v>
      </c>
      <c r="CR108" s="171">
        <v>0</v>
      </c>
      <c r="CS108" s="171">
        <f t="shared" si="8"/>
        <v>0</v>
      </c>
      <c r="CT108" s="171">
        <f t="shared" si="9"/>
        <v>0</v>
      </c>
      <c r="CU108" s="171">
        <f t="shared" si="10"/>
        <v>0</v>
      </c>
      <c r="CV108" s="149"/>
      <c r="CW108" s="149"/>
      <c r="CX108" s="130"/>
      <c r="CY108" s="130"/>
      <c r="CZ108" s="130"/>
      <c r="DA108" s="130"/>
      <c r="DB108" s="130"/>
      <c r="DC108" s="130"/>
      <c r="DD108" s="130"/>
      <c r="DE108" s="131"/>
      <c r="DF108" s="131"/>
      <c r="DG108" s="132"/>
      <c r="DH108" s="131"/>
      <c r="DI108" s="131"/>
      <c r="DJ108" s="131"/>
      <c r="DK108" s="131"/>
      <c r="DL108" s="131"/>
      <c r="DM108" s="131"/>
      <c r="DN108" s="131"/>
      <c r="DO108" s="131"/>
      <c r="DP108" s="131"/>
      <c r="DQ108" s="131"/>
      <c r="DR108" s="132"/>
      <c r="DS108" s="131"/>
      <c r="DT108" s="131"/>
      <c r="DU108" s="131"/>
      <c r="DV108" s="131"/>
      <c r="DW108" s="131"/>
      <c r="DX108" s="131"/>
      <c r="DY108" s="131"/>
      <c r="DZ108" s="132"/>
      <c r="EA108" s="132"/>
      <c r="EB108" s="132"/>
      <c r="EC108" s="132"/>
      <c r="ED108" s="131"/>
      <c r="EE108" s="131"/>
      <c r="EF108" s="131"/>
      <c r="EG108" s="131"/>
      <c r="EH108" s="131"/>
      <c r="EI108" s="131"/>
      <c r="EJ108" s="131"/>
      <c r="EK108" s="131"/>
      <c r="EL108" s="132"/>
      <c r="EM108" s="131"/>
      <c r="EN108" s="131"/>
      <c r="EO108" s="133"/>
      <c r="EP108" s="133"/>
      <c r="EQ108" s="133"/>
      <c r="ER108" s="133"/>
      <c r="ES108" s="133"/>
      <c r="ET108" s="133"/>
      <c r="EU108" s="133"/>
      <c r="EV108" s="134"/>
      <c r="EW108" s="133"/>
      <c r="EX108" s="133"/>
      <c r="EY108" s="135"/>
      <c r="EZ108" s="132"/>
      <c r="FA108" s="136"/>
      <c r="FB108" s="201"/>
      <c r="FC108" s="201"/>
      <c r="FD108" s="201"/>
      <c r="FE108" s="201"/>
      <c r="FF108" s="201"/>
      <c r="FG108" s="201"/>
      <c r="FH108" s="201"/>
      <c r="FI108" s="201"/>
      <c r="FJ108" s="201"/>
      <c r="FK108" s="201"/>
      <c r="FL108" s="201"/>
      <c r="FM108" s="201"/>
      <c r="FN108" s="201"/>
      <c r="FO108" s="201"/>
      <c r="FP108" s="201"/>
      <c r="FQ108" s="201"/>
      <c r="FR108" s="201"/>
      <c r="FS108" s="201"/>
      <c r="FT108" s="201"/>
      <c r="FU108" s="201"/>
      <c r="FV108" s="201"/>
      <c r="FW108" s="201"/>
      <c r="FX108" s="201"/>
      <c r="FY108" s="201"/>
      <c r="FZ108" s="201"/>
      <c r="GA108" s="201"/>
      <c r="GB108" s="201"/>
      <c r="GC108" s="201"/>
      <c r="GD108" s="201"/>
      <c r="GE108" s="201"/>
      <c r="GF108" s="201"/>
      <c r="GG108" s="201"/>
      <c r="GH108" s="201"/>
      <c r="GI108" s="201"/>
      <c r="GJ108" s="201"/>
      <c r="GK108" s="201"/>
      <c r="GL108" s="201"/>
      <c r="GM108" s="201"/>
      <c r="GN108" s="201"/>
      <c r="GO108" s="201"/>
      <c r="GP108" s="201"/>
      <c r="GQ108" s="201"/>
    </row>
    <row r="109" spans="1:204" s="68" customFormat="1" ht="14.45" customHeight="1" x14ac:dyDescent="0.25">
      <c r="A109" s="68" t="s">
        <v>692</v>
      </c>
      <c r="B109" s="82" t="s">
        <v>154</v>
      </c>
      <c r="C109" s="82" t="s">
        <v>172</v>
      </c>
      <c r="D109" s="82" t="s">
        <v>196</v>
      </c>
      <c r="E109" s="82" t="s">
        <v>309</v>
      </c>
      <c r="F109" s="82" t="s">
        <v>549</v>
      </c>
      <c r="G109" s="82" t="s">
        <v>137</v>
      </c>
      <c r="H109" s="82" t="s">
        <v>137</v>
      </c>
      <c r="I109" s="82" t="s">
        <v>66</v>
      </c>
      <c r="J109" s="82" t="s">
        <v>29</v>
      </c>
      <c r="K109" s="92" t="s">
        <v>137</v>
      </c>
      <c r="L109" s="92" t="s">
        <v>137</v>
      </c>
      <c r="M109" s="92" t="s">
        <v>137</v>
      </c>
      <c r="N109" s="92" t="s">
        <v>137</v>
      </c>
      <c r="O109" s="92" t="s">
        <v>137</v>
      </c>
      <c r="P109" s="92" t="s">
        <v>137</v>
      </c>
      <c r="Q109" s="82" t="s">
        <v>87</v>
      </c>
      <c r="R109" s="82" t="s">
        <v>714</v>
      </c>
      <c r="S109" s="82" t="s">
        <v>40</v>
      </c>
      <c r="T109" s="82" t="s">
        <v>2</v>
      </c>
      <c r="U109" s="83"/>
      <c r="V109" s="83">
        <v>0.05</v>
      </c>
      <c r="W109" s="83">
        <v>0.08</v>
      </c>
      <c r="X109" s="83">
        <v>0.15</v>
      </c>
      <c r="Y109" s="83">
        <v>0.2</v>
      </c>
      <c r="Z109" s="83">
        <v>0.25</v>
      </c>
      <c r="AA109" s="83">
        <v>0.37</v>
      </c>
      <c r="AB109" s="83">
        <v>0.42</v>
      </c>
      <c r="AC109" s="83">
        <v>0.57999999999999996</v>
      </c>
      <c r="AD109" s="83">
        <v>0.67</v>
      </c>
      <c r="AE109" s="83">
        <v>0.83</v>
      </c>
      <c r="AF109" s="83">
        <v>1</v>
      </c>
      <c r="AG109" s="82" t="s">
        <v>532</v>
      </c>
      <c r="AH109" s="82" t="s">
        <v>529</v>
      </c>
      <c r="AI109" s="88" t="s">
        <v>538</v>
      </c>
      <c r="AJ109" s="89" t="s">
        <v>538</v>
      </c>
      <c r="AK109" s="90">
        <v>46023</v>
      </c>
      <c r="AL109" s="90">
        <v>46387</v>
      </c>
      <c r="AM109" s="89"/>
      <c r="AN109" s="89"/>
      <c r="AO109" s="89"/>
      <c r="AP109" s="91" t="s">
        <v>539</v>
      </c>
      <c r="AQ109" s="90" cm="1">
        <f t="array" ref="AQ109">IFERROR(DATE(2026, _xlfn.AGGREGATE(15, 6, (COLUMN(BY109:CJ109)-COLUMN(BY109)+1)/(BY109:CJ109&lt;&gt;0), 1), 1),"N/A")</f>
        <v>46357</v>
      </c>
      <c r="AR109" s="90" cm="1">
        <f t="array" ref="AR109">IFERROR(EOMONTH(DATE(2026, _xlfn.AGGREGATE(14, 6, (COLUMN(BY109:CJ109)-COLUMN(BY109)+1)/(BY109:CJ109&lt;&gt;0), 1), 1), 0),"N/A")</f>
        <v>46387</v>
      </c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2" t="s">
        <v>1110</v>
      </c>
      <c r="BF109" s="82" t="s">
        <v>1111</v>
      </c>
      <c r="BG109" s="82" t="str">
        <f t="shared" si="6"/>
        <v>000</v>
      </c>
      <c r="BH109" s="88">
        <v>570201</v>
      </c>
      <c r="BI109" s="92" t="s">
        <v>74</v>
      </c>
      <c r="BJ109" s="93">
        <v>0</v>
      </c>
      <c r="BK109" s="74"/>
      <c r="BL109" s="74"/>
      <c r="BM109" s="94"/>
      <c r="BN109" s="74"/>
      <c r="BO109" s="74"/>
      <c r="BP109" s="74"/>
      <c r="BQ109" s="74"/>
      <c r="BR109" s="74"/>
      <c r="BS109" s="74"/>
      <c r="BT109" s="74"/>
      <c r="BU109" s="74"/>
      <c r="BV109" s="143"/>
      <c r="BW109" s="143">
        <v>150</v>
      </c>
      <c r="BX109" s="143">
        <f t="shared" si="11"/>
        <v>150</v>
      </c>
      <c r="BY109" s="74"/>
      <c r="BZ109" s="74"/>
      <c r="CA109" s="94"/>
      <c r="CB109" s="74"/>
      <c r="CC109" s="74"/>
      <c r="CD109" s="74"/>
      <c r="CE109" s="74"/>
      <c r="CF109" s="74"/>
      <c r="CG109" s="74"/>
      <c r="CH109" s="74"/>
      <c r="CI109" s="74"/>
      <c r="CJ109" s="143">
        <v>150</v>
      </c>
      <c r="CK109" s="143"/>
      <c r="CL109" s="142">
        <f t="shared" si="7"/>
        <v>0</v>
      </c>
      <c r="CM109" s="171">
        <v>0</v>
      </c>
      <c r="CN109" s="171">
        <v>0</v>
      </c>
      <c r="CO109" s="171">
        <v>0</v>
      </c>
      <c r="CP109" s="171">
        <v>0</v>
      </c>
      <c r="CQ109" s="171">
        <v>0</v>
      </c>
      <c r="CR109" s="171">
        <v>0</v>
      </c>
      <c r="CS109" s="171">
        <f t="shared" si="8"/>
        <v>0</v>
      </c>
      <c r="CT109" s="171">
        <f t="shared" si="9"/>
        <v>0</v>
      </c>
      <c r="CU109" s="171">
        <f t="shared" si="10"/>
        <v>0</v>
      </c>
      <c r="CV109" s="149"/>
      <c r="CW109" s="149"/>
      <c r="CX109" s="130"/>
      <c r="CY109" s="130"/>
      <c r="CZ109" s="130"/>
      <c r="DA109" s="130"/>
      <c r="DB109" s="130"/>
      <c r="DC109" s="130"/>
      <c r="DD109" s="130"/>
      <c r="DE109" s="130"/>
      <c r="DF109" s="130"/>
      <c r="DG109" s="130"/>
      <c r="DH109" s="130"/>
      <c r="DI109" s="130"/>
      <c r="DJ109" s="130"/>
      <c r="DK109" s="130"/>
      <c r="DL109" s="130"/>
      <c r="DM109" s="130"/>
      <c r="DN109" s="130"/>
      <c r="DO109" s="130"/>
      <c r="DP109" s="130"/>
      <c r="DQ109" s="130"/>
      <c r="DR109" s="130"/>
      <c r="DS109" s="130"/>
      <c r="DT109" s="130"/>
      <c r="DU109" s="130"/>
      <c r="DV109" s="130"/>
      <c r="DW109" s="130"/>
      <c r="DX109" s="130"/>
      <c r="DY109" s="130"/>
      <c r="DZ109" s="130"/>
      <c r="EA109" s="130"/>
      <c r="EB109" s="130"/>
      <c r="EC109" s="130"/>
      <c r="ED109" s="130"/>
      <c r="EE109" s="130"/>
      <c r="EF109" s="130"/>
      <c r="EG109" s="130"/>
      <c r="EH109" s="130"/>
      <c r="EI109" s="130"/>
      <c r="EJ109" s="130"/>
      <c r="EK109" s="130"/>
      <c r="EL109" s="130"/>
      <c r="EM109" s="130"/>
      <c r="EN109" s="130"/>
      <c r="EO109" s="130"/>
      <c r="EP109" s="130"/>
      <c r="EQ109" s="130"/>
      <c r="ER109" s="130"/>
      <c r="ES109" s="130"/>
      <c r="ET109" s="130"/>
      <c r="EU109" s="130"/>
      <c r="EV109" s="130"/>
      <c r="EW109" s="130"/>
      <c r="EX109" s="130"/>
      <c r="EY109" s="130"/>
      <c r="EZ109" s="130"/>
      <c r="FA109" s="130"/>
      <c r="FB109" s="201"/>
      <c r="FC109" s="201"/>
      <c r="FD109" s="201"/>
      <c r="FE109" s="201"/>
      <c r="FF109" s="201"/>
      <c r="FG109" s="201"/>
      <c r="FH109" s="201"/>
      <c r="FI109" s="201"/>
      <c r="FJ109" s="201"/>
      <c r="FK109" s="201"/>
      <c r="FL109" s="201"/>
      <c r="FM109" s="201"/>
      <c r="FN109" s="201"/>
      <c r="FO109" s="201"/>
      <c r="FP109" s="201"/>
      <c r="FQ109" s="201"/>
      <c r="FR109" s="201"/>
      <c r="FS109" s="201"/>
      <c r="FT109" s="201"/>
      <c r="FU109" s="201"/>
      <c r="FV109" s="201"/>
      <c r="FW109" s="201"/>
      <c r="FX109" s="201"/>
      <c r="FY109" s="201"/>
      <c r="FZ109" s="201"/>
      <c r="GA109" s="201"/>
      <c r="GB109" s="201"/>
      <c r="GC109" s="201"/>
      <c r="GD109" s="201"/>
      <c r="GE109" s="201"/>
      <c r="GF109" s="201"/>
      <c r="GG109" s="201"/>
      <c r="GH109" s="201"/>
      <c r="GI109" s="201"/>
      <c r="GJ109" s="201"/>
      <c r="GK109" s="201"/>
      <c r="GL109" s="201"/>
      <c r="GM109" s="201"/>
      <c r="GN109" s="201"/>
      <c r="GO109" s="201"/>
      <c r="GP109" s="201"/>
      <c r="GQ109" s="201"/>
    </row>
    <row r="110" spans="1:204" s="68" customFormat="1" ht="14.45" customHeight="1" x14ac:dyDescent="0.25">
      <c r="A110" s="68" t="s">
        <v>692</v>
      </c>
      <c r="B110" s="82" t="s">
        <v>154</v>
      </c>
      <c r="C110" s="82" t="s">
        <v>172</v>
      </c>
      <c r="D110" s="82" t="s">
        <v>196</v>
      </c>
      <c r="E110" s="82" t="s">
        <v>309</v>
      </c>
      <c r="F110" s="82" t="s">
        <v>549</v>
      </c>
      <c r="G110" s="82" t="s">
        <v>137</v>
      </c>
      <c r="H110" s="82" t="s">
        <v>137</v>
      </c>
      <c r="I110" s="82" t="s">
        <v>66</v>
      </c>
      <c r="J110" s="82" t="s">
        <v>29</v>
      </c>
      <c r="K110" s="92" t="s">
        <v>137</v>
      </c>
      <c r="L110" s="92" t="s">
        <v>137</v>
      </c>
      <c r="M110" s="92" t="s">
        <v>137</v>
      </c>
      <c r="N110" s="92" t="s">
        <v>137</v>
      </c>
      <c r="O110" s="92" t="s">
        <v>137</v>
      </c>
      <c r="P110" s="92" t="s">
        <v>137</v>
      </c>
      <c r="Q110" s="82" t="s">
        <v>87</v>
      </c>
      <c r="R110" s="82" t="s">
        <v>714</v>
      </c>
      <c r="S110" s="82" t="s">
        <v>40</v>
      </c>
      <c r="T110" s="82" t="s">
        <v>2</v>
      </c>
      <c r="U110" s="83"/>
      <c r="V110" s="83">
        <v>0.05</v>
      </c>
      <c r="W110" s="83">
        <v>0.08</v>
      </c>
      <c r="X110" s="83">
        <v>0.15</v>
      </c>
      <c r="Y110" s="83">
        <v>0.2</v>
      </c>
      <c r="Z110" s="83">
        <v>0.25</v>
      </c>
      <c r="AA110" s="83">
        <v>0.37</v>
      </c>
      <c r="AB110" s="83">
        <v>0.42</v>
      </c>
      <c r="AC110" s="83">
        <v>0.57999999999999996</v>
      </c>
      <c r="AD110" s="83">
        <v>0.67</v>
      </c>
      <c r="AE110" s="83">
        <v>0.83</v>
      </c>
      <c r="AF110" s="83">
        <v>1</v>
      </c>
      <c r="AG110" s="82" t="s">
        <v>532</v>
      </c>
      <c r="AH110" s="82" t="s">
        <v>529</v>
      </c>
      <c r="AI110" s="88" t="s">
        <v>538</v>
      </c>
      <c r="AJ110" s="89" t="s">
        <v>538</v>
      </c>
      <c r="AK110" s="90">
        <v>46023</v>
      </c>
      <c r="AL110" s="90">
        <v>46387</v>
      </c>
      <c r="AM110" s="89"/>
      <c r="AN110" s="89"/>
      <c r="AO110" s="89"/>
      <c r="AP110" s="91" t="s">
        <v>539</v>
      </c>
      <c r="AQ110" s="90" cm="1">
        <f t="array" ref="AQ110">IFERROR(DATE(2026, _xlfn.AGGREGATE(15, 6, (COLUMN(BY110:CJ110)-COLUMN(BY110)+1)/(BY110:CJ110&lt;&gt;0), 1), 1),"N/A")</f>
        <v>46204</v>
      </c>
      <c r="AR110" s="90" cm="1">
        <f t="array" ref="AR110">IFERROR(EOMONTH(DATE(2026, _xlfn.AGGREGATE(14, 6, (COLUMN(BY110:CJ110)-COLUMN(BY110)+1)/(BY110:CJ110&lt;&gt;0), 1), 1), 0),"N/A")</f>
        <v>46234</v>
      </c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2" t="s">
        <v>672</v>
      </c>
      <c r="BF110" s="82" t="s">
        <v>962</v>
      </c>
      <c r="BG110" s="82" t="str">
        <f t="shared" si="6"/>
        <v>000</v>
      </c>
      <c r="BH110" s="88">
        <v>530402</v>
      </c>
      <c r="BI110" s="92" t="s">
        <v>74</v>
      </c>
      <c r="BJ110" s="93">
        <v>102695.5</v>
      </c>
      <c r="BK110" s="74">
        <v>0</v>
      </c>
      <c r="BL110" s="74">
        <v>0</v>
      </c>
      <c r="BM110" s="74">
        <v>0</v>
      </c>
      <c r="BN110" s="74">
        <v>0</v>
      </c>
      <c r="BO110" s="74">
        <v>0</v>
      </c>
      <c r="BP110" s="74">
        <v>0</v>
      </c>
      <c r="BQ110" s="94">
        <v>102695.5</v>
      </c>
      <c r="BR110" s="74">
        <v>0</v>
      </c>
      <c r="BS110" s="74">
        <v>0</v>
      </c>
      <c r="BT110" s="74">
        <v>0</v>
      </c>
      <c r="BU110" s="74">
        <v>0</v>
      </c>
      <c r="BV110" s="143">
        <v>0</v>
      </c>
      <c r="BW110" s="143"/>
      <c r="BX110" s="143">
        <f t="shared" si="11"/>
        <v>102695.5</v>
      </c>
      <c r="BY110" s="74">
        <v>0</v>
      </c>
      <c r="BZ110" s="74">
        <v>0</v>
      </c>
      <c r="CA110" s="74">
        <v>0</v>
      </c>
      <c r="CB110" s="74">
        <v>0</v>
      </c>
      <c r="CC110" s="74">
        <v>0</v>
      </c>
      <c r="CD110" s="74">
        <v>0</v>
      </c>
      <c r="CE110" s="94">
        <v>102695.5</v>
      </c>
      <c r="CF110" s="74">
        <v>0</v>
      </c>
      <c r="CG110" s="74">
        <v>0</v>
      </c>
      <c r="CH110" s="74">
        <v>0</v>
      </c>
      <c r="CI110" s="74">
        <v>0</v>
      </c>
      <c r="CJ110" s="143">
        <v>0</v>
      </c>
      <c r="CK110" s="143"/>
      <c r="CL110" s="142">
        <f t="shared" si="7"/>
        <v>0</v>
      </c>
      <c r="CM110" s="171">
        <v>0</v>
      </c>
      <c r="CN110" s="171">
        <v>0</v>
      </c>
      <c r="CO110" s="171">
        <v>0</v>
      </c>
      <c r="CP110" s="171">
        <v>0</v>
      </c>
      <c r="CQ110" s="171">
        <v>0</v>
      </c>
      <c r="CR110" s="171">
        <v>0</v>
      </c>
      <c r="CS110" s="171">
        <f t="shared" si="8"/>
        <v>0</v>
      </c>
      <c r="CT110" s="171">
        <f t="shared" si="9"/>
        <v>0</v>
      </c>
      <c r="CU110" s="171">
        <f t="shared" si="10"/>
        <v>0</v>
      </c>
      <c r="CV110" s="152">
        <v>329995.5</v>
      </c>
      <c r="CW110" s="152">
        <v>249995.5</v>
      </c>
      <c r="CX110" s="130">
        <v>2</v>
      </c>
      <c r="CY110" s="130">
        <v>2</v>
      </c>
      <c r="CZ110" s="130" t="s">
        <v>321</v>
      </c>
      <c r="DA110" s="130" t="s">
        <v>872</v>
      </c>
      <c r="DB110" s="130" t="s">
        <v>850</v>
      </c>
      <c r="DC110" s="130" t="s">
        <v>851</v>
      </c>
      <c r="DD110" s="130"/>
      <c r="DE110" s="131">
        <v>46118</v>
      </c>
      <c r="DF110" s="131">
        <v>46118</v>
      </c>
      <c r="DG110" s="132">
        <v>1</v>
      </c>
      <c r="DH110" s="131">
        <v>46119</v>
      </c>
      <c r="DI110" s="131">
        <v>46119</v>
      </c>
      <c r="DJ110" s="131">
        <v>46119</v>
      </c>
      <c r="DK110" s="131">
        <v>46120</v>
      </c>
      <c r="DL110" s="131">
        <v>46121</v>
      </c>
      <c r="DM110" s="131">
        <v>46122</v>
      </c>
      <c r="DN110" s="131">
        <v>46125</v>
      </c>
      <c r="DO110" s="131">
        <v>46126</v>
      </c>
      <c r="DP110" s="131">
        <v>46127</v>
      </c>
      <c r="DQ110" s="131">
        <v>46127</v>
      </c>
      <c r="DR110" s="132">
        <v>1</v>
      </c>
      <c r="DS110" s="131">
        <v>46128</v>
      </c>
      <c r="DT110" s="131">
        <v>46129</v>
      </c>
      <c r="DU110" s="131">
        <v>46132</v>
      </c>
      <c r="DV110" s="131">
        <v>46133</v>
      </c>
      <c r="DW110" s="131">
        <v>46133</v>
      </c>
      <c r="DX110" s="131">
        <v>46134</v>
      </c>
      <c r="DY110" s="131">
        <v>46134</v>
      </c>
      <c r="DZ110" s="132"/>
      <c r="EA110" s="132"/>
      <c r="EB110" s="132"/>
      <c r="EC110" s="132"/>
      <c r="ED110" s="131">
        <v>46135</v>
      </c>
      <c r="EE110" s="131">
        <v>46136</v>
      </c>
      <c r="EF110" s="131">
        <v>46136</v>
      </c>
      <c r="EG110" s="131">
        <v>46139</v>
      </c>
      <c r="EH110" s="131">
        <v>46140</v>
      </c>
      <c r="EI110" s="131">
        <v>46141</v>
      </c>
      <c r="EJ110" s="131">
        <v>46142</v>
      </c>
      <c r="EK110" s="131">
        <v>46142</v>
      </c>
      <c r="EL110" s="132">
        <v>18</v>
      </c>
      <c r="EM110" s="133">
        <v>46148</v>
      </c>
      <c r="EN110" s="131">
        <v>46150</v>
      </c>
      <c r="EO110" s="133">
        <v>46156</v>
      </c>
      <c r="EP110" s="133">
        <v>46157</v>
      </c>
      <c r="EQ110" s="133">
        <v>46160</v>
      </c>
      <c r="ER110" s="133">
        <v>46162</v>
      </c>
      <c r="ES110" s="133">
        <v>46163</v>
      </c>
      <c r="ET110" s="133">
        <v>46163</v>
      </c>
      <c r="EU110" s="133">
        <v>46168</v>
      </c>
      <c r="EV110" s="134">
        <v>2</v>
      </c>
      <c r="EW110" s="133">
        <v>46171</v>
      </c>
      <c r="EX110" s="133"/>
      <c r="EY110" s="154" t="s">
        <v>872</v>
      </c>
      <c r="EZ110" s="132" t="s">
        <v>873</v>
      </c>
      <c r="FA110" s="136"/>
      <c r="FB110" s="203">
        <v>46118</v>
      </c>
      <c r="FC110" s="203">
        <v>46118</v>
      </c>
      <c r="FD110" s="203">
        <v>46119</v>
      </c>
      <c r="FE110" s="203">
        <v>46119</v>
      </c>
      <c r="FF110" s="203">
        <v>46119</v>
      </c>
      <c r="FG110" s="203">
        <v>46120</v>
      </c>
      <c r="FH110" s="203">
        <v>46121</v>
      </c>
      <c r="FI110" s="203">
        <v>46122</v>
      </c>
      <c r="FJ110" s="203">
        <v>46125</v>
      </c>
      <c r="FK110" s="203">
        <v>46126</v>
      </c>
      <c r="FL110" s="203">
        <v>46127</v>
      </c>
      <c r="FM110" s="203">
        <v>46127</v>
      </c>
      <c r="FN110" s="203">
        <v>46128</v>
      </c>
      <c r="FO110" s="203">
        <v>46129</v>
      </c>
      <c r="FP110" s="203">
        <v>46132</v>
      </c>
      <c r="FQ110" s="203">
        <v>46133</v>
      </c>
      <c r="FR110" s="203">
        <v>46133</v>
      </c>
      <c r="FS110" s="203">
        <v>46134</v>
      </c>
      <c r="FT110" s="203">
        <v>46134</v>
      </c>
      <c r="FU110" s="203"/>
      <c r="FV110" s="203"/>
      <c r="FW110" s="203"/>
      <c r="FX110" s="203"/>
      <c r="FY110" s="203">
        <v>46135</v>
      </c>
      <c r="FZ110" s="203">
        <v>46136</v>
      </c>
      <c r="GA110" s="203">
        <v>46136</v>
      </c>
      <c r="GB110" s="203">
        <v>46139</v>
      </c>
      <c r="GC110" s="203">
        <v>46140</v>
      </c>
      <c r="GD110" s="203">
        <v>46141</v>
      </c>
      <c r="GE110" s="203">
        <v>46142</v>
      </c>
      <c r="GF110" s="203">
        <v>46142</v>
      </c>
      <c r="GG110" s="203">
        <v>18</v>
      </c>
      <c r="GH110" s="203">
        <v>46149</v>
      </c>
      <c r="GI110" s="203">
        <v>46153</v>
      </c>
      <c r="GJ110" s="203">
        <v>46157</v>
      </c>
      <c r="GK110" s="203">
        <v>46160</v>
      </c>
      <c r="GL110" s="203">
        <v>46161</v>
      </c>
      <c r="GM110" s="203">
        <v>46163</v>
      </c>
      <c r="GN110" s="203">
        <v>46164</v>
      </c>
      <c r="GO110" s="203">
        <v>46164</v>
      </c>
      <c r="GP110" s="203">
        <v>46170</v>
      </c>
      <c r="GQ110" s="203">
        <v>46175</v>
      </c>
      <c r="GR110" s="187"/>
      <c r="GS110" s="187" t="s">
        <v>1180</v>
      </c>
      <c r="GT110" s="187" t="s">
        <v>872</v>
      </c>
      <c r="GU110" s="187" t="s">
        <v>873</v>
      </c>
      <c r="GV110" s="187" t="s">
        <v>1158</v>
      </c>
    </row>
    <row r="111" spans="1:204" s="68" customFormat="1" ht="14.45" customHeight="1" x14ac:dyDescent="0.25">
      <c r="A111" s="68" t="s">
        <v>693</v>
      </c>
      <c r="B111" s="82" t="s">
        <v>154</v>
      </c>
      <c r="C111" s="82" t="s">
        <v>172</v>
      </c>
      <c r="D111" s="82" t="s">
        <v>196</v>
      </c>
      <c r="E111" s="82" t="s">
        <v>309</v>
      </c>
      <c r="F111" s="82" t="s">
        <v>549</v>
      </c>
      <c r="G111" s="82" t="s">
        <v>137</v>
      </c>
      <c r="H111" s="82" t="s">
        <v>137</v>
      </c>
      <c r="I111" s="82" t="s">
        <v>66</v>
      </c>
      <c r="J111" s="82" t="s">
        <v>29</v>
      </c>
      <c r="K111" s="92" t="s">
        <v>137</v>
      </c>
      <c r="L111" s="92" t="s">
        <v>137</v>
      </c>
      <c r="M111" s="92" t="s">
        <v>137</v>
      </c>
      <c r="N111" s="92" t="s">
        <v>137</v>
      </c>
      <c r="O111" s="92" t="s">
        <v>137</v>
      </c>
      <c r="P111" s="92" t="s">
        <v>137</v>
      </c>
      <c r="Q111" s="82" t="s">
        <v>87</v>
      </c>
      <c r="R111" s="82" t="s">
        <v>714</v>
      </c>
      <c r="S111" s="82" t="s">
        <v>40</v>
      </c>
      <c r="T111" s="82" t="s">
        <v>2</v>
      </c>
      <c r="U111" s="83"/>
      <c r="V111" s="83">
        <v>0.05</v>
      </c>
      <c r="W111" s="83">
        <v>0.08</v>
      </c>
      <c r="X111" s="83">
        <v>0.15</v>
      </c>
      <c r="Y111" s="83">
        <v>0.2</v>
      </c>
      <c r="Z111" s="83">
        <v>0.25</v>
      </c>
      <c r="AA111" s="83">
        <v>0.37</v>
      </c>
      <c r="AB111" s="83">
        <v>0.42</v>
      </c>
      <c r="AC111" s="83">
        <v>0.57999999999999996</v>
      </c>
      <c r="AD111" s="83">
        <v>0.67</v>
      </c>
      <c r="AE111" s="83">
        <v>0.83</v>
      </c>
      <c r="AF111" s="83">
        <v>1</v>
      </c>
      <c r="AG111" s="82" t="s">
        <v>532</v>
      </c>
      <c r="AH111" s="82" t="s">
        <v>529</v>
      </c>
      <c r="AI111" s="88" t="s">
        <v>538</v>
      </c>
      <c r="AJ111" s="89" t="s">
        <v>538</v>
      </c>
      <c r="AK111" s="90">
        <v>46023</v>
      </c>
      <c r="AL111" s="90">
        <v>46387</v>
      </c>
      <c r="AM111" s="89"/>
      <c r="AN111" s="89"/>
      <c r="AO111" s="89"/>
      <c r="AP111" s="91" t="s">
        <v>539</v>
      </c>
      <c r="AQ111" s="90" cm="1">
        <f t="array" ref="AQ111">IFERROR(DATE(2026, _xlfn.AGGREGATE(15, 6, (COLUMN(BY111:CJ111)-COLUMN(BY111)+1)/(BY111:CJ111&lt;&gt;0), 1), 1),"N/A")</f>
        <v>46266</v>
      </c>
      <c r="AR111" s="90" cm="1">
        <f t="array" ref="AR111">IFERROR(EOMONTH(DATE(2026, _xlfn.AGGREGATE(14, 6, (COLUMN(BY111:CJ111)-COLUMN(BY111)+1)/(BY111:CJ111&lt;&gt;0), 1), 1), 0),"N/A")</f>
        <v>46295</v>
      </c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2" t="s">
        <v>599</v>
      </c>
      <c r="BF111" s="82" t="s">
        <v>1014</v>
      </c>
      <c r="BG111" s="82" t="str">
        <f t="shared" si="6"/>
        <v>000</v>
      </c>
      <c r="BH111" s="88">
        <v>530404</v>
      </c>
      <c r="BI111" s="92" t="s">
        <v>74</v>
      </c>
      <c r="BJ111" s="93">
        <v>2000</v>
      </c>
      <c r="BK111" s="74">
        <v>0</v>
      </c>
      <c r="BL111" s="74">
        <v>0</v>
      </c>
      <c r="BM111" s="74">
        <v>0</v>
      </c>
      <c r="BN111" s="74">
        <v>0</v>
      </c>
      <c r="BO111" s="74">
        <v>0</v>
      </c>
      <c r="BP111" s="74">
        <v>0</v>
      </c>
      <c r="BQ111" s="74">
        <v>0</v>
      </c>
      <c r="BR111" s="74">
        <v>0</v>
      </c>
      <c r="BS111" s="94">
        <v>2000</v>
      </c>
      <c r="BT111" s="74">
        <v>0</v>
      </c>
      <c r="BU111" s="74">
        <v>0</v>
      </c>
      <c r="BV111" s="143">
        <v>0</v>
      </c>
      <c r="BW111" s="143"/>
      <c r="BX111" s="143">
        <f t="shared" si="11"/>
        <v>2000</v>
      </c>
      <c r="BY111" s="74">
        <v>0</v>
      </c>
      <c r="BZ111" s="74">
        <v>0</v>
      </c>
      <c r="CA111" s="74">
        <v>0</v>
      </c>
      <c r="CB111" s="74">
        <v>0</v>
      </c>
      <c r="CC111" s="74">
        <v>0</v>
      </c>
      <c r="CD111" s="74">
        <v>0</v>
      </c>
      <c r="CE111" s="74">
        <v>0</v>
      </c>
      <c r="CF111" s="74">
        <v>0</v>
      </c>
      <c r="CG111" s="94">
        <v>2000</v>
      </c>
      <c r="CH111" s="74">
        <v>0</v>
      </c>
      <c r="CI111" s="74">
        <v>0</v>
      </c>
      <c r="CJ111" s="143">
        <v>0</v>
      </c>
      <c r="CK111" s="143"/>
      <c r="CL111" s="142">
        <f t="shared" si="7"/>
        <v>0</v>
      </c>
      <c r="CM111" s="171">
        <v>0</v>
      </c>
      <c r="CN111" s="171">
        <v>0</v>
      </c>
      <c r="CO111" s="171">
        <v>0</v>
      </c>
      <c r="CP111" s="171">
        <v>0</v>
      </c>
      <c r="CQ111" s="171">
        <v>0</v>
      </c>
      <c r="CR111" s="171">
        <v>0</v>
      </c>
      <c r="CS111" s="171">
        <f t="shared" si="8"/>
        <v>0</v>
      </c>
      <c r="CT111" s="171">
        <f t="shared" si="9"/>
        <v>0</v>
      </c>
      <c r="CU111" s="171">
        <f t="shared" si="10"/>
        <v>0</v>
      </c>
      <c r="CV111" s="149">
        <v>2000</v>
      </c>
      <c r="CW111" s="149">
        <v>2000</v>
      </c>
      <c r="CX111" s="130">
        <v>2</v>
      </c>
      <c r="CY111" s="130">
        <v>2</v>
      </c>
      <c r="CZ111" s="130"/>
      <c r="DA111" s="130"/>
      <c r="DB111" s="130"/>
      <c r="DC111" s="130"/>
      <c r="DD111" s="130"/>
      <c r="DE111" s="131">
        <v>46211</v>
      </c>
      <c r="DF111" s="131">
        <v>46211</v>
      </c>
      <c r="DG111" s="132">
        <v>2</v>
      </c>
      <c r="DH111" s="131">
        <v>46212</v>
      </c>
      <c r="DI111" s="131">
        <v>46212</v>
      </c>
      <c r="DJ111" s="131">
        <v>46212</v>
      </c>
      <c r="DK111" s="131">
        <v>46213</v>
      </c>
      <c r="DL111" s="131">
        <v>46216</v>
      </c>
      <c r="DM111" s="131">
        <v>46217</v>
      </c>
      <c r="DN111" s="131">
        <v>46218</v>
      </c>
      <c r="DO111" s="131">
        <v>46219</v>
      </c>
      <c r="DP111" s="131">
        <v>46220</v>
      </c>
      <c r="DQ111" s="131">
        <v>46220</v>
      </c>
      <c r="DR111" s="132">
        <v>2</v>
      </c>
      <c r="DS111" s="131">
        <v>46223</v>
      </c>
      <c r="DT111" s="131">
        <v>46224</v>
      </c>
      <c r="DU111" s="131">
        <v>46225</v>
      </c>
      <c r="DV111" s="131">
        <v>46226</v>
      </c>
      <c r="DW111" s="131">
        <v>46226</v>
      </c>
      <c r="DX111" s="131">
        <v>46227</v>
      </c>
      <c r="DY111" s="131">
        <v>46227</v>
      </c>
      <c r="DZ111" s="132"/>
      <c r="EA111" s="132"/>
      <c r="EB111" s="132"/>
      <c r="EC111" s="132"/>
      <c r="ED111" s="131">
        <v>46230</v>
      </c>
      <c r="EE111" s="131">
        <v>46231</v>
      </c>
      <c r="EF111" s="131">
        <v>46231</v>
      </c>
      <c r="EG111" s="131"/>
      <c r="EH111" s="131"/>
      <c r="EI111" s="131"/>
      <c r="EJ111" s="131">
        <v>46231</v>
      </c>
      <c r="EK111" s="131">
        <v>46237</v>
      </c>
      <c r="EL111" s="132">
        <v>18</v>
      </c>
      <c r="EM111" s="133"/>
      <c r="EN111" s="133"/>
      <c r="EO111" s="133"/>
      <c r="EP111" s="133"/>
      <c r="EQ111" s="133"/>
      <c r="ER111" s="133"/>
      <c r="ES111" s="133"/>
      <c r="ET111" s="133"/>
      <c r="EU111" s="133"/>
      <c r="EV111" s="134"/>
      <c r="EW111" s="133">
        <v>46237</v>
      </c>
      <c r="EX111" s="133"/>
      <c r="EY111" s="135" t="s">
        <v>854</v>
      </c>
      <c r="EZ111" s="137" t="s">
        <v>876</v>
      </c>
      <c r="FA111" s="136" t="s">
        <v>877</v>
      </c>
      <c r="FB111" s="203">
        <v>46211</v>
      </c>
      <c r="FC111" s="203">
        <v>46212</v>
      </c>
      <c r="FD111" s="203">
        <v>46212</v>
      </c>
      <c r="FE111" s="203">
        <v>46212</v>
      </c>
      <c r="FF111" s="203">
        <v>46213</v>
      </c>
      <c r="FG111" s="203">
        <v>46216</v>
      </c>
      <c r="FH111" s="203">
        <v>46217</v>
      </c>
      <c r="FI111" s="203">
        <v>46218</v>
      </c>
      <c r="FJ111" s="203">
        <v>46219</v>
      </c>
      <c r="FK111" s="203">
        <v>46220</v>
      </c>
      <c r="FL111" s="203">
        <v>46220</v>
      </c>
      <c r="FM111" s="203">
        <v>46223</v>
      </c>
      <c r="FN111" s="203">
        <v>46224</v>
      </c>
      <c r="FO111" s="203">
        <v>46225</v>
      </c>
      <c r="FP111" s="203">
        <v>46226</v>
      </c>
      <c r="FQ111" s="203">
        <v>46226</v>
      </c>
      <c r="FR111" s="203">
        <v>46227</v>
      </c>
      <c r="FS111" s="203">
        <v>46227</v>
      </c>
      <c r="FT111" s="203"/>
      <c r="FU111" s="203"/>
      <c r="FV111" s="203"/>
      <c r="FW111" s="203"/>
      <c r="FX111" s="203">
        <v>46230</v>
      </c>
      <c r="FY111" s="203">
        <v>46231</v>
      </c>
      <c r="FZ111" s="203">
        <v>46231</v>
      </c>
      <c r="GA111" s="203"/>
      <c r="GB111" s="203"/>
      <c r="GC111" s="203"/>
      <c r="GD111" s="203">
        <v>46231</v>
      </c>
      <c r="GE111" s="203">
        <v>46237</v>
      </c>
      <c r="GF111" s="203">
        <v>18</v>
      </c>
      <c r="GG111" s="203"/>
      <c r="GH111" s="203"/>
      <c r="GI111" s="203"/>
      <c r="GJ111" s="203"/>
      <c r="GK111" s="203"/>
      <c r="GL111" s="203"/>
      <c r="GM111" s="203"/>
      <c r="GN111" s="203"/>
      <c r="GO111" s="203"/>
      <c r="GP111" s="203">
        <v>46237</v>
      </c>
      <c r="GQ111" s="203"/>
      <c r="GR111" s="187" t="s">
        <v>854</v>
      </c>
      <c r="GS111" s="187" t="s">
        <v>1180</v>
      </c>
      <c r="GT111" s="187" t="s">
        <v>1175</v>
      </c>
      <c r="GU111" s="187"/>
    </row>
    <row r="112" spans="1:204" s="68" customFormat="1" ht="14.45" customHeight="1" x14ac:dyDescent="0.25">
      <c r="A112" s="68" t="s">
        <v>692</v>
      </c>
      <c r="B112" s="82" t="s">
        <v>154</v>
      </c>
      <c r="C112" s="82" t="s">
        <v>172</v>
      </c>
      <c r="D112" s="82" t="s">
        <v>196</v>
      </c>
      <c r="E112" s="82" t="s">
        <v>309</v>
      </c>
      <c r="F112" s="82" t="s">
        <v>549</v>
      </c>
      <c r="G112" s="82" t="s">
        <v>137</v>
      </c>
      <c r="H112" s="82" t="s">
        <v>137</v>
      </c>
      <c r="I112" s="82" t="s">
        <v>66</v>
      </c>
      <c r="J112" s="82" t="s">
        <v>29</v>
      </c>
      <c r="K112" s="92" t="s">
        <v>137</v>
      </c>
      <c r="L112" s="92" t="s">
        <v>137</v>
      </c>
      <c r="M112" s="92" t="s">
        <v>137</v>
      </c>
      <c r="N112" s="92" t="s">
        <v>137</v>
      </c>
      <c r="O112" s="92" t="s">
        <v>137</v>
      </c>
      <c r="P112" s="92" t="s">
        <v>137</v>
      </c>
      <c r="Q112" s="82" t="s">
        <v>87</v>
      </c>
      <c r="R112" s="82" t="s">
        <v>714</v>
      </c>
      <c r="S112" s="82" t="s">
        <v>40</v>
      </c>
      <c r="T112" s="82" t="s">
        <v>2</v>
      </c>
      <c r="U112" s="83"/>
      <c r="V112" s="83">
        <v>0.05</v>
      </c>
      <c r="W112" s="83">
        <v>0.08</v>
      </c>
      <c r="X112" s="83">
        <v>0.15</v>
      </c>
      <c r="Y112" s="83">
        <v>0.2</v>
      </c>
      <c r="Z112" s="83">
        <v>0.25</v>
      </c>
      <c r="AA112" s="83">
        <v>0.37</v>
      </c>
      <c r="AB112" s="83">
        <v>0.42</v>
      </c>
      <c r="AC112" s="83">
        <v>0.57999999999999996</v>
      </c>
      <c r="AD112" s="83">
        <v>0.67</v>
      </c>
      <c r="AE112" s="83">
        <v>0.83</v>
      </c>
      <c r="AF112" s="83">
        <v>1</v>
      </c>
      <c r="AG112" s="82" t="s">
        <v>532</v>
      </c>
      <c r="AH112" s="82" t="s">
        <v>529</v>
      </c>
      <c r="AI112" s="88" t="s">
        <v>538</v>
      </c>
      <c r="AJ112" s="89" t="s">
        <v>538</v>
      </c>
      <c r="AK112" s="90">
        <v>46023</v>
      </c>
      <c r="AL112" s="90">
        <v>46387</v>
      </c>
      <c r="AM112" s="89"/>
      <c r="AN112" s="89"/>
      <c r="AO112" s="89"/>
      <c r="AP112" s="91" t="s">
        <v>539</v>
      </c>
      <c r="AQ112" s="90" cm="1">
        <f t="array" ref="AQ112">IFERROR(DATE(2026, _xlfn.AGGREGATE(15, 6, (COLUMN(BY112:CJ112)-COLUMN(BY112)+1)/(BY112:CJ112&lt;&gt;0), 1), 1),"N/A")</f>
        <v>46174</v>
      </c>
      <c r="AR112" s="90" cm="1">
        <f t="array" ref="AR112">IFERROR(EOMONTH(DATE(2026, _xlfn.AGGREGATE(14, 6, (COLUMN(BY112:CJ112)-COLUMN(BY112)+1)/(BY112:CJ112&lt;&gt;0), 1), 1), 0),"N/A")</f>
        <v>46203</v>
      </c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2" t="s">
        <v>667</v>
      </c>
      <c r="BF112" s="82" t="s">
        <v>995</v>
      </c>
      <c r="BG112" s="82" t="str">
        <f t="shared" si="6"/>
        <v>000</v>
      </c>
      <c r="BH112" s="88">
        <v>530404</v>
      </c>
      <c r="BI112" s="92" t="s">
        <v>74</v>
      </c>
      <c r="BJ112" s="93">
        <v>40000</v>
      </c>
      <c r="BK112" s="74">
        <v>0</v>
      </c>
      <c r="BL112" s="74">
        <v>0</v>
      </c>
      <c r="BM112" s="74">
        <v>0</v>
      </c>
      <c r="BN112" s="74">
        <v>0</v>
      </c>
      <c r="BO112" s="74">
        <v>0</v>
      </c>
      <c r="BP112" s="94">
        <v>40000</v>
      </c>
      <c r="BQ112" s="74">
        <v>0</v>
      </c>
      <c r="BR112" s="74">
        <v>0</v>
      </c>
      <c r="BS112" s="74">
        <v>0</v>
      </c>
      <c r="BT112" s="74">
        <v>0</v>
      </c>
      <c r="BU112" s="74">
        <v>0</v>
      </c>
      <c r="BV112" s="143">
        <v>0</v>
      </c>
      <c r="BW112" s="143"/>
      <c r="BX112" s="143">
        <f t="shared" si="11"/>
        <v>40000</v>
      </c>
      <c r="BY112" s="74">
        <v>0</v>
      </c>
      <c r="BZ112" s="74">
        <v>0</v>
      </c>
      <c r="CA112" s="74">
        <v>0</v>
      </c>
      <c r="CB112" s="74">
        <v>0</v>
      </c>
      <c r="CC112" s="74">
        <v>0</v>
      </c>
      <c r="CD112" s="94">
        <v>40000</v>
      </c>
      <c r="CE112" s="74">
        <v>0</v>
      </c>
      <c r="CF112" s="74">
        <v>0</v>
      </c>
      <c r="CG112" s="74">
        <v>0</v>
      </c>
      <c r="CH112" s="74">
        <v>0</v>
      </c>
      <c r="CI112" s="74">
        <v>0</v>
      </c>
      <c r="CJ112" s="143">
        <v>0</v>
      </c>
      <c r="CK112" s="143"/>
      <c r="CL112" s="142">
        <f t="shared" si="7"/>
        <v>0</v>
      </c>
      <c r="CM112" s="171">
        <v>0</v>
      </c>
      <c r="CN112" s="171">
        <v>0</v>
      </c>
      <c r="CO112" s="171">
        <v>0</v>
      </c>
      <c r="CP112" s="171">
        <v>0</v>
      </c>
      <c r="CQ112" s="171">
        <v>0</v>
      </c>
      <c r="CR112" s="171">
        <v>0</v>
      </c>
      <c r="CS112" s="171">
        <f t="shared" si="8"/>
        <v>0</v>
      </c>
      <c r="CT112" s="171">
        <f t="shared" si="9"/>
        <v>0</v>
      </c>
      <c r="CU112" s="171">
        <f t="shared" si="10"/>
        <v>0</v>
      </c>
      <c r="CV112" s="149"/>
      <c r="CW112" s="149"/>
      <c r="CX112" s="130"/>
      <c r="CY112" s="130"/>
      <c r="CZ112" s="130"/>
      <c r="DA112" s="130"/>
      <c r="DB112" s="130"/>
      <c r="DC112" s="130"/>
      <c r="DD112" s="130"/>
      <c r="DE112" s="130"/>
      <c r="DF112" s="130"/>
      <c r="DG112" s="130"/>
      <c r="DH112" s="130"/>
      <c r="DI112" s="130"/>
      <c r="DJ112" s="130"/>
      <c r="DK112" s="130"/>
      <c r="DL112" s="130"/>
      <c r="DM112" s="130"/>
      <c r="DN112" s="130"/>
      <c r="DO112" s="130"/>
      <c r="DP112" s="130"/>
      <c r="DQ112" s="130"/>
      <c r="DR112" s="130"/>
      <c r="DS112" s="130"/>
      <c r="DT112" s="130"/>
      <c r="DU112" s="130"/>
      <c r="DV112" s="130"/>
      <c r="DW112" s="130"/>
      <c r="DX112" s="130"/>
      <c r="DY112" s="130"/>
      <c r="DZ112" s="130"/>
      <c r="EA112" s="130"/>
      <c r="EB112" s="130"/>
      <c r="EC112" s="130"/>
      <c r="ED112" s="130"/>
      <c r="EE112" s="130"/>
      <c r="EF112" s="130"/>
      <c r="EG112" s="130"/>
      <c r="EH112" s="130"/>
      <c r="EI112" s="130"/>
      <c r="EJ112" s="130"/>
      <c r="EK112" s="130"/>
      <c r="EL112" s="130"/>
      <c r="EM112" s="130"/>
      <c r="EN112" s="130"/>
      <c r="EO112" s="130"/>
      <c r="EP112" s="130"/>
      <c r="EQ112" s="130"/>
      <c r="ER112" s="130"/>
      <c r="ES112" s="130"/>
      <c r="ET112" s="130"/>
      <c r="EU112" s="130"/>
      <c r="EV112" s="130"/>
      <c r="EW112" s="130"/>
      <c r="EX112" s="130"/>
      <c r="EY112" s="130"/>
      <c r="EZ112" s="130"/>
      <c r="FA112" s="130"/>
      <c r="FB112" s="201"/>
      <c r="FC112" s="201"/>
      <c r="FD112" s="201"/>
      <c r="FE112" s="201"/>
      <c r="FF112" s="201"/>
      <c r="FG112" s="201"/>
      <c r="FH112" s="201"/>
      <c r="FI112" s="201"/>
      <c r="FJ112" s="201"/>
      <c r="FK112" s="201"/>
      <c r="FL112" s="201"/>
      <c r="FM112" s="201"/>
      <c r="FN112" s="201"/>
      <c r="FO112" s="201"/>
      <c r="FP112" s="201"/>
      <c r="FQ112" s="201"/>
      <c r="FR112" s="201"/>
      <c r="FS112" s="201"/>
      <c r="FT112" s="201"/>
      <c r="FU112" s="201"/>
      <c r="FV112" s="201"/>
      <c r="FW112" s="201"/>
      <c r="FX112" s="201"/>
      <c r="FY112" s="201"/>
      <c r="FZ112" s="201"/>
      <c r="GA112" s="201"/>
      <c r="GB112" s="201"/>
      <c r="GC112" s="201"/>
      <c r="GD112" s="201"/>
      <c r="GE112" s="201"/>
      <c r="GF112" s="201"/>
      <c r="GG112" s="201"/>
      <c r="GH112" s="201"/>
      <c r="GI112" s="201"/>
      <c r="GJ112" s="201"/>
      <c r="GK112" s="201"/>
      <c r="GL112" s="201"/>
      <c r="GM112" s="201"/>
      <c r="GN112" s="201"/>
      <c r="GO112" s="201"/>
      <c r="GP112" s="201"/>
      <c r="GQ112" s="201"/>
    </row>
    <row r="113" spans="1:204" s="68" customFormat="1" ht="14.45" customHeight="1" x14ac:dyDescent="0.25">
      <c r="A113" s="68" t="s">
        <v>693</v>
      </c>
      <c r="B113" s="82" t="s">
        <v>154</v>
      </c>
      <c r="C113" s="82" t="s">
        <v>172</v>
      </c>
      <c r="D113" s="82" t="s">
        <v>196</v>
      </c>
      <c r="E113" s="82" t="s">
        <v>309</v>
      </c>
      <c r="F113" s="82" t="s">
        <v>549</v>
      </c>
      <c r="G113" s="82" t="s">
        <v>137</v>
      </c>
      <c r="H113" s="82" t="s">
        <v>137</v>
      </c>
      <c r="I113" s="82" t="s">
        <v>66</v>
      </c>
      <c r="J113" s="82" t="s">
        <v>29</v>
      </c>
      <c r="K113" s="92" t="s">
        <v>137</v>
      </c>
      <c r="L113" s="92" t="s">
        <v>137</v>
      </c>
      <c r="M113" s="92" t="s">
        <v>137</v>
      </c>
      <c r="N113" s="92" t="s">
        <v>137</v>
      </c>
      <c r="O113" s="92" t="s">
        <v>137</v>
      </c>
      <c r="P113" s="92" t="s">
        <v>137</v>
      </c>
      <c r="Q113" s="82" t="s">
        <v>87</v>
      </c>
      <c r="R113" s="82" t="s">
        <v>714</v>
      </c>
      <c r="S113" s="82" t="s">
        <v>40</v>
      </c>
      <c r="T113" s="82" t="s">
        <v>2</v>
      </c>
      <c r="U113" s="83"/>
      <c r="V113" s="83">
        <v>0.05</v>
      </c>
      <c r="W113" s="83">
        <v>0.08</v>
      </c>
      <c r="X113" s="83">
        <v>0.15</v>
      </c>
      <c r="Y113" s="83">
        <v>0.2</v>
      </c>
      <c r="Z113" s="83">
        <v>0.25</v>
      </c>
      <c r="AA113" s="83">
        <v>0.37</v>
      </c>
      <c r="AB113" s="83">
        <v>0.42</v>
      </c>
      <c r="AC113" s="83">
        <v>0.57999999999999996</v>
      </c>
      <c r="AD113" s="83">
        <v>0.67</v>
      </c>
      <c r="AE113" s="83">
        <v>0.83</v>
      </c>
      <c r="AF113" s="83">
        <v>1</v>
      </c>
      <c r="AG113" s="82" t="s">
        <v>532</v>
      </c>
      <c r="AH113" s="82" t="s">
        <v>529</v>
      </c>
      <c r="AI113" s="88" t="s">
        <v>538</v>
      </c>
      <c r="AJ113" s="89" t="s">
        <v>538</v>
      </c>
      <c r="AK113" s="90">
        <v>46023</v>
      </c>
      <c r="AL113" s="90">
        <v>46387</v>
      </c>
      <c r="AM113" s="89"/>
      <c r="AN113" s="89"/>
      <c r="AO113" s="89"/>
      <c r="AP113" s="91" t="s">
        <v>539</v>
      </c>
      <c r="AQ113" s="90" cm="1">
        <f t="array" ref="AQ113">IFERROR(DATE(2026, _xlfn.AGGREGATE(15, 6, (COLUMN(BY113:CJ113)-COLUMN(BY113)+1)/(BY113:CJ113&lt;&gt;0), 1), 1),"N/A")</f>
        <v>46266</v>
      </c>
      <c r="AR113" s="90" cm="1">
        <f t="array" ref="AR113">IFERROR(EOMONTH(DATE(2026, _xlfn.AGGREGATE(14, 6, (COLUMN(BY113:CJ113)-COLUMN(BY113)+1)/(BY113:CJ113&lt;&gt;0), 1), 1), 0),"N/A")</f>
        <v>46295</v>
      </c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2" t="s">
        <v>589</v>
      </c>
      <c r="BF113" s="82" t="s">
        <v>964</v>
      </c>
      <c r="BG113" s="82" t="str">
        <f t="shared" si="6"/>
        <v>000</v>
      </c>
      <c r="BH113" s="88">
        <v>530404</v>
      </c>
      <c r="BI113" s="92" t="s">
        <v>74</v>
      </c>
      <c r="BJ113" s="93">
        <v>1000</v>
      </c>
      <c r="BK113" s="74">
        <v>0</v>
      </c>
      <c r="BL113" s="74">
        <v>0</v>
      </c>
      <c r="BM113" s="74">
        <v>0</v>
      </c>
      <c r="BN113" s="74">
        <v>0</v>
      </c>
      <c r="BO113" s="74">
        <v>0</v>
      </c>
      <c r="BP113" s="74">
        <v>0</v>
      </c>
      <c r="BQ113" s="74">
        <v>0</v>
      </c>
      <c r="BR113" s="74">
        <v>0</v>
      </c>
      <c r="BS113" s="94">
        <v>1000</v>
      </c>
      <c r="BT113" s="74">
        <v>0</v>
      </c>
      <c r="BU113" s="74">
        <v>0</v>
      </c>
      <c r="BV113" s="143">
        <v>0</v>
      </c>
      <c r="BW113" s="143"/>
      <c r="BX113" s="143">
        <f t="shared" si="11"/>
        <v>1000</v>
      </c>
      <c r="BY113" s="74">
        <v>0</v>
      </c>
      <c r="BZ113" s="74">
        <v>0</v>
      </c>
      <c r="CA113" s="74">
        <v>0</v>
      </c>
      <c r="CB113" s="74">
        <v>0</v>
      </c>
      <c r="CC113" s="74">
        <v>0</v>
      </c>
      <c r="CD113" s="74">
        <v>0</v>
      </c>
      <c r="CE113" s="74">
        <v>0</v>
      </c>
      <c r="CF113" s="74">
        <v>0</v>
      </c>
      <c r="CG113" s="94">
        <v>1000</v>
      </c>
      <c r="CH113" s="74">
        <v>0</v>
      </c>
      <c r="CI113" s="74">
        <v>0</v>
      </c>
      <c r="CJ113" s="143">
        <v>0</v>
      </c>
      <c r="CK113" s="143"/>
      <c r="CL113" s="142">
        <f t="shared" si="7"/>
        <v>0</v>
      </c>
      <c r="CM113" s="171">
        <v>0</v>
      </c>
      <c r="CN113" s="171">
        <v>0</v>
      </c>
      <c r="CO113" s="171">
        <v>0</v>
      </c>
      <c r="CP113" s="171">
        <v>0</v>
      </c>
      <c r="CQ113" s="171">
        <v>0</v>
      </c>
      <c r="CR113" s="171">
        <v>0</v>
      </c>
      <c r="CS113" s="171">
        <f t="shared" si="8"/>
        <v>0</v>
      </c>
      <c r="CT113" s="171">
        <f t="shared" si="9"/>
        <v>0</v>
      </c>
      <c r="CU113" s="171">
        <f t="shared" si="10"/>
        <v>0</v>
      </c>
      <c r="CV113" s="149">
        <v>1000</v>
      </c>
      <c r="CW113" s="149">
        <v>1000</v>
      </c>
      <c r="CX113" s="130">
        <v>3</v>
      </c>
      <c r="CY113" s="130">
        <v>2</v>
      </c>
      <c r="CZ113" s="130"/>
      <c r="DA113" s="130"/>
      <c r="DB113" s="130"/>
      <c r="DC113" s="130"/>
      <c r="DD113" s="130"/>
      <c r="DE113" s="131">
        <v>46307</v>
      </c>
      <c r="DF113" s="131">
        <v>46307</v>
      </c>
      <c r="DG113" s="132">
        <v>3</v>
      </c>
      <c r="DH113" s="131">
        <v>46308</v>
      </c>
      <c r="DI113" s="131">
        <v>46308</v>
      </c>
      <c r="DJ113" s="131">
        <v>46308</v>
      </c>
      <c r="DK113" s="131">
        <v>46309</v>
      </c>
      <c r="DL113" s="131">
        <v>46310</v>
      </c>
      <c r="DM113" s="131">
        <v>46311</v>
      </c>
      <c r="DN113" s="131">
        <v>46314</v>
      </c>
      <c r="DO113" s="131">
        <v>46315</v>
      </c>
      <c r="DP113" s="131">
        <v>46316</v>
      </c>
      <c r="DQ113" s="131">
        <v>46316</v>
      </c>
      <c r="DR113" s="132">
        <v>3</v>
      </c>
      <c r="DS113" s="131">
        <v>46317</v>
      </c>
      <c r="DT113" s="131">
        <v>46318</v>
      </c>
      <c r="DU113" s="131">
        <v>46321</v>
      </c>
      <c r="DV113" s="131">
        <v>46322</v>
      </c>
      <c r="DW113" s="131">
        <v>46322</v>
      </c>
      <c r="DX113" s="131">
        <v>46323</v>
      </c>
      <c r="DY113" s="131">
        <v>46323</v>
      </c>
      <c r="DZ113" s="132"/>
      <c r="EA113" s="132"/>
      <c r="EB113" s="132"/>
      <c r="EC113" s="132"/>
      <c r="ED113" s="131">
        <v>46324</v>
      </c>
      <c r="EE113" s="131">
        <v>46325</v>
      </c>
      <c r="EF113" s="131">
        <v>46325</v>
      </c>
      <c r="EG113" s="131"/>
      <c r="EH113" s="131"/>
      <c r="EI113" s="131"/>
      <c r="EJ113" s="131">
        <v>46325</v>
      </c>
      <c r="EK113" s="131">
        <v>46331</v>
      </c>
      <c r="EL113" s="132">
        <v>18</v>
      </c>
      <c r="EM113" s="133"/>
      <c r="EN113" s="133"/>
      <c r="EO113" s="133"/>
      <c r="EP113" s="133"/>
      <c r="EQ113" s="133"/>
      <c r="ER113" s="133"/>
      <c r="ES113" s="133"/>
      <c r="ET113" s="133"/>
      <c r="EU113" s="133"/>
      <c r="EV113" s="134"/>
      <c r="EW113" s="133">
        <v>46331</v>
      </c>
      <c r="EX113" s="133"/>
      <c r="EY113" s="135" t="s">
        <v>854</v>
      </c>
      <c r="EZ113" s="132" t="s">
        <v>876</v>
      </c>
      <c r="FA113" s="136" t="s">
        <v>877</v>
      </c>
      <c r="FB113" s="203">
        <v>46211</v>
      </c>
      <c r="FC113" s="203">
        <v>46211</v>
      </c>
      <c r="FD113" s="203">
        <v>46212</v>
      </c>
      <c r="FE113" s="203">
        <v>46212</v>
      </c>
      <c r="FF113" s="203">
        <v>46212</v>
      </c>
      <c r="FG113" s="203">
        <v>46213</v>
      </c>
      <c r="FH113" s="203">
        <v>46216</v>
      </c>
      <c r="FI113" s="203">
        <v>46217</v>
      </c>
      <c r="FJ113" s="203">
        <v>46218</v>
      </c>
      <c r="FK113" s="203">
        <v>46219</v>
      </c>
      <c r="FL113" s="203">
        <v>46220</v>
      </c>
      <c r="FM113" s="203">
        <v>46220</v>
      </c>
      <c r="FN113" s="203">
        <v>46223</v>
      </c>
      <c r="FO113" s="203">
        <v>46224</v>
      </c>
      <c r="FP113" s="203">
        <v>46225</v>
      </c>
      <c r="FQ113" s="203">
        <v>46226</v>
      </c>
      <c r="FR113" s="203">
        <v>46226</v>
      </c>
      <c r="FS113" s="203">
        <v>46227</v>
      </c>
      <c r="FT113" s="203">
        <v>46227</v>
      </c>
      <c r="FU113" s="203"/>
      <c r="FV113" s="203"/>
      <c r="FW113" s="203"/>
      <c r="FX113" s="203"/>
      <c r="FY113" s="203">
        <v>46230</v>
      </c>
      <c r="FZ113" s="203">
        <v>46231</v>
      </c>
      <c r="GA113" s="203">
        <v>46231</v>
      </c>
      <c r="GB113" s="203"/>
      <c r="GC113" s="203"/>
      <c r="GD113" s="203"/>
      <c r="GE113" s="203">
        <v>46231</v>
      </c>
      <c r="GF113" s="203">
        <v>46236</v>
      </c>
      <c r="GG113" s="203">
        <v>18</v>
      </c>
      <c r="GH113" s="203"/>
      <c r="GI113" s="203"/>
      <c r="GJ113" s="203"/>
      <c r="GK113" s="203"/>
      <c r="GL113" s="203"/>
      <c r="GM113" s="203"/>
      <c r="GN113" s="203"/>
      <c r="GO113" s="203"/>
      <c r="GP113" s="203"/>
      <c r="GQ113" s="203">
        <v>46236</v>
      </c>
      <c r="GR113" s="187"/>
      <c r="GS113" s="187" t="s">
        <v>1181</v>
      </c>
      <c r="GT113" s="187" t="s">
        <v>854</v>
      </c>
      <c r="GU113" s="187" t="s">
        <v>1175</v>
      </c>
      <c r="GV113" s="187" t="s">
        <v>1176</v>
      </c>
    </row>
    <row r="114" spans="1:204" s="68" customFormat="1" ht="14.45" customHeight="1" x14ac:dyDescent="0.25">
      <c r="A114" s="68" t="s">
        <v>693</v>
      </c>
      <c r="B114" s="82" t="s">
        <v>154</v>
      </c>
      <c r="C114" s="82" t="s">
        <v>172</v>
      </c>
      <c r="D114" s="82" t="s">
        <v>196</v>
      </c>
      <c r="E114" s="82" t="s">
        <v>309</v>
      </c>
      <c r="F114" s="82" t="s">
        <v>549</v>
      </c>
      <c r="G114" s="82" t="s">
        <v>137</v>
      </c>
      <c r="H114" s="82" t="s">
        <v>137</v>
      </c>
      <c r="I114" s="82" t="s">
        <v>66</v>
      </c>
      <c r="J114" s="82" t="s">
        <v>29</v>
      </c>
      <c r="K114" s="92" t="s">
        <v>137</v>
      </c>
      <c r="L114" s="92" t="s">
        <v>137</v>
      </c>
      <c r="M114" s="92" t="s">
        <v>137</v>
      </c>
      <c r="N114" s="92" t="s">
        <v>137</v>
      </c>
      <c r="O114" s="92" t="s">
        <v>137</v>
      </c>
      <c r="P114" s="92" t="s">
        <v>137</v>
      </c>
      <c r="Q114" s="82" t="s">
        <v>87</v>
      </c>
      <c r="R114" s="82" t="s">
        <v>714</v>
      </c>
      <c r="S114" s="82" t="s">
        <v>40</v>
      </c>
      <c r="T114" s="82" t="s">
        <v>2</v>
      </c>
      <c r="U114" s="83"/>
      <c r="V114" s="83">
        <v>0.05</v>
      </c>
      <c r="W114" s="83">
        <v>0.08</v>
      </c>
      <c r="X114" s="83">
        <v>0.15</v>
      </c>
      <c r="Y114" s="83">
        <v>0.2</v>
      </c>
      <c r="Z114" s="83">
        <v>0.25</v>
      </c>
      <c r="AA114" s="83">
        <v>0.37</v>
      </c>
      <c r="AB114" s="83">
        <v>0.42</v>
      </c>
      <c r="AC114" s="83">
        <v>0.57999999999999996</v>
      </c>
      <c r="AD114" s="83">
        <v>0.67</v>
      </c>
      <c r="AE114" s="83">
        <v>0.83</v>
      </c>
      <c r="AF114" s="83">
        <v>1</v>
      </c>
      <c r="AG114" s="82" t="s">
        <v>532</v>
      </c>
      <c r="AH114" s="82" t="s">
        <v>529</v>
      </c>
      <c r="AI114" s="88" t="s">
        <v>538</v>
      </c>
      <c r="AJ114" s="89" t="s">
        <v>538</v>
      </c>
      <c r="AK114" s="90">
        <v>46023</v>
      </c>
      <c r="AL114" s="90">
        <v>46387</v>
      </c>
      <c r="AM114" s="89"/>
      <c r="AN114" s="89"/>
      <c r="AO114" s="89"/>
      <c r="AP114" s="91" t="s">
        <v>539</v>
      </c>
      <c r="AQ114" s="90" cm="1">
        <f t="array" ref="AQ114">IFERROR(DATE(2026, _xlfn.AGGREGATE(15, 6, (COLUMN(BY114:CJ114)-COLUMN(BY114)+1)/(BY114:CJ114&lt;&gt;0), 1), 1),"N/A")</f>
        <v>46235</v>
      </c>
      <c r="AR114" s="90" cm="1">
        <f t="array" ref="AR114">IFERROR(EOMONTH(DATE(2026, _xlfn.AGGREGATE(14, 6, (COLUMN(BY114:CJ114)-COLUMN(BY114)+1)/(BY114:CJ114&lt;&gt;0), 1), 1), 0),"N/A")</f>
        <v>46265</v>
      </c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2" t="s">
        <v>1090</v>
      </c>
      <c r="BF114" s="82" t="s">
        <v>1091</v>
      </c>
      <c r="BG114" s="82" t="str">
        <f t="shared" si="6"/>
        <v>000</v>
      </c>
      <c r="BH114" s="88">
        <v>530701</v>
      </c>
      <c r="BI114" s="92" t="s">
        <v>74</v>
      </c>
      <c r="BJ114" s="93">
        <v>0</v>
      </c>
      <c r="BK114" s="74"/>
      <c r="BL114" s="74"/>
      <c r="BM114" s="74"/>
      <c r="BN114" s="74"/>
      <c r="BO114" s="74"/>
      <c r="BP114" s="74"/>
      <c r="BQ114" s="74"/>
      <c r="BR114" s="74"/>
      <c r="BS114" s="94"/>
      <c r="BT114" s="74"/>
      <c r="BU114" s="74"/>
      <c r="BV114" s="143"/>
      <c r="BW114" s="143">
        <v>60000</v>
      </c>
      <c r="BX114" s="143">
        <f t="shared" si="11"/>
        <v>60000</v>
      </c>
      <c r="BY114" s="74"/>
      <c r="BZ114" s="74"/>
      <c r="CA114" s="74"/>
      <c r="CB114" s="74"/>
      <c r="CC114" s="74"/>
      <c r="CD114" s="74"/>
      <c r="CE114" s="74"/>
      <c r="CF114" s="74">
        <v>60000</v>
      </c>
      <c r="CG114" s="94"/>
      <c r="CH114" s="74"/>
      <c r="CI114" s="74"/>
      <c r="CJ114" s="143"/>
      <c r="CK114" s="143"/>
      <c r="CL114" s="142">
        <f t="shared" si="7"/>
        <v>0</v>
      </c>
      <c r="CM114" s="171">
        <v>0</v>
      </c>
      <c r="CN114" s="171">
        <v>0</v>
      </c>
      <c r="CO114" s="171">
        <v>0</v>
      </c>
      <c r="CP114" s="171">
        <v>0</v>
      </c>
      <c r="CQ114" s="171">
        <v>0</v>
      </c>
      <c r="CR114" s="171">
        <v>0</v>
      </c>
      <c r="CS114" s="171">
        <f t="shared" si="8"/>
        <v>0</v>
      </c>
      <c r="CT114" s="171">
        <f t="shared" si="9"/>
        <v>0</v>
      </c>
      <c r="CU114" s="171">
        <f t="shared" si="10"/>
        <v>0</v>
      </c>
      <c r="CV114" s="149"/>
      <c r="CW114" s="149">
        <v>60000</v>
      </c>
      <c r="CX114" s="130"/>
      <c r="CY114" s="130">
        <v>2</v>
      </c>
      <c r="CZ114" s="130"/>
      <c r="DA114" s="130"/>
      <c r="DB114" s="130"/>
      <c r="DC114" s="130"/>
      <c r="DD114" s="130"/>
      <c r="DE114" s="131"/>
      <c r="DF114" s="131"/>
      <c r="DG114" s="132"/>
      <c r="DH114" s="131"/>
      <c r="DI114" s="131"/>
      <c r="DJ114" s="131"/>
      <c r="DK114" s="131"/>
      <c r="DL114" s="131"/>
      <c r="DM114" s="131"/>
      <c r="DN114" s="131"/>
      <c r="DO114" s="131"/>
      <c r="DP114" s="131"/>
      <c r="DQ114" s="131"/>
      <c r="DR114" s="132"/>
      <c r="DS114" s="131"/>
      <c r="DT114" s="131"/>
      <c r="DU114" s="131"/>
      <c r="DV114" s="131"/>
      <c r="DW114" s="131"/>
      <c r="DX114" s="131"/>
      <c r="DY114" s="131"/>
      <c r="DZ114" s="132"/>
      <c r="EA114" s="132"/>
      <c r="EB114" s="132"/>
      <c r="EC114" s="132"/>
      <c r="ED114" s="131"/>
      <c r="EE114" s="131"/>
      <c r="EF114" s="131"/>
      <c r="EG114" s="131"/>
      <c r="EH114" s="131"/>
      <c r="EI114" s="131"/>
      <c r="EJ114" s="131"/>
      <c r="EK114" s="131"/>
      <c r="EL114" s="132"/>
      <c r="EM114" s="133"/>
      <c r="EN114" s="133"/>
      <c r="EO114" s="133"/>
      <c r="EP114" s="133"/>
      <c r="EQ114" s="133"/>
      <c r="ER114" s="133"/>
      <c r="ES114" s="133"/>
      <c r="ET114" s="133"/>
      <c r="EU114" s="133"/>
      <c r="EV114" s="134"/>
      <c r="EW114" s="133"/>
      <c r="EX114" s="133"/>
      <c r="EY114" s="135"/>
      <c r="EZ114" s="132"/>
      <c r="FA114" s="136"/>
      <c r="FB114" s="203">
        <v>46162</v>
      </c>
      <c r="FC114" s="203">
        <v>46162</v>
      </c>
      <c r="FD114" s="203">
        <v>46163</v>
      </c>
      <c r="FE114" s="203">
        <v>46163</v>
      </c>
      <c r="FF114" s="203">
        <v>46163</v>
      </c>
      <c r="FG114" s="203">
        <v>46164</v>
      </c>
      <c r="FH114" s="203">
        <v>46167</v>
      </c>
      <c r="FI114" s="203">
        <v>46168</v>
      </c>
      <c r="FJ114" s="203">
        <v>46169</v>
      </c>
      <c r="FK114" s="203">
        <v>46170</v>
      </c>
      <c r="FL114" s="203">
        <v>46171</v>
      </c>
      <c r="FM114" s="203">
        <v>46171</v>
      </c>
      <c r="FN114" s="203">
        <v>46174</v>
      </c>
      <c r="FO114" s="203">
        <v>46175</v>
      </c>
      <c r="FP114" s="203">
        <v>46176</v>
      </c>
      <c r="FQ114" s="203">
        <v>46177</v>
      </c>
      <c r="FR114" s="203">
        <v>46177</v>
      </c>
      <c r="FS114" s="203">
        <v>46178</v>
      </c>
      <c r="FT114" s="203">
        <v>46178</v>
      </c>
      <c r="FU114" s="203"/>
      <c r="FV114" s="203"/>
      <c r="FW114" s="203"/>
      <c r="FX114" s="203"/>
      <c r="FY114" s="203">
        <v>46181</v>
      </c>
      <c r="FZ114" s="203">
        <v>46182</v>
      </c>
      <c r="GA114" s="203">
        <v>46182</v>
      </c>
      <c r="GB114" s="203">
        <v>46183</v>
      </c>
      <c r="GC114" s="203">
        <v>46184</v>
      </c>
      <c r="GD114" s="203">
        <v>46185</v>
      </c>
      <c r="GE114" s="203">
        <v>46188</v>
      </c>
      <c r="GF114" s="203">
        <v>46188</v>
      </c>
      <c r="GG114" s="203">
        <v>18</v>
      </c>
      <c r="GH114" s="203">
        <v>46190</v>
      </c>
      <c r="GI114" s="203">
        <v>46192</v>
      </c>
      <c r="GJ114" s="203">
        <v>46196</v>
      </c>
      <c r="GK114" s="203">
        <v>46197</v>
      </c>
      <c r="GL114" s="203">
        <v>46198</v>
      </c>
      <c r="GM114" s="203">
        <v>46202</v>
      </c>
      <c r="GN114" s="203">
        <v>46203</v>
      </c>
      <c r="GO114" s="203">
        <v>46203</v>
      </c>
      <c r="GP114" s="203">
        <v>46206</v>
      </c>
      <c r="GQ114" s="203">
        <v>46211</v>
      </c>
      <c r="GR114" s="187"/>
      <c r="GS114" s="187" t="s">
        <v>1180</v>
      </c>
      <c r="GT114" s="187" t="s">
        <v>887</v>
      </c>
      <c r="GU114" s="187" t="s">
        <v>876</v>
      </c>
      <c r="GV114" s="187" t="s">
        <v>1174</v>
      </c>
    </row>
    <row r="115" spans="1:204" s="68" customFormat="1" ht="14.45" customHeight="1" x14ac:dyDescent="0.25">
      <c r="A115" s="68" t="s">
        <v>692</v>
      </c>
      <c r="B115" s="82" t="s">
        <v>154</v>
      </c>
      <c r="C115" s="82" t="s">
        <v>172</v>
      </c>
      <c r="D115" s="82" t="s">
        <v>196</v>
      </c>
      <c r="E115" s="82" t="s">
        <v>309</v>
      </c>
      <c r="F115" s="82" t="s">
        <v>549</v>
      </c>
      <c r="G115" s="82" t="s">
        <v>137</v>
      </c>
      <c r="H115" s="82" t="s">
        <v>137</v>
      </c>
      <c r="I115" s="82" t="s">
        <v>66</v>
      </c>
      <c r="J115" s="82" t="s">
        <v>29</v>
      </c>
      <c r="K115" s="92" t="s">
        <v>137</v>
      </c>
      <c r="L115" s="92" t="s">
        <v>137</v>
      </c>
      <c r="M115" s="92" t="s">
        <v>137</v>
      </c>
      <c r="N115" s="92" t="s">
        <v>137</v>
      </c>
      <c r="O115" s="92" t="s">
        <v>137</v>
      </c>
      <c r="P115" s="92" t="s">
        <v>137</v>
      </c>
      <c r="Q115" s="82" t="s">
        <v>87</v>
      </c>
      <c r="R115" s="82" t="s">
        <v>714</v>
      </c>
      <c r="S115" s="82" t="s">
        <v>40</v>
      </c>
      <c r="T115" s="82" t="s">
        <v>2</v>
      </c>
      <c r="U115" s="83"/>
      <c r="V115" s="83">
        <v>0.05</v>
      </c>
      <c r="W115" s="83">
        <v>0.08</v>
      </c>
      <c r="X115" s="83">
        <v>0.15</v>
      </c>
      <c r="Y115" s="83">
        <v>0.2</v>
      </c>
      <c r="Z115" s="83">
        <v>0.25</v>
      </c>
      <c r="AA115" s="83">
        <v>0.37</v>
      </c>
      <c r="AB115" s="83">
        <v>0.42</v>
      </c>
      <c r="AC115" s="83">
        <v>0.57999999999999996</v>
      </c>
      <c r="AD115" s="83">
        <v>0.67</v>
      </c>
      <c r="AE115" s="83">
        <v>0.83</v>
      </c>
      <c r="AF115" s="83">
        <v>1</v>
      </c>
      <c r="AG115" s="82" t="s">
        <v>532</v>
      </c>
      <c r="AH115" s="82" t="s">
        <v>529</v>
      </c>
      <c r="AI115" s="88" t="s">
        <v>538</v>
      </c>
      <c r="AJ115" s="89" t="s">
        <v>538</v>
      </c>
      <c r="AK115" s="90">
        <v>46023</v>
      </c>
      <c r="AL115" s="90">
        <v>46387</v>
      </c>
      <c r="AM115" s="89"/>
      <c r="AN115" s="89"/>
      <c r="AO115" s="89"/>
      <c r="AP115" s="91" t="s">
        <v>539</v>
      </c>
      <c r="AQ115" s="90" cm="1">
        <f t="array" ref="AQ115">IFERROR(DATE(2026, _xlfn.AGGREGATE(15, 6, (COLUMN(BY115:CJ115)-COLUMN(BY115)+1)/(BY115:CJ115&lt;&gt;0), 1), 1),"N/A")</f>
        <v>46174</v>
      </c>
      <c r="AR115" s="90" cm="1">
        <f t="array" ref="AR115">IFERROR(EOMONTH(DATE(2026, _xlfn.AGGREGATE(14, 6, (COLUMN(BY115:CJ115)-COLUMN(BY115)+1)/(BY115:CJ115&lt;&gt;0), 1), 1), 0),"N/A")</f>
        <v>46203</v>
      </c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/>
      <c r="BE115" s="82" t="s">
        <v>678</v>
      </c>
      <c r="BF115" s="82" t="s">
        <v>996</v>
      </c>
      <c r="BG115" s="82" t="str">
        <f t="shared" si="6"/>
        <v>000</v>
      </c>
      <c r="BH115" s="88">
        <v>530404</v>
      </c>
      <c r="BI115" s="92" t="s">
        <v>74</v>
      </c>
      <c r="BJ115" s="93">
        <f>80000-5400</f>
        <v>74600</v>
      </c>
      <c r="BK115" s="74">
        <v>0</v>
      </c>
      <c r="BL115" s="74">
        <v>0</v>
      </c>
      <c r="BM115" s="74">
        <v>0</v>
      </c>
      <c r="BN115" s="74">
        <v>0</v>
      </c>
      <c r="BO115" s="74">
        <v>0</v>
      </c>
      <c r="BP115" s="94">
        <v>74600</v>
      </c>
      <c r="BQ115" s="74">
        <v>0</v>
      </c>
      <c r="BR115" s="74">
        <v>0</v>
      </c>
      <c r="BS115" s="74">
        <v>0</v>
      </c>
      <c r="BT115" s="74">
        <v>0</v>
      </c>
      <c r="BU115" s="74">
        <v>0</v>
      </c>
      <c r="BV115" s="143">
        <v>0</v>
      </c>
      <c r="BW115" s="143"/>
      <c r="BX115" s="143">
        <f t="shared" si="11"/>
        <v>74600</v>
      </c>
      <c r="BY115" s="74">
        <v>0</v>
      </c>
      <c r="BZ115" s="74">
        <v>0</v>
      </c>
      <c r="CA115" s="74">
        <v>0</v>
      </c>
      <c r="CB115" s="74">
        <v>0</v>
      </c>
      <c r="CC115" s="74">
        <v>0</v>
      </c>
      <c r="CD115" s="94">
        <v>74600</v>
      </c>
      <c r="CE115" s="74">
        <v>0</v>
      </c>
      <c r="CF115" s="74">
        <v>0</v>
      </c>
      <c r="CG115" s="74">
        <v>0</v>
      </c>
      <c r="CH115" s="74">
        <v>0</v>
      </c>
      <c r="CI115" s="74">
        <v>0</v>
      </c>
      <c r="CJ115" s="143">
        <v>0</v>
      </c>
      <c r="CK115" s="143"/>
      <c r="CL115" s="142">
        <f t="shared" si="7"/>
        <v>0</v>
      </c>
      <c r="CM115" s="171">
        <v>0</v>
      </c>
      <c r="CN115" s="171">
        <v>0</v>
      </c>
      <c r="CO115" s="171">
        <v>0</v>
      </c>
      <c r="CP115" s="171">
        <v>0</v>
      </c>
      <c r="CQ115" s="171">
        <v>0</v>
      </c>
      <c r="CR115" s="171">
        <v>0</v>
      </c>
      <c r="CS115" s="171">
        <f t="shared" si="8"/>
        <v>0</v>
      </c>
      <c r="CT115" s="171">
        <f t="shared" si="9"/>
        <v>0</v>
      </c>
      <c r="CU115" s="171">
        <f t="shared" si="10"/>
        <v>0</v>
      </c>
      <c r="CV115" s="149"/>
      <c r="CW115" s="149"/>
      <c r="CX115" s="130"/>
      <c r="CY115" s="130"/>
      <c r="CZ115" s="130"/>
      <c r="DA115" s="130"/>
      <c r="DB115" s="130"/>
      <c r="DC115" s="130"/>
      <c r="DD115" s="130"/>
      <c r="DE115" s="130"/>
      <c r="DF115" s="130"/>
      <c r="DG115" s="130"/>
      <c r="DH115" s="130"/>
      <c r="DI115" s="130"/>
      <c r="DJ115" s="130"/>
      <c r="DK115" s="130"/>
      <c r="DL115" s="130"/>
      <c r="DM115" s="130"/>
      <c r="DN115" s="130"/>
      <c r="DO115" s="130"/>
      <c r="DP115" s="130"/>
      <c r="DQ115" s="130"/>
      <c r="DR115" s="130"/>
      <c r="DS115" s="130"/>
      <c r="DT115" s="130"/>
      <c r="DU115" s="130"/>
      <c r="DV115" s="130"/>
      <c r="DW115" s="130"/>
      <c r="DX115" s="130"/>
      <c r="DY115" s="130"/>
      <c r="DZ115" s="130"/>
      <c r="EA115" s="130"/>
      <c r="EB115" s="130"/>
      <c r="EC115" s="130"/>
      <c r="ED115" s="130"/>
      <c r="EE115" s="130"/>
      <c r="EF115" s="130"/>
      <c r="EG115" s="130"/>
      <c r="EH115" s="130"/>
      <c r="EI115" s="130"/>
      <c r="EJ115" s="130"/>
      <c r="EK115" s="130"/>
      <c r="EL115" s="130"/>
      <c r="EM115" s="130"/>
      <c r="EN115" s="130"/>
      <c r="EO115" s="130"/>
      <c r="EP115" s="130"/>
      <c r="EQ115" s="130"/>
      <c r="ER115" s="130"/>
      <c r="ES115" s="130"/>
      <c r="ET115" s="130"/>
      <c r="EU115" s="130"/>
      <c r="EV115" s="130"/>
      <c r="EW115" s="130"/>
      <c r="EX115" s="130"/>
      <c r="EY115" s="130"/>
      <c r="EZ115" s="130"/>
      <c r="FA115" s="130"/>
      <c r="FB115" s="201"/>
      <c r="FC115" s="201"/>
      <c r="FD115" s="201"/>
      <c r="FE115" s="201"/>
      <c r="FF115" s="201"/>
      <c r="FG115" s="201"/>
      <c r="FH115" s="201"/>
      <c r="FI115" s="201"/>
      <c r="FJ115" s="201"/>
      <c r="FK115" s="201"/>
      <c r="FL115" s="201"/>
      <c r="FM115" s="201"/>
      <c r="FN115" s="201"/>
      <c r="FO115" s="201"/>
      <c r="FP115" s="201"/>
      <c r="FQ115" s="201"/>
      <c r="FR115" s="201"/>
      <c r="FS115" s="201"/>
      <c r="FT115" s="201"/>
      <c r="FU115" s="201"/>
      <c r="FV115" s="201"/>
      <c r="FW115" s="201"/>
      <c r="FX115" s="201"/>
      <c r="FY115" s="201"/>
      <c r="FZ115" s="201"/>
      <c r="GA115" s="201"/>
      <c r="GB115" s="201"/>
      <c r="GC115" s="201"/>
      <c r="GD115" s="201"/>
      <c r="GE115" s="201"/>
      <c r="GF115" s="201"/>
      <c r="GG115" s="201"/>
      <c r="GH115" s="201"/>
      <c r="GI115" s="201"/>
      <c r="GJ115" s="201"/>
      <c r="GK115" s="201"/>
      <c r="GL115" s="201"/>
      <c r="GM115" s="201"/>
      <c r="GN115" s="201"/>
      <c r="GO115" s="201"/>
      <c r="GP115" s="201"/>
      <c r="GQ115" s="201"/>
    </row>
    <row r="116" spans="1:204" s="68" customFormat="1" ht="14.45" customHeight="1" x14ac:dyDescent="0.25">
      <c r="A116" s="68" t="s">
        <v>693</v>
      </c>
      <c r="B116" s="82" t="s">
        <v>154</v>
      </c>
      <c r="C116" s="82" t="s">
        <v>172</v>
      </c>
      <c r="D116" s="82" t="s">
        <v>196</v>
      </c>
      <c r="E116" s="82" t="s">
        <v>309</v>
      </c>
      <c r="F116" s="82" t="s">
        <v>549</v>
      </c>
      <c r="G116" s="82" t="s">
        <v>137</v>
      </c>
      <c r="H116" s="82" t="s">
        <v>137</v>
      </c>
      <c r="I116" s="82" t="s">
        <v>66</v>
      </c>
      <c r="J116" s="82" t="s">
        <v>29</v>
      </c>
      <c r="K116" s="92" t="s">
        <v>137</v>
      </c>
      <c r="L116" s="92" t="s">
        <v>137</v>
      </c>
      <c r="M116" s="92" t="s">
        <v>137</v>
      </c>
      <c r="N116" s="92" t="s">
        <v>137</v>
      </c>
      <c r="O116" s="92" t="s">
        <v>137</v>
      </c>
      <c r="P116" s="92" t="s">
        <v>137</v>
      </c>
      <c r="Q116" s="82" t="s">
        <v>87</v>
      </c>
      <c r="R116" s="82" t="s">
        <v>714</v>
      </c>
      <c r="S116" s="82" t="s">
        <v>40</v>
      </c>
      <c r="T116" s="82" t="s">
        <v>2</v>
      </c>
      <c r="U116" s="83"/>
      <c r="V116" s="83">
        <v>0.05</v>
      </c>
      <c r="W116" s="83">
        <v>0.08</v>
      </c>
      <c r="X116" s="83">
        <v>0.15</v>
      </c>
      <c r="Y116" s="83">
        <v>0.2</v>
      </c>
      <c r="Z116" s="83">
        <v>0.25</v>
      </c>
      <c r="AA116" s="83">
        <v>0.37</v>
      </c>
      <c r="AB116" s="83">
        <v>0.42</v>
      </c>
      <c r="AC116" s="83">
        <v>0.57999999999999996</v>
      </c>
      <c r="AD116" s="83">
        <v>0.67</v>
      </c>
      <c r="AE116" s="83">
        <v>0.83</v>
      </c>
      <c r="AF116" s="83">
        <v>1</v>
      </c>
      <c r="AG116" s="82" t="s">
        <v>532</v>
      </c>
      <c r="AH116" s="82" t="s">
        <v>529</v>
      </c>
      <c r="AI116" s="88" t="s">
        <v>538</v>
      </c>
      <c r="AJ116" s="89" t="s">
        <v>538</v>
      </c>
      <c r="AK116" s="90">
        <v>46023</v>
      </c>
      <c r="AL116" s="90">
        <v>46387</v>
      </c>
      <c r="AM116" s="89"/>
      <c r="AN116" s="89"/>
      <c r="AO116" s="89"/>
      <c r="AP116" s="91" t="s">
        <v>539</v>
      </c>
      <c r="AQ116" s="90" cm="1">
        <f t="array" ref="AQ116">IFERROR(DATE(2026, _xlfn.AGGREGATE(15, 6, (COLUMN(BY116:CJ116)-COLUMN(BY116)+1)/(BY116:CJ116&lt;&gt;0), 1), 1),"N/A")</f>
        <v>46296</v>
      </c>
      <c r="AR116" s="90" cm="1">
        <f t="array" ref="AR116">IFERROR(EOMONTH(DATE(2026, _xlfn.AGGREGATE(14, 6, (COLUMN(BY116:CJ116)-COLUMN(BY116)+1)/(BY116:CJ116&lt;&gt;0), 1), 1), 0),"N/A")</f>
        <v>46326</v>
      </c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/>
      <c r="BE116" s="82" t="s">
        <v>612</v>
      </c>
      <c r="BF116" s="82" t="s">
        <v>762</v>
      </c>
      <c r="BG116" s="82" t="str">
        <f t="shared" si="6"/>
        <v>000</v>
      </c>
      <c r="BH116" s="88">
        <v>530404</v>
      </c>
      <c r="BI116" s="92" t="s">
        <v>74</v>
      </c>
      <c r="BJ116" s="93">
        <v>3500</v>
      </c>
      <c r="BK116" s="74">
        <v>0</v>
      </c>
      <c r="BL116" s="74">
        <v>0</v>
      </c>
      <c r="BM116" s="74">
        <v>0</v>
      </c>
      <c r="BN116" s="74">
        <v>0</v>
      </c>
      <c r="BO116" s="74">
        <v>0</v>
      </c>
      <c r="BP116" s="74">
        <v>0</v>
      </c>
      <c r="BQ116" s="74">
        <v>0</v>
      </c>
      <c r="BR116" s="74">
        <v>0</v>
      </c>
      <c r="BS116" s="74">
        <v>0</v>
      </c>
      <c r="BT116" s="94">
        <v>3500</v>
      </c>
      <c r="BU116" s="74">
        <v>0</v>
      </c>
      <c r="BV116" s="143">
        <v>0</v>
      </c>
      <c r="BW116" s="143"/>
      <c r="BX116" s="143">
        <f t="shared" si="11"/>
        <v>3500</v>
      </c>
      <c r="BY116" s="74">
        <v>0</v>
      </c>
      <c r="BZ116" s="74">
        <v>0</v>
      </c>
      <c r="CA116" s="74">
        <v>0</v>
      </c>
      <c r="CB116" s="74">
        <v>0</v>
      </c>
      <c r="CC116" s="74">
        <v>0</v>
      </c>
      <c r="CD116" s="74">
        <v>0</v>
      </c>
      <c r="CE116" s="74">
        <v>0</v>
      </c>
      <c r="CF116" s="74">
        <v>0</v>
      </c>
      <c r="CG116" s="74">
        <v>0</v>
      </c>
      <c r="CH116" s="94">
        <v>3500</v>
      </c>
      <c r="CI116" s="74">
        <v>0</v>
      </c>
      <c r="CJ116" s="143">
        <v>0</v>
      </c>
      <c r="CK116" s="143"/>
      <c r="CL116" s="142">
        <f t="shared" si="7"/>
        <v>0</v>
      </c>
      <c r="CM116" s="171">
        <v>0</v>
      </c>
      <c r="CN116" s="171">
        <v>0</v>
      </c>
      <c r="CO116" s="171">
        <v>0</v>
      </c>
      <c r="CP116" s="171">
        <v>0</v>
      </c>
      <c r="CQ116" s="171">
        <v>0</v>
      </c>
      <c r="CR116" s="171">
        <v>0</v>
      </c>
      <c r="CS116" s="171">
        <f t="shared" si="8"/>
        <v>0</v>
      </c>
      <c r="CT116" s="171">
        <f t="shared" si="9"/>
        <v>0</v>
      </c>
      <c r="CU116" s="171">
        <f t="shared" si="10"/>
        <v>0</v>
      </c>
      <c r="CV116" s="149">
        <v>3500</v>
      </c>
      <c r="CW116" s="149">
        <v>3500</v>
      </c>
      <c r="CX116" s="130">
        <v>3</v>
      </c>
      <c r="CY116" s="130">
        <v>3</v>
      </c>
      <c r="CZ116" s="130"/>
      <c r="DA116" s="130"/>
      <c r="DB116" s="130"/>
      <c r="DC116" s="130"/>
      <c r="DD116" s="130"/>
      <c r="DE116" s="131">
        <v>46254</v>
      </c>
      <c r="DF116" s="131">
        <v>46254</v>
      </c>
      <c r="DG116" s="132">
        <v>2</v>
      </c>
      <c r="DH116" s="131">
        <v>46255</v>
      </c>
      <c r="DI116" s="131">
        <v>46255</v>
      </c>
      <c r="DJ116" s="131">
        <v>46255</v>
      </c>
      <c r="DK116" s="131">
        <v>46258</v>
      </c>
      <c r="DL116" s="131">
        <v>46259</v>
      </c>
      <c r="DM116" s="131">
        <v>46260</v>
      </c>
      <c r="DN116" s="131">
        <v>46261</v>
      </c>
      <c r="DO116" s="131">
        <v>46262</v>
      </c>
      <c r="DP116" s="131">
        <v>46265</v>
      </c>
      <c r="DQ116" s="131">
        <v>46265</v>
      </c>
      <c r="DR116" s="132">
        <v>2</v>
      </c>
      <c r="DS116" s="131">
        <v>46266</v>
      </c>
      <c r="DT116" s="131">
        <v>46267</v>
      </c>
      <c r="DU116" s="131">
        <v>46268</v>
      </c>
      <c r="DV116" s="131">
        <v>46269</v>
      </c>
      <c r="DW116" s="131">
        <v>46269</v>
      </c>
      <c r="DX116" s="131">
        <v>46272</v>
      </c>
      <c r="DY116" s="131">
        <v>46272</v>
      </c>
      <c r="DZ116" s="132"/>
      <c r="EA116" s="132"/>
      <c r="EB116" s="132"/>
      <c r="EC116" s="132"/>
      <c r="ED116" s="131">
        <v>46273</v>
      </c>
      <c r="EE116" s="131">
        <v>46274</v>
      </c>
      <c r="EF116" s="131">
        <v>46274</v>
      </c>
      <c r="EG116" s="131"/>
      <c r="EH116" s="131"/>
      <c r="EI116" s="131"/>
      <c r="EJ116" s="131">
        <v>46274</v>
      </c>
      <c r="EK116" s="131">
        <v>46280</v>
      </c>
      <c r="EL116" s="132">
        <v>18</v>
      </c>
      <c r="EM116" s="133"/>
      <c r="EN116" s="133"/>
      <c r="EO116" s="133"/>
      <c r="EP116" s="133"/>
      <c r="EQ116" s="133"/>
      <c r="ER116" s="133"/>
      <c r="ES116" s="133"/>
      <c r="ET116" s="133"/>
      <c r="EU116" s="133"/>
      <c r="EV116" s="134"/>
      <c r="EW116" s="133">
        <v>46280</v>
      </c>
      <c r="EX116" s="133"/>
      <c r="EY116" s="135" t="s">
        <v>854</v>
      </c>
      <c r="EZ116" s="137" t="s">
        <v>874</v>
      </c>
      <c r="FA116" s="136" t="s">
        <v>875</v>
      </c>
      <c r="FB116" s="203">
        <v>46254</v>
      </c>
      <c r="FC116" s="203">
        <v>46254</v>
      </c>
      <c r="FD116" s="203">
        <v>46255</v>
      </c>
      <c r="FE116" s="203">
        <v>46255</v>
      </c>
      <c r="FF116" s="203">
        <v>46255</v>
      </c>
      <c r="FG116" s="203">
        <v>46258</v>
      </c>
      <c r="FH116" s="203">
        <v>46259</v>
      </c>
      <c r="FI116" s="203">
        <v>46260</v>
      </c>
      <c r="FJ116" s="203">
        <v>46261</v>
      </c>
      <c r="FK116" s="203">
        <v>46262</v>
      </c>
      <c r="FL116" s="203">
        <v>46265</v>
      </c>
      <c r="FM116" s="203">
        <v>46265</v>
      </c>
      <c r="FN116" s="203">
        <v>46266</v>
      </c>
      <c r="FO116" s="203">
        <v>46267</v>
      </c>
      <c r="FP116" s="203">
        <v>46268</v>
      </c>
      <c r="FQ116" s="203">
        <v>46269</v>
      </c>
      <c r="FR116" s="203">
        <v>46269</v>
      </c>
      <c r="FS116" s="203">
        <v>46272</v>
      </c>
      <c r="FT116" s="203">
        <v>46272</v>
      </c>
      <c r="FU116" s="203"/>
      <c r="FV116" s="203"/>
      <c r="FW116" s="203"/>
      <c r="FX116" s="203"/>
      <c r="FY116" s="203">
        <v>46273</v>
      </c>
      <c r="FZ116" s="203">
        <v>46274</v>
      </c>
      <c r="GA116" s="203">
        <v>46274</v>
      </c>
      <c r="GB116" s="203"/>
      <c r="GC116" s="203"/>
      <c r="GD116" s="203"/>
      <c r="GE116" s="203">
        <v>46274</v>
      </c>
      <c r="GF116" s="203">
        <v>46280</v>
      </c>
      <c r="GG116" s="203">
        <v>18</v>
      </c>
      <c r="GH116" s="203"/>
      <c r="GI116" s="203"/>
      <c r="GJ116" s="203"/>
      <c r="GK116" s="203"/>
      <c r="GL116" s="203"/>
      <c r="GM116" s="203"/>
      <c r="GN116" s="203"/>
      <c r="GO116" s="203"/>
      <c r="GP116" s="203"/>
      <c r="GQ116" s="203">
        <v>46280</v>
      </c>
      <c r="GR116" s="187"/>
      <c r="GS116" s="187" t="s">
        <v>1181</v>
      </c>
      <c r="GT116" s="187" t="s">
        <v>854</v>
      </c>
      <c r="GU116" s="187" t="s">
        <v>874</v>
      </c>
      <c r="GV116" s="187" t="s">
        <v>1176</v>
      </c>
    </row>
    <row r="117" spans="1:204" s="68" customFormat="1" ht="14.45" customHeight="1" x14ac:dyDescent="0.25">
      <c r="A117" s="68" t="s">
        <v>693</v>
      </c>
      <c r="B117" s="82" t="s">
        <v>154</v>
      </c>
      <c r="C117" s="82" t="s">
        <v>172</v>
      </c>
      <c r="D117" s="82" t="s">
        <v>196</v>
      </c>
      <c r="E117" s="82" t="s">
        <v>309</v>
      </c>
      <c r="F117" s="82" t="s">
        <v>549</v>
      </c>
      <c r="G117" s="82" t="s">
        <v>137</v>
      </c>
      <c r="H117" s="82" t="s">
        <v>137</v>
      </c>
      <c r="I117" s="82" t="s">
        <v>66</v>
      </c>
      <c r="J117" s="82" t="s">
        <v>29</v>
      </c>
      <c r="K117" s="92" t="s">
        <v>137</v>
      </c>
      <c r="L117" s="92" t="s">
        <v>137</v>
      </c>
      <c r="M117" s="92" t="s">
        <v>137</v>
      </c>
      <c r="N117" s="92" t="s">
        <v>137</v>
      </c>
      <c r="O117" s="92" t="s">
        <v>137</v>
      </c>
      <c r="P117" s="92" t="s">
        <v>137</v>
      </c>
      <c r="Q117" s="82" t="s">
        <v>87</v>
      </c>
      <c r="R117" s="82" t="s">
        <v>714</v>
      </c>
      <c r="S117" s="82" t="s">
        <v>40</v>
      </c>
      <c r="T117" s="82" t="s">
        <v>2</v>
      </c>
      <c r="U117" s="83"/>
      <c r="V117" s="83">
        <v>0.05</v>
      </c>
      <c r="W117" s="83">
        <v>0.08</v>
      </c>
      <c r="X117" s="83">
        <v>0.15</v>
      </c>
      <c r="Y117" s="83">
        <v>0.2</v>
      </c>
      <c r="Z117" s="83">
        <v>0.25</v>
      </c>
      <c r="AA117" s="83">
        <v>0.37</v>
      </c>
      <c r="AB117" s="83">
        <v>0.42</v>
      </c>
      <c r="AC117" s="83">
        <v>0.57999999999999996</v>
      </c>
      <c r="AD117" s="83">
        <v>0.67</v>
      </c>
      <c r="AE117" s="83">
        <v>0.83</v>
      </c>
      <c r="AF117" s="83">
        <v>1</v>
      </c>
      <c r="AG117" s="82" t="s">
        <v>532</v>
      </c>
      <c r="AH117" s="82" t="s">
        <v>529</v>
      </c>
      <c r="AI117" s="88" t="s">
        <v>538</v>
      </c>
      <c r="AJ117" s="89" t="s">
        <v>538</v>
      </c>
      <c r="AK117" s="90">
        <v>46023</v>
      </c>
      <c r="AL117" s="90">
        <v>46387</v>
      </c>
      <c r="AM117" s="89"/>
      <c r="AN117" s="89"/>
      <c r="AO117" s="89"/>
      <c r="AP117" s="91" t="s">
        <v>539</v>
      </c>
      <c r="AQ117" s="90" t="str" cm="1">
        <f t="array" ref="AQ117">IFERROR(DATE(2026, _xlfn.AGGREGATE(15, 6, (COLUMN(BY117:CJ117)-COLUMN(BY117)+1)/(BY117:CJ117&lt;&gt;0), 1), 1),"N/A")</f>
        <v>N/A</v>
      </c>
      <c r="AR117" s="90" t="str" cm="1">
        <f t="array" ref="AR117">IFERROR(EOMONTH(DATE(2026, _xlfn.AGGREGATE(14, 6, (COLUMN(BY117:CJ117)-COLUMN(BY117)+1)/(BY117:CJ117&lt;&gt;0), 1), 1), 0),"N/A")</f>
        <v>N/A</v>
      </c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2" t="s">
        <v>609</v>
      </c>
      <c r="BF117" s="82" t="s">
        <v>963</v>
      </c>
      <c r="BG117" s="82" t="str">
        <f t="shared" si="6"/>
        <v>000</v>
      </c>
      <c r="BH117" s="88">
        <v>530404</v>
      </c>
      <c r="BI117" s="92" t="s">
        <v>74</v>
      </c>
      <c r="BJ117" s="93">
        <v>3000</v>
      </c>
      <c r="BK117" s="74">
        <v>0</v>
      </c>
      <c r="BL117" s="74">
        <v>0</v>
      </c>
      <c r="BM117" s="74">
        <v>0</v>
      </c>
      <c r="BN117" s="74">
        <v>0</v>
      </c>
      <c r="BO117" s="74">
        <v>0</v>
      </c>
      <c r="BP117" s="74">
        <v>0</v>
      </c>
      <c r="BQ117" s="74">
        <v>0</v>
      </c>
      <c r="BR117" s="74">
        <v>0</v>
      </c>
      <c r="BS117" s="74">
        <v>0</v>
      </c>
      <c r="BT117" s="94">
        <v>3000</v>
      </c>
      <c r="BU117" s="74">
        <v>0</v>
      </c>
      <c r="BV117" s="143">
        <v>0</v>
      </c>
      <c r="BW117" s="143">
        <v>-3000</v>
      </c>
      <c r="BX117" s="143">
        <f t="shared" si="11"/>
        <v>0</v>
      </c>
      <c r="BY117" s="74">
        <v>0</v>
      </c>
      <c r="BZ117" s="74">
        <v>0</v>
      </c>
      <c r="CA117" s="74">
        <v>0</v>
      </c>
      <c r="CB117" s="74">
        <v>0</v>
      </c>
      <c r="CC117" s="74">
        <v>0</v>
      </c>
      <c r="CD117" s="74">
        <v>0</v>
      </c>
      <c r="CE117" s="74">
        <v>0</v>
      </c>
      <c r="CF117" s="74">
        <v>0</v>
      </c>
      <c r="CG117" s="74">
        <v>0</v>
      </c>
      <c r="CH117" s="94">
        <v>0</v>
      </c>
      <c r="CI117" s="74">
        <v>0</v>
      </c>
      <c r="CJ117" s="143">
        <v>0</v>
      </c>
      <c r="CK117" s="143"/>
      <c r="CL117" s="142">
        <f t="shared" si="7"/>
        <v>0</v>
      </c>
      <c r="CM117" s="171">
        <v>0</v>
      </c>
      <c r="CN117" s="171">
        <v>0</v>
      </c>
      <c r="CO117" s="171">
        <v>0</v>
      </c>
      <c r="CP117" s="171">
        <v>0</v>
      </c>
      <c r="CQ117" s="171">
        <v>0</v>
      </c>
      <c r="CR117" s="171">
        <v>0</v>
      </c>
      <c r="CS117" s="171">
        <f t="shared" si="8"/>
        <v>0</v>
      </c>
      <c r="CT117" s="171">
        <f t="shared" si="9"/>
        <v>0</v>
      </c>
      <c r="CU117" s="171">
        <f t="shared" si="10"/>
        <v>0</v>
      </c>
      <c r="CV117" s="150">
        <v>3000</v>
      </c>
      <c r="CW117" s="150">
        <v>0</v>
      </c>
      <c r="CX117" s="130">
        <v>3</v>
      </c>
      <c r="CY117" s="130">
        <v>0</v>
      </c>
      <c r="CZ117" s="130"/>
      <c r="DA117" s="130"/>
      <c r="DB117" s="130"/>
      <c r="DC117" s="130"/>
      <c r="DD117" s="130"/>
      <c r="DE117" s="131">
        <v>46254</v>
      </c>
      <c r="DF117" s="131">
        <v>46254</v>
      </c>
      <c r="DG117" s="132">
        <v>2</v>
      </c>
      <c r="DH117" s="131">
        <v>46255</v>
      </c>
      <c r="DI117" s="131">
        <v>46255</v>
      </c>
      <c r="DJ117" s="131">
        <v>46255</v>
      </c>
      <c r="DK117" s="131">
        <v>46258</v>
      </c>
      <c r="DL117" s="131">
        <v>46259</v>
      </c>
      <c r="DM117" s="131">
        <v>46260</v>
      </c>
      <c r="DN117" s="131">
        <v>46261</v>
      </c>
      <c r="DO117" s="131">
        <v>46262</v>
      </c>
      <c r="DP117" s="131">
        <v>46265</v>
      </c>
      <c r="DQ117" s="131">
        <v>46265</v>
      </c>
      <c r="DR117" s="132">
        <v>2</v>
      </c>
      <c r="DS117" s="131">
        <v>46266</v>
      </c>
      <c r="DT117" s="131">
        <v>46267</v>
      </c>
      <c r="DU117" s="131">
        <v>46268</v>
      </c>
      <c r="DV117" s="131">
        <v>46269</v>
      </c>
      <c r="DW117" s="131">
        <v>46269</v>
      </c>
      <c r="DX117" s="131">
        <v>46272</v>
      </c>
      <c r="DY117" s="131">
        <v>46272</v>
      </c>
      <c r="DZ117" s="132"/>
      <c r="EA117" s="132"/>
      <c r="EB117" s="132"/>
      <c r="EC117" s="132"/>
      <c r="ED117" s="131">
        <v>46273</v>
      </c>
      <c r="EE117" s="131">
        <v>46274</v>
      </c>
      <c r="EF117" s="131">
        <v>46274</v>
      </c>
      <c r="EG117" s="131"/>
      <c r="EH117" s="131"/>
      <c r="EI117" s="131"/>
      <c r="EJ117" s="131">
        <v>46274</v>
      </c>
      <c r="EK117" s="131">
        <v>46280</v>
      </c>
      <c r="EL117" s="132">
        <v>18</v>
      </c>
      <c r="EM117" s="133"/>
      <c r="EN117" s="133"/>
      <c r="EO117" s="133"/>
      <c r="EP117" s="133"/>
      <c r="EQ117" s="133"/>
      <c r="ER117" s="133"/>
      <c r="ES117" s="133"/>
      <c r="ET117" s="133"/>
      <c r="EU117" s="133"/>
      <c r="EV117" s="134"/>
      <c r="EW117" s="133">
        <v>46280</v>
      </c>
      <c r="EX117" s="133"/>
      <c r="EY117" s="135" t="s">
        <v>854</v>
      </c>
      <c r="EZ117" s="137" t="s">
        <v>876</v>
      </c>
      <c r="FA117" s="136" t="s">
        <v>877</v>
      </c>
      <c r="FB117" s="202" t="e">
        <v>#NUM!</v>
      </c>
      <c r="FC117" s="202" t="e">
        <v>#NUM!</v>
      </c>
      <c r="FD117" s="202" t="e">
        <v>#NUM!</v>
      </c>
      <c r="FE117" s="202" t="e">
        <v>#NUM!</v>
      </c>
      <c r="FF117" s="202" t="e">
        <v>#NUM!</v>
      </c>
      <c r="FG117" s="202" t="e">
        <v>#NUM!</v>
      </c>
      <c r="FH117" s="202" t="e">
        <v>#NUM!</v>
      </c>
      <c r="FI117" s="202" t="e">
        <v>#NUM!</v>
      </c>
      <c r="FJ117" s="202" t="e">
        <v>#NUM!</v>
      </c>
      <c r="FK117" s="202" t="e">
        <v>#NUM!</v>
      </c>
      <c r="FL117" s="202" t="e">
        <v>#NUM!</v>
      </c>
      <c r="FM117" s="202" t="e">
        <v>#NUM!</v>
      </c>
      <c r="FN117" s="202" t="e">
        <v>#NUM!</v>
      </c>
      <c r="FO117" s="202" t="e">
        <v>#NUM!</v>
      </c>
      <c r="FP117" s="202" t="e">
        <v>#NUM!</v>
      </c>
      <c r="FQ117" s="202" t="e">
        <v>#NUM!</v>
      </c>
      <c r="FR117" s="202" t="e">
        <v>#NUM!</v>
      </c>
      <c r="FS117" s="202" t="e">
        <v>#NUM!</v>
      </c>
      <c r="FT117" s="202" t="e">
        <v>#NUM!</v>
      </c>
      <c r="FU117" s="202"/>
      <c r="FV117" s="202"/>
      <c r="FW117" s="202"/>
      <c r="FX117" s="202"/>
      <c r="FY117" s="202" t="e">
        <v>#NUM!</v>
      </c>
      <c r="FZ117" s="202" t="e">
        <v>#NUM!</v>
      </c>
      <c r="GA117" s="202" t="e">
        <v>#NUM!</v>
      </c>
      <c r="GB117" s="202"/>
      <c r="GC117" s="202"/>
      <c r="GD117" s="202"/>
      <c r="GE117" s="202" t="e">
        <v>#NUM!</v>
      </c>
      <c r="GF117" s="202"/>
      <c r="GG117" s="202">
        <v>18</v>
      </c>
      <c r="GH117" s="202"/>
      <c r="GI117" s="202"/>
      <c r="GJ117" s="202"/>
      <c r="GK117" s="202"/>
      <c r="GL117" s="202"/>
      <c r="GM117" s="202"/>
      <c r="GN117" s="202"/>
      <c r="GO117" s="202"/>
      <c r="GP117" s="202"/>
      <c r="GQ117" s="202"/>
      <c r="GR117" s="189"/>
      <c r="GS117" s="189"/>
      <c r="GT117" s="189"/>
      <c r="GU117" s="189"/>
      <c r="GV117" s="189" t="s">
        <v>1177</v>
      </c>
    </row>
    <row r="118" spans="1:204" s="68" customFormat="1" ht="14.45" customHeight="1" x14ac:dyDescent="0.25">
      <c r="A118" s="68" t="s">
        <v>693</v>
      </c>
      <c r="B118" s="82" t="s">
        <v>154</v>
      </c>
      <c r="C118" s="82" t="s">
        <v>172</v>
      </c>
      <c r="D118" s="82" t="s">
        <v>196</v>
      </c>
      <c r="E118" s="82" t="s">
        <v>309</v>
      </c>
      <c r="F118" s="82" t="s">
        <v>549</v>
      </c>
      <c r="G118" s="82" t="s">
        <v>137</v>
      </c>
      <c r="H118" s="82" t="s">
        <v>137</v>
      </c>
      <c r="I118" s="82" t="s">
        <v>66</v>
      </c>
      <c r="J118" s="82" t="s">
        <v>29</v>
      </c>
      <c r="K118" s="92" t="s">
        <v>137</v>
      </c>
      <c r="L118" s="92" t="s">
        <v>137</v>
      </c>
      <c r="M118" s="92" t="s">
        <v>137</v>
      </c>
      <c r="N118" s="92" t="s">
        <v>137</v>
      </c>
      <c r="O118" s="92" t="s">
        <v>137</v>
      </c>
      <c r="P118" s="92" t="s">
        <v>137</v>
      </c>
      <c r="Q118" s="82" t="s">
        <v>87</v>
      </c>
      <c r="R118" s="82" t="s">
        <v>714</v>
      </c>
      <c r="S118" s="82" t="s">
        <v>40</v>
      </c>
      <c r="T118" s="82" t="s">
        <v>2</v>
      </c>
      <c r="U118" s="83"/>
      <c r="V118" s="83">
        <v>0.05</v>
      </c>
      <c r="W118" s="83">
        <v>0.08</v>
      </c>
      <c r="X118" s="83">
        <v>0.15</v>
      </c>
      <c r="Y118" s="83">
        <v>0.2</v>
      </c>
      <c r="Z118" s="83">
        <v>0.25</v>
      </c>
      <c r="AA118" s="83">
        <v>0.37</v>
      </c>
      <c r="AB118" s="83">
        <v>0.42</v>
      </c>
      <c r="AC118" s="83">
        <v>0.57999999999999996</v>
      </c>
      <c r="AD118" s="83">
        <v>0.67</v>
      </c>
      <c r="AE118" s="83">
        <v>0.83</v>
      </c>
      <c r="AF118" s="83">
        <v>1</v>
      </c>
      <c r="AG118" s="82" t="s">
        <v>532</v>
      </c>
      <c r="AH118" s="82" t="s">
        <v>529</v>
      </c>
      <c r="AI118" s="88" t="s">
        <v>538</v>
      </c>
      <c r="AJ118" s="89" t="s">
        <v>538</v>
      </c>
      <c r="AK118" s="90">
        <v>46023</v>
      </c>
      <c r="AL118" s="90">
        <v>46387</v>
      </c>
      <c r="AM118" s="89"/>
      <c r="AN118" s="89"/>
      <c r="AO118" s="89"/>
      <c r="AP118" s="91" t="s">
        <v>539</v>
      </c>
      <c r="AQ118" s="90" cm="1">
        <f t="array" ref="AQ118">IFERROR(DATE(2026, _xlfn.AGGREGATE(15, 6, (COLUMN(BY118:CJ118)-COLUMN(BY118)+1)/(BY118:CJ118&lt;&gt;0), 1), 1),"N/A")</f>
        <v>46113</v>
      </c>
      <c r="AR118" s="90" cm="1">
        <f t="array" ref="AR118">IFERROR(EOMONTH(DATE(2026, _xlfn.AGGREGATE(14, 6, (COLUMN(BY118:CJ118)-COLUMN(BY118)+1)/(BY118:CJ118&lt;&gt;0), 1), 1), 0),"N/A")</f>
        <v>46142</v>
      </c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2" t="s">
        <v>600</v>
      </c>
      <c r="BF118" s="82" t="s">
        <v>1015</v>
      </c>
      <c r="BG118" s="82" t="str">
        <f t="shared" si="6"/>
        <v>000</v>
      </c>
      <c r="BH118" s="88">
        <v>530404</v>
      </c>
      <c r="BI118" s="92" t="s">
        <v>74</v>
      </c>
      <c r="BJ118" s="93">
        <v>2000</v>
      </c>
      <c r="BK118" s="74">
        <v>0</v>
      </c>
      <c r="BL118" s="74">
        <v>0</v>
      </c>
      <c r="BM118" s="74">
        <v>0</v>
      </c>
      <c r="BN118" s="72">
        <v>2000</v>
      </c>
      <c r="BO118" s="74">
        <v>0</v>
      </c>
      <c r="BP118" s="74">
        <v>0</v>
      </c>
      <c r="BQ118" s="74">
        <v>0</v>
      </c>
      <c r="BR118" s="74">
        <v>0</v>
      </c>
      <c r="BS118" s="74">
        <v>0</v>
      </c>
      <c r="BT118" s="74">
        <v>0</v>
      </c>
      <c r="BU118" s="74">
        <v>0</v>
      </c>
      <c r="BV118" s="143">
        <v>0</v>
      </c>
      <c r="BW118" s="143"/>
      <c r="BX118" s="143">
        <f t="shared" si="11"/>
        <v>2000</v>
      </c>
      <c r="BY118" s="74">
        <v>0</v>
      </c>
      <c r="BZ118" s="74">
        <v>0</v>
      </c>
      <c r="CA118" s="74">
        <v>0</v>
      </c>
      <c r="CB118" s="72">
        <v>2000</v>
      </c>
      <c r="CC118" s="74">
        <v>0</v>
      </c>
      <c r="CD118" s="74">
        <v>0</v>
      </c>
      <c r="CE118" s="74">
        <v>0</v>
      </c>
      <c r="CF118" s="74">
        <v>0</v>
      </c>
      <c r="CG118" s="74">
        <v>0</v>
      </c>
      <c r="CH118" s="74">
        <v>0</v>
      </c>
      <c r="CI118" s="74">
        <v>0</v>
      </c>
      <c r="CJ118" s="143">
        <v>0</v>
      </c>
      <c r="CK118" s="143"/>
      <c r="CL118" s="142">
        <f t="shared" si="7"/>
        <v>0</v>
      </c>
      <c r="CM118" s="171">
        <v>0</v>
      </c>
      <c r="CN118" s="171">
        <v>0</v>
      </c>
      <c r="CO118" s="171">
        <v>0</v>
      </c>
      <c r="CP118" s="171">
        <v>0</v>
      </c>
      <c r="CQ118" s="171">
        <v>0</v>
      </c>
      <c r="CR118" s="171">
        <v>0</v>
      </c>
      <c r="CS118" s="171">
        <f t="shared" si="8"/>
        <v>0</v>
      </c>
      <c r="CT118" s="171">
        <f t="shared" si="9"/>
        <v>0</v>
      </c>
      <c r="CU118" s="171">
        <f t="shared" si="10"/>
        <v>0</v>
      </c>
      <c r="CV118" s="149">
        <v>2000</v>
      </c>
      <c r="CW118" s="149">
        <v>2000</v>
      </c>
      <c r="CX118" s="130">
        <v>1</v>
      </c>
      <c r="CY118" s="130">
        <v>1</v>
      </c>
      <c r="CZ118" s="130"/>
      <c r="DA118" s="130"/>
      <c r="DB118" s="130"/>
      <c r="DC118" s="130"/>
      <c r="DD118" s="130"/>
      <c r="DE118" s="131">
        <v>46057</v>
      </c>
      <c r="DF118" s="131">
        <v>46057</v>
      </c>
      <c r="DG118" s="132">
        <v>1</v>
      </c>
      <c r="DH118" s="131">
        <v>46058</v>
      </c>
      <c r="DI118" s="131">
        <v>46058</v>
      </c>
      <c r="DJ118" s="131">
        <v>46058</v>
      </c>
      <c r="DK118" s="131">
        <v>46059</v>
      </c>
      <c r="DL118" s="131">
        <v>46062</v>
      </c>
      <c r="DM118" s="131">
        <v>46063</v>
      </c>
      <c r="DN118" s="131">
        <v>46064</v>
      </c>
      <c r="DO118" s="131">
        <v>46065</v>
      </c>
      <c r="DP118" s="131">
        <v>46066</v>
      </c>
      <c r="DQ118" s="131">
        <v>46066</v>
      </c>
      <c r="DR118" s="132">
        <v>1</v>
      </c>
      <c r="DS118" s="131">
        <v>46069</v>
      </c>
      <c r="DT118" s="131">
        <v>46070</v>
      </c>
      <c r="DU118" s="131">
        <v>46071</v>
      </c>
      <c r="DV118" s="131">
        <v>46072</v>
      </c>
      <c r="DW118" s="131">
        <v>46072</v>
      </c>
      <c r="DX118" s="131">
        <v>46073</v>
      </c>
      <c r="DY118" s="131">
        <v>46073</v>
      </c>
      <c r="DZ118" s="132"/>
      <c r="EA118" s="132"/>
      <c r="EB118" s="132"/>
      <c r="EC118" s="132"/>
      <c r="ED118" s="131">
        <v>46076</v>
      </c>
      <c r="EE118" s="131">
        <v>46077</v>
      </c>
      <c r="EF118" s="131">
        <v>46077</v>
      </c>
      <c r="EG118" s="131"/>
      <c r="EH118" s="131"/>
      <c r="EI118" s="131"/>
      <c r="EJ118" s="131">
        <v>46077</v>
      </c>
      <c r="EK118" s="131">
        <v>46083</v>
      </c>
      <c r="EL118" s="132">
        <v>18</v>
      </c>
      <c r="EM118" s="133"/>
      <c r="EN118" s="133"/>
      <c r="EO118" s="133"/>
      <c r="EP118" s="133"/>
      <c r="EQ118" s="133"/>
      <c r="ER118" s="133"/>
      <c r="ES118" s="133"/>
      <c r="ET118" s="133"/>
      <c r="EU118" s="133"/>
      <c r="EV118" s="134"/>
      <c r="EW118" s="133">
        <v>46083</v>
      </c>
      <c r="EX118" s="133"/>
      <c r="EY118" s="135" t="s">
        <v>854</v>
      </c>
      <c r="EZ118" s="137" t="s">
        <v>874</v>
      </c>
      <c r="FA118" s="136" t="s">
        <v>877</v>
      </c>
      <c r="FB118" s="203">
        <v>46057</v>
      </c>
      <c r="FC118" s="203">
        <v>46057</v>
      </c>
      <c r="FD118" s="203">
        <v>46058</v>
      </c>
      <c r="FE118" s="203">
        <v>46058</v>
      </c>
      <c r="FF118" s="203">
        <v>46058</v>
      </c>
      <c r="FG118" s="203">
        <v>46059</v>
      </c>
      <c r="FH118" s="203">
        <v>46062</v>
      </c>
      <c r="FI118" s="203">
        <v>46063</v>
      </c>
      <c r="FJ118" s="203">
        <v>46064</v>
      </c>
      <c r="FK118" s="203">
        <v>46065</v>
      </c>
      <c r="FL118" s="203">
        <v>46066</v>
      </c>
      <c r="FM118" s="203">
        <v>46066</v>
      </c>
      <c r="FN118" s="203">
        <v>46069</v>
      </c>
      <c r="FO118" s="203">
        <v>46070</v>
      </c>
      <c r="FP118" s="203">
        <v>46071</v>
      </c>
      <c r="FQ118" s="203">
        <v>46072</v>
      </c>
      <c r="FR118" s="203">
        <v>46072</v>
      </c>
      <c r="FS118" s="203">
        <v>46073</v>
      </c>
      <c r="FT118" s="203">
        <v>46073</v>
      </c>
      <c r="FU118" s="203"/>
      <c r="FV118" s="203"/>
      <c r="FW118" s="203"/>
      <c r="FX118" s="203"/>
      <c r="FY118" s="203">
        <v>46076</v>
      </c>
      <c r="FZ118" s="203">
        <v>46077</v>
      </c>
      <c r="GA118" s="203">
        <v>46077</v>
      </c>
      <c r="GB118" s="203"/>
      <c r="GC118" s="203"/>
      <c r="GD118" s="203"/>
      <c r="GE118" s="203">
        <v>46077</v>
      </c>
      <c r="GF118" s="203">
        <v>46083</v>
      </c>
      <c r="GG118" s="203">
        <v>18</v>
      </c>
      <c r="GH118" s="203"/>
      <c r="GI118" s="203"/>
      <c r="GJ118" s="203"/>
      <c r="GK118" s="203"/>
      <c r="GL118" s="203"/>
      <c r="GM118" s="203"/>
      <c r="GN118" s="203"/>
      <c r="GO118" s="203"/>
      <c r="GP118" s="203"/>
      <c r="GQ118" s="203">
        <v>46083</v>
      </c>
      <c r="GR118" s="187"/>
      <c r="GS118" s="187" t="s">
        <v>1181</v>
      </c>
      <c r="GT118" s="187" t="s">
        <v>854</v>
      </c>
      <c r="GU118" s="187" t="s">
        <v>874</v>
      </c>
      <c r="GV118" s="187"/>
    </row>
    <row r="119" spans="1:204" s="68" customFormat="1" ht="14.45" customHeight="1" x14ac:dyDescent="0.25">
      <c r="A119" s="68" t="s">
        <v>693</v>
      </c>
      <c r="B119" s="82" t="s">
        <v>154</v>
      </c>
      <c r="C119" s="82" t="s">
        <v>172</v>
      </c>
      <c r="D119" s="82" t="s">
        <v>196</v>
      </c>
      <c r="E119" s="82" t="s">
        <v>309</v>
      </c>
      <c r="F119" s="82" t="s">
        <v>549</v>
      </c>
      <c r="G119" s="82" t="s">
        <v>137</v>
      </c>
      <c r="H119" s="82" t="s">
        <v>137</v>
      </c>
      <c r="I119" s="82" t="s">
        <v>66</v>
      </c>
      <c r="J119" s="82" t="s">
        <v>29</v>
      </c>
      <c r="K119" s="92" t="s">
        <v>137</v>
      </c>
      <c r="L119" s="92" t="s">
        <v>137</v>
      </c>
      <c r="M119" s="92" t="s">
        <v>137</v>
      </c>
      <c r="N119" s="92" t="s">
        <v>137</v>
      </c>
      <c r="O119" s="92" t="s">
        <v>137</v>
      </c>
      <c r="P119" s="92" t="s">
        <v>137</v>
      </c>
      <c r="Q119" s="82" t="s">
        <v>87</v>
      </c>
      <c r="R119" s="82" t="s">
        <v>714</v>
      </c>
      <c r="S119" s="82" t="s">
        <v>40</v>
      </c>
      <c r="T119" s="82" t="s">
        <v>2</v>
      </c>
      <c r="U119" s="83"/>
      <c r="V119" s="83">
        <v>0.05</v>
      </c>
      <c r="W119" s="83">
        <v>0.08</v>
      </c>
      <c r="X119" s="83">
        <v>0.15</v>
      </c>
      <c r="Y119" s="83">
        <v>0.2</v>
      </c>
      <c r="Z119" s="83">
        <v>0.25</v>
      </c>
      <c r="AA119" s="83">
        <v>0.37</v>
      </c>
      <c r="AB119" s="83">
        <v>0.42</v>
      </c>
      <c r="AC119" s="83">
        <v>0.57999999999999996</v>
      </c>
      <c r="AD119" s="83">
        <v>0.67</v>
      </c>
      <c r="AE119" s="83">
        <v>0.83</v>
      </c>
      <c r="AF119" s="83">
        <v>1</v>
      </c>
      <c r="AG119" s="82" t="s">
        <v>532</v>
      </c>
      <c r="AH119" s="82" t="s">
        <v>529</v>
      </c>
      <c r="AI119" s="88" t="s">
        <v>538</v>
      </c>
      <c r="AJ119" s="89" t="s">
        <v>538</v>
      </c>
      <c r="AK119" s="90">
        <v>46023</v>
      </c>
      <c r="AL119" s="90">
        <v>46387</v>
      </c>
      <c r="AM119" s="89"/>
      <c r="AN119" s="89"/>
      <c r="AO119" s="89"/>
      <c r="AP119" s="91" t="s">
        <v>539</v>
      </c>
      <c r="AQ119" s="90" cm="1">
        <f t="array" ref="AQ119">IFERROR(DATE(2026, _xlfn.AGGREGATE(15, 6, (COLUMN(BY119:CJ119)-COLUMN(BY119)+1)/(BY119:CJ119&lt;&gt;0), 1), 1),"N/A")</f>
        <v>46235</v>
      </c>
      <c r="AR119" s="90" cm="1">
        <f t="array" ref="AR119">IFERROR(EOMONTH(DATE(2026, _xlfn.AGGREGATE(14, 6, (COLUMN(BY119:CJ119)-COLUMN(BY119)+1)/(BY119:CJ119&lt;&gt;0), 1), 1), 0),"N/A")</f>
        <v>46265</v>
      </c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2" t="s">
        <v>1104</v>
      </c>
      <c r="BF119" s="82" t="s">
        <v>1105</v>
      </c>
      <c r="BG119" s="82" t="str">
        <f t="shared" si="6"/>
        <v>000</v>
      </c>
      <c r="BH119" s="88">
        <v>530704</v>
      </c>
      <c r="BI119" s="92" t="s">
        <v>74</v>
      </c>
      <c r="BJ119" s="93">
        <v>0</v>
      </c>
      <c r="BK119" s="74"/>
      <c r="BL119" s="74"/>
      <c r="BM119" s="74"/>
      <c r="BN119" s="74"/>
      <c r="BO119" s="74"/>
      <c r="BP119" s="74"/>
      <c r="BQ119" s="74"/>
      <c r="BR119" s="74"/>
      <c r="BS119" s="74"/>
      <c r="BT119" s="94"/>
      <c r="BU119" s="74"/>
      <c r="BV119" s="143"/>
      <c r="BW119" s="143">
        <v>3000</v>
      </c>
      <c r="BX119" s="143">
        <f t="shared" si="11"/>
        <v>3000</v>
      </c>
      <c r="BY119" s="74"/>
      <c r="BZ119" s="74"/>
      <c r="CA119" s="74"/>
      <c r="CB119" s="74"/>
      <c r="CC119" s="74"/>
      <c r="CD119" s="74"/>
      <c r="CE119" s="74"/>
      <c r="CF119" s="74">
        <v>3000</v>
      </c>
      <c r="CG119" s="74"/>
      <c r="CH119" s="94"/>
      <c r="CI119" s="74"/>
      <c r="CJ119" s="143"/>
      <c r="CK119" s="143"/>
      <c r="CL119" s="142">
        <f t="shared" si="7"/>
        <v>0</v>
      </c>
      <c r="CM119" s="171">
        <v>0</v>
      </c>
      <c r="CN119" s="171">
        <v>0</v>
      </c>
      <c r="CO119" s="171">
        <v>0</v>
      </c>
      <c r="CP119" s="171">
        <v>0</v>
      </c>
      <c r="CQ119" s="171">
        <v>0</v>
      </c>
      <c r="CR119" s="171">
        <v>0</v>
      </c>
      <c r="CS119" s="171">
        <f t="shared" si="8"/>
        <v>0</v>
      </c>
      <c r="CT119" s="171">
        <f t="shared" si="9"/>
        <v>0</v>
      </c>
      <c r="CU119" s="171">
        <f t="shared" si="10"/>
        <v>0</v>
      </c>
      <c r="CV119" s="150"/>
      <c r="CW119" s="150"/>
      <c r="CX119" s="130"/>
      <c r="CY119" s="130"/>
      <c r="CZ119" s="130"/>
      <c r="DA119" s="130"/>
      <c r="DB119" s="130"/>
      <c r="DC119" s="130"/>
      <c r="DD119" s="130"/>
      <c r="DE119" s="131"/>
      <c r="DF119" s="131"/>
      <c r="DG119" s="132"/>
      <c r="DH119" s="131"/>
      <c r="DI119" s="131"/>
      <c r="DJ119" s="131"/>
      <c r="DK119" s="131"/>
      <c r="DL119" s="131"/>
      <c r="DM119" s="131"/>
      <c r="DN119" s="131"/>
      <c r="DO119" s="131"/>
      <c r="DP119" s="131"/>
      <c r="DQ119" s="131"/>
      <c r="DR119" s="132"/>
      <c r="DS119" s="131"/>
      <c r="DT119" s="131"/>
      <c r="DU119" s="131"/>
      <c r="DV119" s="131"/>
      <c r="DW119" s="131"/>
      <c r="DX119" s="131"/>
      <c r="DY119" s="131"/>
      <c r="DZ119" s="132"/>
      <c r="EA119" s="132"/>
      <c r="EB119" s="132"/>
      <c r="EC119" s="132"/>
      <c r="ED119" s="131"/>
      <c r="EE119" s="131"/>
      <c r="EF119" s="131"/>
      <c r="EG119" s="131"/>
      <c r="EH119" s="131"/>
      <c r="EI119" s="131"/>
      <c r="EJ119" s="131"/>
      <c r="EK119" s="131"/>
      <c r="EL119" s="132"/>
      <c r="EM119" s="133"/>
      <c r="EN119" s="133"/>
      <c r="EO119" s="133"/>
      <c r="EP119" s="133"/>
      <c r="EQ119" s="133"/>
      <c r="ER119" s="133"/>
      <c r="ES119" s="133"/>
      <c r="ET119" s="133"/>
      <c r="EU119" s="133"/>
      <c r="EV119" s="134"/>
      <c r="EW119" s="133"/>
      <c r="EX119" s="133"/>
      <c r="EY119" s="135"/>
      <c r="EZ119" s="137"/>
      <c r="FA119" s="136"/>
      <c r="FB119" s="201"/>
      <c r="FC119" s="201"/>
      <c r="FD119" s="201"/>
      <c r="FE119" s="201"/>
      <c r="FF119" s="201"/>
      <c r="FG119" s="201"/>
      <c r="FH119" s="201"/>
      <c r="FI119" s="201"/>
      <c r="FJ119" s="201"/>
      <c r="FK119" s="201"/>
      <c r="FL119" s="201"/>
      <c r="FM119" s="201"/>
      <c r="FN119" s="201"/>
      <c r="FO119" s="201"/>
      <c r="FP119" s="201"/>
      <c r="FQ119" s="201"/>
      <c r="FR119" s="201"/>
      <c r="FS119" s="201"/>
      <c r="FT119" s="201"/>
      <c r="FU119" s="201"/>
      <c r="FV119" s="201"/>
      <c r="FW119" s="201"/>
      <c r="FX119" s="201"/>
      <c r="FY119" s="201"/>
      <c r="FZ119" s="201"/>
      <c r="GA119" s="201"/>
      <c r="GB119" s="201"/>
      <c r="GC119" s="201"/>
      <c r="GD119" s="201"/>
      <c r="GE119" s="201"/>
      <c r="GF119" s="201"/>
      <c r="GG119" s="201"/>
      <c r="GH119" s="201"/>
      <c r="GI119" s="201"/>
      <c r="GJ119" s="201"/>
      <c r="GK119" s="201"/>
      <c r="GL119" s="201"/>
      <c r="GM119" s="201"/>
      <c r="GN119" s="201"/>
      <c r="GO119" s="201"/>
      <c r="GP119" s="201"/>
      <c r="GQ119" s="201"/>
    </row>
    <row r="120" spans="1:204" s="68" customFormat="1" ht="14.45" customHeight="1" x14ac:dyDescent="0.25">
      <c r="A120" s="68" t="s">
        <v>692</v>
      </c>
      <c r="B120" s="82" t="s">
        <v>154</v>
      </c>
      <c r="C120" s="82" t="s">
        <v>172</v>
      </c>
      <c r="D120" s="82" t="s">
        <v>196</v>
      </c>
      <c r="E120" s="82" t="s">
        <v>309</v>
      </c>
      <c r="F120" s="82" t="s">
        <v>549</v>
      </c>
      <c r="G120" s="82" t="s">
        <v>137</v>
      </c>
      <c r="H120" s="82" t="s">
        <v>137</v>
      </c>
      <c r="I120" s="82" t="s">
        <v>66</v>
      </c>
      <c r="J120" s="82" t="s">
        <v>29</v>
      </c>
      <c r="K120" s="92" t="s">
        <v>137</v>
      </c>
      <c r="L120" s="92" t="s">
        <v>137</v>
      </c>
      <c r="M120" s="92" t="s">
        <v>137</v>
      </c>
      <c r="N120" s="92" t="s">
        <v>137</v>
      </c>
      <c r="O120" s="92" t="s">
        <v>137</v>
      </c>
      <c r="P120" s="92" t="s">
        <v>137</v>
      </c>
      <c r="Q120" s="82" t="s">
        <v>87</v>
      </c>
      <c r="R120" s="82" t="s">
        <v>714</v>
      </c>
      <c r="S120" s="82" t="s">
        <v>40</v>
      </c>
      <c r="T120" s="82" t="s">
        <v>2</v>
      </c>
      <c r="U120" s="83"/>
      <c r="V120" s="83">
        <v>0.05</v>
      </c>
      <c r="W120" s="83">
        <v>0.08</v>
      </c>
      <c r="X120" s="83">
        <v>0.15</v>
      </c>
      <c r="Y120" s="83">
        <v>0.2</v>
      </c>
      <c r="Z120" s="83">
        <v>0.25</v>
      </c>
      <c r="AA120" s="83">
        <v>0.37</v>
      </c>
      <c r="AB120" s="83">
        <v>0.42</v>
      </c>
      <c r="AC120" s="83">
        <v>0.57999999999999996</v>
      </c>
      <c r="AD120" s="83">
        <v>0.67</v>
      </c>
      <c r="AE120" s="83">
        <v>0.83</v>
      </c>
      <c r="AF120" s="83">
        <v>1</v>
      </c>
      <c r="AG120" s="82" t="s">
        <v>532</v>
      </c>
      <c r="AH120" s="82" t="s">
        <v>529</v>
      </c>
      <c r="AI120" s="88" t="s">
        <v>538</v>
      </c>
      <c r="AJ120" s="89" t="s">
        <v>538</v>
      </c>
      <c r="AK120" s="90">
        <v>46023</v>
      </c>
      <c r="AL120" s="90">
        <v>46387</v>
      </c>
      <c r="AM120" s="89"/>
      <c r="AN120" s="89"/>
      <c r="AO120" s="89"/>
      <c r="AP120" s="91" t="s">
        <v>539</v>
      </c>
      <c r="AQ120" s="90" cm="1">
        <f t="array" ref="AQ120">IFERROR(DATE(2026, _xlfn.AGGREGATE(15, 6, (COLUMN(BY120:CJ120)-COLUMN(BY120)+1)/(BY120:CJ120&lt;&gt;0), 1), 1),"N/A")</f>
        <v>46327</v>
      </c>
      <c r="AR120" s="90" cm="1">
        <f t="array" ref="AR120">IFERROR(EOMONTH(DATE(2026, _xlfn.AGGREGATE(14, 6, (COLUMN(BY120:CJ120)-COLUMN(BY120)+1)/(BY120:CJ120&lt;&gt;0), 1), 1), 0),"N/A")</f>
        <v>46356</v>
      </c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2" t="s">
        <v>584</v>
      </c>
      <c r="BF120" s="82" t="s">
        <v>965</v>
      </c>
      <c r="BG120" s="82" t="str">
        <f t="shared" si="6"/>
        <v>000</v>
      </c>
      <c r="BH120" s="88">
        <v>530811</v>
      </c>
      <c r="BI120" s="92" t="s">
        <v>74</v>
      </c>
      <c r="BJ120" s="93">
        <v>1000</v>
      </c>
      <c r="BK120" s="74">
        <v>0</v>
      </c>
      <c r="BL120" s="74">
        <v>0</v>
      </c>
      <c r="BM120" s="74">
        <v>0</v>
      </c>
      <c r="BN120" s="74">
        <v>0</v>
      </c>
      <c r="BO120" s="74">
        <v>0</v>
      </c>
      <c r="BP120" s="74">
        <v>0</v>
      </c>
      <c r="BQ120" s="74">
        <v>0</v>
      </c>
      <c r="BR120" s="74">
        <v>0</v>
      </c>
      <c r="BS120" s="74">
        <v>0</v>
      </c>
      <c r="BT120" s="74">
        <v>0</v>
      </c>
      <c r="BU120" s="94">
        <v>1000</v>
      </c>
      <c r="BV120" s="143">
        <v>0</v>
      </c>
      <c r="BW120" s="143"/>
      <c r="BX120" s="143">
        <f t="shared" si="11"/>
        <v>1000</v>
      </c>
      <c r="BY120" s="74">
        <v>0</v>
      </c>
      <c r="BZ120" s="74">
        <v>0</v>
      </c>
      <c r="CA120" s="74">
        <v>0</v>
      </c>
      <c r="CB120" s="74">
        <v>0</v>
      </c>
      <c r="CC120" s="74">
        <v>0</v>
      </c>
      <c r="CD120" s="74">
        <v>0</v>
      </c>
      <c r="CE120" s="74">
        <v>0</v>
      </c>
      <c r="CF120" s="74">
        <v>0</v>
      </c>
      <c r="CG120" s="74">
        <v>0</v>
      </c>
      <c r="CH120" s="74">
        <v>0</v>
      </c>
      <c r="CI120" s="94">
        <v>1000</v>
      </c>
      <c r="CJ120" s="143">
        <v>0</v>
      </c>
      <c r="CK120" s="143"/>
      <c r="CL120" s="142">
        <f t="shared" si="7"/>
        <v>0</v>
      </c>
      <c r="CM120" s="171">
        <v>0</v>
      </c>
      <c r="CN120" s="171">
        <v>0</v>
      </c>
      <c r="CO120" s="171">
        <v>0</v>
      </c>
      <c r="CP120" s="171">
        <v>0</v>
      </c>
      <c r="CQ120" s="171">
        <v>0</v>
      </c>
      <c r="CR120" s="171">
        <v>0</v>
      </c>
      <c r="CS120" s="171">
        <f t="shared" si="8"/>
        <v>0</v>
      </c>
      <c r="CT120" s="171">
        <f t="shared" si="9"/>
        <v>0</v>
      </c>
      <c r="CU120" s="171">
        <f t="shared" si="10"/>
        <v>0</v>
      </c>
      <c r="CV120" s="150">
        <v>1000</v>
      </c>
      <c r="CW120" s="150">
        <v>1000</v>
      </c>
      <c r="CX120" s="130">
        <v>2</v>
      </c>
      <c r="CY120" s="130">
        <v>2</v>
      </c>
      <c r="CZ120" s="130"/>
      <c r="DA120" s="130"/>
      <c r="DB120" s="130"/>
      <c r="DC120" s="130"/>
      <c r="DD120" s="130"/>
      <c r="DE120" s="131">
        <v>46280</v>
      </c>
      <c r="DF120" s="131">
        <v>46280</v>
      </c>
      <c r="DG120" s="132">
        <v>3</v>
      </c>
      <c r="DH120" s="131">
        <v>46281</v>
      </c>
      <c r="DI120" s="131">
        <v>46281</v>
      </c>
      <c r="DJ120" s="131">
        <v>46281</v>
      </c>
      <c r="DK120" s="131">
        <v>46282</v>
      </c>
      <c r="DL120" s="131">
        <v>46283</v>
      </c>
      <c r="DM120" s="131">
        <v>46286</v>
      </c>
      <c r="DN120" s="131">
        <v>46287</v>
      </c>
      <c r="DO120" s="131">
        <v>46288</v>
      </c>
      <c r="DP120" s="131">
        <v>46289</v>
      </c>
      <c r="DQ120" s="131">
        <v>46289</v>
      </c>
      <c r="DR120" s="132">
        <v>3</v>
      </c>
      <c r="DS120" s="131">
        <v>46290</v>
      </c>
      <c r="DT120" s="131">
        <v>46293</v>
      </c>
      <c r="DU120" s="131">
        <v>46294</v>
      </c>
      <c r="DV120" s="131">
        <v>46295</v>
      </c>
      <c r="DW120" s="131">
        <v>46295</v>
      </c>
      <c r="DX120" s="131">
        <v>46296</v>
      </c>
      <c r="DY120" s="131">
        <v>46296</v>
      </c>
      <c r="DZ120" s="132"/>
      <c r="EA120" s="132"/>
      <c r="EB120" s="132"/>
      <c r="EC120" s="132"/>
      <c r="ED120" s="131">
        <v>46297</v>
      </c>
      <c r="EE120" s="131">
        <v>46300</v>
      </c>
      <c r="EF120" s="131">
        <v>46300</v>
      </c>
      <c r="EG120" s="131"/>
      <c r="EH120" s="131"/>
      <c r="EI120" s="131"/>
      <c r="EJ120" s="131">
        <v>46300</v>
      </c>
      <c r="EK120" s="131">
        <v>46304</v>
      </c>
      <c r="EL120" s="132">
        <v>18</v>
      </c>
      <c r="EM120" s="133"/>
      <c r="EN120" s="133"/>
      <c r="EO120" s="133"/>
      <c r="EP120" s="133"/>
      <c r="EQ120" s="133"/>
      <c r="ER120" s="133"/>
      <c r="ES120" s="133"/>
      <c r="ET120" s="133"/>
      <c r="EU120" s="133"/>
      <c r="EV120" s="134"/>
      <c r="EW120" s="133">
        <v>46304</v>
      </c>
      <c r="EX120" s="133"/>
      <c r="EY120" s="135" t="s">
        <v>854</v>
      </c>
      <c r="EZ120" s="132" t="s">
        <v>867</v>
      </c>
      <c r="FA120" s="130"/>
      <c r="FB120" s="203">
        <v>46120</v>
      </c>
      <c r="FC120" s="203">
        <v>46120</v>
      </c>
      <c r="FD120" s="203">
        <v>46121</v>
      </c>
      <c r="FE120" s="203">
        <v>46121</v>
      </c>
      <c r="FF120" s="203">
        <v>46121</v>
      </c>
      <c r="FG120" s="203">
        <v>46122</v>
      </c>
      <c r="FH120" s="203">
        <v>46125</v>
      </c>
      <c r="FI120" s="203">
        <v>46126</v>
      </c>
      <c r="FJ120" s="203">
        <v>46127</v>
      </c>
      <c r="FK120" s="203">
        <v>46128</v>
      </c>
      <c r="FL120" s="203">
        <v>46129</v>
      </c>
      <c r="FM120" s="203">
        <v>46129</v>
      </c>
      <c r="FN120" s="203">
        <v>46132</v>
      </c>
      <c r="FO120" s="203">
        <v>46133</v>
      </c>
      <c r="FP120" s="203">
        <v>46134</v>
      </c>
      <c r="FQ120" s="203">
        <v>46135</v>
      </c>
      <c r="FR120" s="203">
        <v>46135</v>
      </c>
      <c r="FS120" s="203">
        <v>46136</v>
      </c>
      <c r="FT120" s="203">
        <v>46136</v>
      </c>
      <c r="FU120" s="203"/>
      <c r="FV120" s="203"/>
      <c r="FW120" s="203"/>
      <c r="FX120" s="203"/>
      <c r="FY120" s="203">
        <v>46139</v>
      </c>
      <c r="FZ120" s="203">
        <v>46140</v>
      </c>
      <c r="GA120" s="203">
        <v>46140</v>
      </c>
      <c r="GB120" s="203"/>
      <c r="GC120" s="203"/>
      <c r="GD120" s="203"/>
      <c r="GE120" s="203">
        <v>46140</v>
      </c>
      <c r="GF120" s="203">
        <v>46144</v>
      </c>
      <c r="GG120" s="203">
        <v>18</v>
      </c>
      <c r="GH120" s="203"/>
      <c r="GI120" s="203"/>
      <c r="GJ120" s="203"/>
      <c r="GK120" s="203"/>
      <c r="GL120" s="203"/>
      <c r="GM120" s="203"/>
      <c r="GN120" s="203"/>
      <c r="GO120" s="203"/>
      <c r="GP120" s="203"/>
      <c r="GQ120" s="203">
        <v>46144</v>
      </c>
      <c r="GR120" s="187"/>
      <c r="GS120" s="187" t="s">
        <v>1181</v>
      </c>
      <c r="GT120" s="187" t="s">
        <v>854</v>
      </c>
      <c r="GU120" s="187" t="s">
        <v>867</v>
      </c>
      <c r="GV120" s="187"/>
    </row>
    <row r="121" spans="1:204" s="68" customFormat="1" ht="14.45" customHeight="1" x14ac:dyDescent="0.25">
      <c r="A121" s="68" t="s">
        <v>701</v>
      </c>
      <c r="B121" s="82" t="s">
        <v>154</v>
      </c>
      <c r="C121" s="82" t="s">
        <v>172</v>
      </c>
      <c r="D121" s="82" t="s">
        <v>196</v>
      </c>
      <c r="E121" s="82" t="s">
        <v>309</v>
      </c>
      <c r="F121" s="82" t="s">
        <v>549</v>
      </c>
      <c r="G121" s="82" t="s">
        <v>137</v>
      </c>
      <c r="H121" s="82" t="s">
        <v>137</v>
      </c>
      <c r="I121" s="82" t="s">
        <v>66</v>
      </c>
      <c r="J121" s="82" t="s">
        <v>30</v>
      </c>
      <c r="K121" s="92" t="s">
        <v>137</v>
      </c>
      <c r="L121" s="92" t="s">
        <v>137</v>
      </c>
      <c r="M121" s="92" t="s">
        <v>137</v>
      </c>
      <c r="N121" s="92" t="s">
        <v>137</v>
      </c>
      <c r="O121" s="92" t="s">
        <v>137</v>
      </c>
      <c r="P121" s="92" t="s">
        <v>137</v>
      </c>
      <c r="Q121" s="82" t="s">
        <v>554</v>
      </c>
      <c r="R121" s="82" t="s">
        <v>553</v>
      </c>
      <c r="S121" s="82" t="s">
        <v>557</v>
      </c>
      <c r="T121" s="82" t="s">
        <v>2</v>
      </c>
      <c r="U121" s="82" t="s">
        <v>548</v>
      </c>
      <c r="V121" s="82" t="s">
        <v>548</v>
      </c>
      <c r="W121" s="82" t="s">
        <v>548</v>
      </c>
      <c r="X121" s="71" t="s">
        <v>548</v>
      </c>
      <c r="Y121" s="82" t="s">
        <v>548</v>
      </c>
      <c r="Z121" s="82" t="s">
        <v>548</v>
      </c>
      <c r="AA121" s="97">
        <v>0.05</v>
      </c>
      <c r="AB121" s="82" t="s">
        <v>548</v>
      </c>
      <c r="AC121" s="82" t="s">
        <v>548</v>
      </c>
      <c r="AD121" s="82" t="s">
        <v>548</v>
      </c>
      <c r="AE121" s="82" t="s">
        <v>548</v>
      </c>
      <c r="AF121" s="98">
        <v>0.1052</v>
      </c>
      <c r="AG121" s="91" t="s">
        <v>570</v>
      </c>
      <c r="AH121" s="82" t="s">
        <v>529</v>
      </c>
      <c r="AI121" s="88" t="s">
        <v>538</v>
      </c>
      <c r="AJ121" s="89" t="s">
        <v>538</v>
      </c>
      <c r="AK121" s="90">
        <v>46023</v>
      </c>
      <c r="AL121" s="90">
        <v>46387</v>
      </c>
      <c r="AM121" s="89"/>
      <c r="AN121" s="89"/>
      <c r="AO121" s="89"/>
      <c r="AP121" s="91" t="s">
        <v>571</v>
      </c>
      <c r="AQ121" s="90" cm="1">
        <f t="array" ref="AQ121">IFERROR(DATE(2026, _xlfn.AGGREGATE(15, 6, (COLUMN(BY121:CJ121)-COLUMN(BY121)+1)/(BY121:CJ121&lt;&gt;0), 1), 1),"N/A")</f>
        <v>46023</v>
      </c>
      <c r="AR121" s="90" cm="1">
        <f t="array" ref="AR121">IFERROR(EOMONTH(DATE(2026, _xlfn.AGGREGATE(14, 6, (COLUMN(BY121:CJ121)-COLUMN(BY121)+1)/(BY121:CJ121&lt;&gt;0), 1), 1), 0),"N/A")</f>
        <v>46387</v>
      </c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 t="s">
        <v>705</v>
      </c>
      <c r="BF121" s="89"/>
      <c r="BG121" s="82" t="str">
        <f t="shared" si="6"/>
        <v/>
      </c>
      <c r="BH121" s="88" t="s">
        <v>137</v>
      </c>
      <c r="BI121" s="92" t="s">
        <v>548</v>
      </c>
      <c r="BJ121" s="93">
        <v>0</v>
      </c>
      <c r="BK121" s="94" t="s">
        <v>548</v>
      </c>
      <c r="BL121" s="94" t="s">
        <v>548</v>
      </c>
      <c r="BM121" s="94" t="s">
        <v>548</v>
      </c>
      <c r="BN121" s="72" t="s">
        <v>548</v>
      </c>
      <c r="BO121" s="94" t="s">
        <v>548</v>
      </c>
      <c r="BP121" s="94" t="s">
        <v>548</v>
      </c>
      <c r="BQ121" s="94" t="s">
        <v>548</v>
      </c>
      <c r="BR121" s="94" t="s">
        <v>548</v>
      </c>
      <c r="BS121" s="94" t="s">
        <v>548</v>
      </c>
      <c r="BT121" s="94" t="s">
        <v>548</v>
      </c>
      <c r="BU121" s="94" t="s">
        <v>548</v>
      </c>
      <c r="BV121" s="142" t="s">
        <v>548</v>
      </c>
      <c r="BW121" s="142"/>
      <c r="BX121" s="143">
        <f t="shared" si="11"/>
        <v>0</v>
      </c>
      <c r="BY121" s="94" t="s">
        <v>548</v>
      </c>
      <c r="BZ121" s="94" t="s">
        <v>548</v>
      </c>
      <c r="CA121" s="94" t="s">
        <v>548</v>
      </c>
      <c r="CB121" s="72" t="s">
        <v>548</v>
      </c>
      <c r="CC121" s="94" t="s">
        <v>548</v>
      </c>
      <c r="CD121" s="94" t="s">
        <v>548</v>
      </c>
      <c r="CE121" s="94" t="s">
        <v>548</v>
      </c>
      <c r="CF121" s="94" t="s">
        <v>548</v>
      </c>
      <c r="CG121" s="94" t="s">
        <v>548</v>
      </c>
      <c r="CH121" s="94" t="s">
        <v>548</v>
      </c>
      <c r="CI121" s="94" t="s">
        <v>548</v>
      </c>
      <c r="CJ121" s="142" t="s">
        <v>548</v>
      </c>
      <c r="CK121" s="142"/>
      <c r="CL121" s="142">
        <f t="shared" si="7"/>
        <v>0</v>
      </c>
      <c r="CM121" s="171"/>
      <c r="CN121" s="171"/>
      <c r="CO121" s="171"/>
      <c r="CP121" s="171"/>
      <c r="CQ121" s="171"/>
      <c r="CR121" s="171"/>
      <c r="CS121" s="171">
        <f t="shared" si="8"/>
        <v>0</v>
      </c>
      <c r="CT121" s="171">
        <f t="shared" si="9"/>
        <v>0</v>
      </c>
      <c r="CU121" s="171">
        <f t="shared" si="10"/>
        <v>0</v>
      </c>
      <c r="CV121" s="151"/>
      <c r="CW121" s="151"/>
      <c r="CX121" s="130"/>
      <c r="CY121" s="130"/>
      <c r="CZ121" s="130"/>
      <c r="DA121" s="130"/>
      <c r="DB121" s="130"/>
      <c r="DC121" s="130"/>
      <c r="DD121" s="130"/>
      <c r="DE121" s="130"/>
      <c r="DF121" s="130"/>
      <c r="DG121" s="130"/>
      <c r="DH121" s="130"/>
      <c r="DI121" s="130"/>
      <c r="DJ121" s="130"/>
      <c r="DK121" s="130"/>
      <c r="DL121" s="130"/>
      <c r="DM121" s="130"/>
      <c r="DN121" s="130"/>
      <c r="DO121" s="130"/>
      <c r="DP121" s="130"/>
      <c r="DQ121" s="130"/>
      <c r="DR121" s="130"/>
      <c r="DS121" s="130"/>
      <c r="DT121" s="130"/>
      <c r="DU121" s="130"/>
      <c r="DV121" s="130"/>
      <c r="DW121" s="130"/>
      <c r="DX121" s="130"/>
      <c r="DY121" s="130"/>
      <c r="DZ121" s="130"/>
      <c r="EA121" s="130"/>
      <c r="EB121" s="130"/>
      <c r="EC121" s="130"/>
      <c r="ED121" s="130"/>
      <c r="EE121" s="130"/>
      <c r="EF121" s="130"/>
      <c r="EG121" s="130"/>
      <c r="EH121" s="130"/>
      <c r="EI121" s="130"/>
      <c r="EJ121" s="130"/>
      <c r="EK121" s="130"/>
      <c r="EL121" s="130"/>
      <c r="EM121" s="130"/>
      <c r="EN121" s="130"/>
      <c r="EO121" s="130"/>
      <c r="EP121" s="130"/>
      <c r="EQ121" s="130"/>
      <c r="ER121" s="130"/>
      <c r="ES121" s="130"/>
      <c r="ET121" s="130"/>
      <c r="EU121" s="130"/>
      <c r="EV121" s="130"/>
      <c r="EW121" s="130"/>
      <c r="EX121" s="130"/>
      <c r="EY121" s="130"/>
      <c r="EZ121" s="130"/>
      <c r="FA121" s="130"/>
      <c r="FB121" s="201"/>
      <c r="FC121" s="201"/>
      <c r="FD121" s="201"/>
      <c r="FE121" s="201"/>
      <c r="FF121" s="201"/>
      <c r="FG121" s="201"/>
      <c r="FH121" s="201"/>
      <c r="FI121" s="201"/>
      <c r="FJ121" s="201"/>
      <c r="FK121" s="201"/>
      <c r="FL121" s="201"/>
      <c r="FM121" s="201"/>
      <c r="FN121" s="201"/>
      <c r="FO121" s="201"/>
      <c r="FP121" s="201"/>
      <c r="FQ121" s="201"/>
      <c r="FR121" s="201"/>
      <c r="FS121" s="201"/>
      <c r="FT121" s="201"/>
      <c r="FU121" s="201"/>
      <c r="FV121" s="201"/>
      <c r="FW121" s="201"/>
      <c r="FX121" s="201"/>
      <c r="FY121" s="201"/>
      <c r="FZ121" s="201"/>
      <c r="GA121" s="201"/>
      <c r="GB121" s="201"/>
      <c r="GC121" s="201"/>
      <c r="GD121" s="201"/>
      <c r="GE121" s="201"/>
      <c r="GF121" s="201"/>
      <c r="GG121" s="201"/>
      <c r="GH121" s="201"/>
      <c r="GI121" s="201"/>
      <c r="GJ121" s="201"/>
      <c r="GK121" s="201"/>
      <c r="GL121" s="201"/>
      <c r="GM121" s="201"/>
      <c r="GN121" s="201"/>
      <c r="GO121" s="201"/>
      <c r="GP121" s="201"/>
      <c r="GQ121" s="201"/>
    </row>
    <row r="122" spans="1:204" s="68" customFormat="1" ht="14.45" customHeight="1" x14ac:dyDescent="0.25">
      <c r="A122" s="68" t="s">
        <v>694</v>
      </c>
      <c r="B122" s="82" t="s">
        <v>154</v>
      </c>
      <c r="C122" s="82" t="s">
        <v>172</v>
      </c>
      <c r="D122" s="82" t="s">
        <v>196</v>
      </c>
      <c r="E122" s="82" t="s">
        <v>309</v>
      </c>
      <c r="F122" s="82" t="s">
        <v>549</v>
      </c>
      <c r="G122" s="82" t="s">
        <v>137</v>
      </c>
      <c r="H122" s="82" t="s">
        <v>137</v>
      </c>
      <c r="I122" s="82" t="s">
        <v>66</v>
      </c>
      <c r="J122" s="82" t="s">
        <v>30</v>
      </c>
      <c r="K122" s="92" t="s">
        <v>137</v>
      </c>
      <c r="L122" s="92" t="s">
        <v>137</v>
      </c>
      <c r="M122" s="92" t="s">
        <v>137</v>
      </c>
      <c r="N122" s="92" t="s">
        <v>137</v>
      </c>
      <c r="O122" s="92" t="s">
        <v>137</v>
      </c>
      <c r="P122" s="92" t="s">
        <v>137</v>
      </c>
      <c r="Q122" s="82" t="s">
        <v>554</v>
      </c>
      <c r="R122" s="82" t="s">
        <v>553</v>
      </c>
      <c r="S122" s="82" t="s">
        <v>557</v>
      </c>
      <c r="T122" s="82" t="s">
        <v>2</v>
      </c>
      <c r="U122" s="82" t="s">
        <v>548</v>
      </c>
      <c r="V122" s="82" t="s">
        <v>548</v>
      </c>
      <c r="W122" s="82" t="s">
        <v>548</v>
      </c>
      <c r="X122" s="71" t="s">
        <v>548</v>
      </c>
      <c r="Y122" s="82" t="s">
        <v>548</v>
      </c>
      <c r="Z122" s="82" t="s">
        <v>548</v>
      </c>
      <c r="AA122" s="97">
        <v>0.05</v>
      </c>
      <c r="AB122" s="82" t="s">
        <v>548</v>
      </c>
      <c r="AC122" s="82" t="s">
        <v>548</v>
      </c>
      <c r="AD122" s="82" t="s">
        <v>548</v>
      </c>
      <c r="AE122" s="82" t="s">
        <v>548</v>
      </c>
      <c r="AF122" s="98">
        <v>0.1052</v>
      </c>
      <c r="AG122" s="91" t="s">
        <v>564</v>
      </c>
      <c r="AH122" s="82" t="s">
        <v>529</v>
      </c>
      <c r="AI122" s="88" t="s">
        <v>538</v>
      </c>
      <c r="AJ122" s="89" t="s">
        <v>538</v>
      </c>
      <c r="AK122" s="90">
        <v>46023</v>
      </c>
      <c r="AL122" s="90">
        <v>46387</v>
      </c>
      <c r="AM122" s="89"/>
      <c r="AN122" s="89"/>
      <c r="AO122" s="89"/>
      <c r="AP122" s="91" t="s">
        <v>562</v>
      </c>
      <c r="AQ122" s="90" cm="1">
        <f t="array" ref="AQ122">IFERROR(DATE(2026, _xlfn.AGGREGATE(15, 6, (COLUMN(BY122:CJ122)-COLUMN(BY122)+1)/(BY122:CJ122&lt;&gt;0), 1), 1),"N/A")</f>
        <v>46023</v>
      </c>
      <c r="AR122" s="90" cm="1">
        <f t="array" ref="AR122">IFERROR(EOMONTH(DATE(2026, _xlfn.AGGREGATE(14, 6, (COLUMN(BY122:CJ122)-COLUMN(BY122)+1)/(BY122:CJ122&lt;&gt;0), 1), 1), 0),"N/A")</f>
        <v>46387</v>
      </c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 t="s">
        <v>705</v>
      </c>
      <c r="BF122" s="89"/>
      <c r="BG122" s="82" t="str">
        <f t="shared" si="6"/>
        <v/>
      </c>
      <c r="BH122" s="88" t="s">
        <v>137</v>
      </c>
      <c r="BI122" s="92" t="s">
        <v>548</v>
      </c>
      <c r="BJ122" s="93">
        <v>0</v>
      </c>
      <c r="BK122" s="94" t="s">
        <v>548</v>
      </c>
      <c r="BL122" s="94" t="s">
        <v>548</v>
      </c>
      <c r="BM122" s="94" t="s">
        <v>548</v>
      </c>
      <c r="BN122" s="72" t="s">
        <v>548</v>
      </c>
      <c r="BO122" s="94" t="s">
        <v>548</v>
      </c>
      <c r="BP122" s="94" t="s">
        <v>548</v>
      </c>
      <c r="BQ122" s="94" t="s">
        <v>548</v>
      </c>
      <c r="BR122" s="94" t="s">
        <v>548</v>
      </c>
      <c r="BS122" s="94" t="s">
        <v>548</v>
      </c>
      <c r="BT122" s="94" t="s">
        <v>548</v>
      </c>
      <c r="BU122" s="94" t="s">
        <v>548</v>
      </c>
      <c r="BV122" s="142" t="s">
        <v>548</v>
      </c>
      <c r="BW122" s="142"/>
      <c r="BX122" s="143">
        <f t="shared" si="11"/>
        <v>0</v>
      </c>
      <c r="BY122" s="94" t="s">
        <v>548</v>
      </c>
      <c r="BZ122" s="94" t="s">
        <v>548</v>
      </c>
      <c r="CA122" s="94" t="s">
        <v>548</v>
      </c>
      <c r="CB122" s="72" t="s">
        <v>548</v>
      </c>
      <c r="CC122" s="94" t="s">
        <v>548</v>
      </c>
      <c r="CD122" s="94" t="s">
        <v>548</v>
      </c>
      <c r="CE122" s="94" t="s">
        <v>548</v>
      </c>
      <c r="CF122" s="94" t="s">
        <v>548</v>
      </c>
      <c r="CG122" s="94" t="s">
        <v>548</v>
      </c>
      <c r="CH122" s="94" t="s">
        <v>548</v>
      </c>
      <c r="CI122" s="94" t="s">
        <v>548</v>
      </c>
      <c r="CJ122" s="142" t="s">
        <v>548</v>
      </c>
      <c r="CK122" s="142"/>
      <c r="CL122" s="142">
        <f t="shared" si="7"/>
        <v>0</v>
      </c>
      <c r="CM122" s="171"/>
      <c r="CN122" s="171"/>
      <c r="CO122" s="171"/>
      <c r="CP122" s="171"/>
      <c r="CQ122" s="171"/>
      <c r="CR122" s="171"/>
      <c r="CS122" s="171">
        <f t="shared" si="8"/>
        <v>0</v>
      </c>
      <c r="CT122" s="171">
        <f t="shared" si="9"/>
        <v>0</v>
      </c>
      <c r="CU122" s="171">
        <f t="shared" si="10"/>
        <v>0</v>
      </c>
      <c r="CV122" s="151"/>
      <c r="CW122" s="151"/>
      <c r="CX122" s="130"/>
      <c r="CY122" s="130"/>
      <c r="CZ122" s="130"/>
      <c r="DA122" s="130"/>
      <c r="DB122" s="130"/>
      <c r="DC122" s="130"/>
      <c r="DD122" s="130"/>
      <c r="DE122" s="130"/>
      <c r="DF122" s="130"/>
      <c r="DG122" s="130"/>
      <c r="DH122" s="130"/>
      <c r="DI122" s="130"/>
      <c r="DJ122" s="130"/>
      <c r="DK122" s="130"/>
      <c r="DL122" s="130"/>
      <c r="DM122" s="130"/>
      <c r="DN122" s="130"/>
      <c r="DO122" s="130"/>
      <c r="DP122" s="130"/>
      <c r="DQ122" s="130"/>
      <c r="DR122" s="130"/>
      <c r="DS122" s="130"/>
      <c r="DT122" s="130"/>
      <c r="DU122" s="130"/>
      <c r="DV122" s="130"/>
      <c r="DW122" s="130"/>
      <c r="DX122" s="130"/>
      <c r="DY122" s="130"/>
      <c r="DZ122" s="130"/>
      <c r="EA122" s="130"/>
      <c r="EB122" s="130"/>
      <c r="EC122" s="130"/>
      <c r="ED122" s="130"/>
      <c r="EE122" s="130"/>
      <c r="EF122" s="130"/>
      <c r="EG122" s="130"/>
      <c r="EH122" s="130"/>
      <c r="EI122" s="130"/>
      <c r="EJ122" s="130"/>
      <c r="EK122" s="130"/>
      <c r="EL122" s="130"/>
      <c r="EM122" s="130"/>
      <c r="EN122" s="130"/>
      <c r="EO122" s="130"/>
      <c r="EP122" s="130"/>
      <c r="EQ122" s="130"/>
      <c r="ER122" s="130"/>
      <c r="ES122" s="130"/>
      <c r="ET122" s="130"/>
      <c r="EU122" s="130"/>
      <c r="EV122" s="130"/>
      <c r="EW122" s="130"/>
      <c r="EX122" s="130"/>
      <c r="EY122" s="130"/>
      <c r="EZ122" s="130"/>
      <c r="FA122" s="130"/>
      <c r="FB122" s="201"/>
      <c r="FC122" s="201"/>
      <c r="FD122" s="201"/>
      <c r="FE122" s="201"/>
      <c r="FF122" s="201"/>
      <c r="FG122" s="201"/>
      <c r="FH122" s="201"/>
      <c r="FI122" s="201"/>
      <c r="FJ122" s="201"/>
      <c r="FK122" s="201"/>
      <c r="FL122" s="201"/>
      <c r="FM122" s="201"/>
      <c r="FN122" s="201"/>
      <c r="FO122" s="201"/>
      <c r="FP122" s="201"/>
      <c r="FQ122" s="201"/>
      <c r="FR122" s="201"/>
      <c r="FS122" s="201"/>
      <c r="FT122" s="201"/>
      <c r="FU122" s="201"/>
      <c r="FV122" s="201"/>
      <c r="FW122" s="201"/>
      <c r="FX122" s="201"/>
      <c r="FY122" s="201"/>
      <c r="FZ122" s="201"/>
      <c r="GA122" s="201"/>
      <c r="GB122" s="201"/>
      <c r="GC122" s="201"/>
      <c r="GD122" s="201"/>
      <c r="GE122" s="201"/>
      <c r="GF122" s="201"/>
      <c r="GG122" s="201"/>
      <c r="GH122" s="201"/>
      <c r="GI122" s="201"/>
      <c r="GJ122" s="201"/>
      <c r="GK122" s="201"/>
      <c r="GL122" s="201"/>
      <c r="GM122" s="201"/>
      <c r="GN122" s="201"/>
      <c r="GO122" s="201"/>
      <c r="GP122" s="201"/>
      <c r="GQ122" s="201"/>
    </row>
    <row r="123" spans="1:204" s="68" customFormat="1" ht="14.45" customHeight="1" x14ac:dyDescent="0.25">
      <c r="A123" s="68" t="s">
        <v>697</v>
      </c>
      <c r="B123" s="82" t="s">
        <v>154</v>
      </c>
      <c r="C123" s="82" t="s">
        <v>172</v>
      </c>
      <c r="D123" s="82" t="s">
        <v>196</v>
      </c>
      <c r="E123" s="82" t="s">
        <v>309</v>
      </c>
      <c r="F123" s="82" t="s">
        <v>549</v>
      </c>
      <c r="G123" s="82" t="s">
        <v>137</v>
      </c>
      <c r="H123" s="82" t="s">
        <v>137</v>
      </c>
      <c r="I123" s="82" t="s">
        <v>66</v>
      </c>
      <c r="J123" s="82" t="s">
        <v>30</v>
      </c>
      <c r="K123" s="92" t="s">
        <v>137</v>
      </c>
      <c r="L123" s="92" t="s">
        <v>137</v>
      </c>
      <c r="M123" s="92" t="s">
        <v>137</v>
      </c>
      <c r="N123" s="92" t="s">
        <v>137</v>
      </c>
      <c r="O123" s="92" t="s">
        <v>137</v>
      </c>
      <c r="P123" s="92" t="s">
        <v>137</v>
      </c>
      <c r="Q123" s="82" t="s">
        <v>554</v>
      </c>
      <c r="R123" s="82" t="s">
        <v>553</v>
      </c>
      <c r="S123" s="82" t="s">
        <v>557</v>
      </c>
      <c r="T123" s="82" t="s">
        <v>2</v>
      </c>
      <c r="U123" s="82" t="s">
        <v>548</v>
      </c>
      <c r="V123" s="82" t="s">
        <v>548</v>
      </c>
      <c r="W123" s="82" t="s">
        <v>548</v>
      </c>
      <c r="X123" s="71" t="s">
        <v>548</v>
      </c>
      <c r="Y123" s="82" t="s">
        <v>548</v>
      </c>
      <c r="Z123" s="82" t="s">
        <v>548</v>
      </c>
      <c r="AA123" s="97">
        <v>0.05</v>
      </c>
      <c r="AB123" s="82" t="s">
        <v>548</v>
      </c>
      <c r="AC123" s="82" t="s">
        <v>548</v>
      </c>
      <c r="AD123" s="82" t="s">
        <v>548</v>
      </c>
      <c r="AE123" s="82" t="s">
        <v>548</v>
      </c>
      <c r="AF123" s="98">
        <v>0.1052</v>
      </c>
      <c r="AG123" s="91" t="s">
        <v>565</v>
      </c>
      <c r="AH123" s="82" t="s">
        <v>529</v>
      </c>
      <c r="AI123" s="88" t="s">
        <v>538</v>
      </c>
      <c r="AJ123" s="89" t="s">
        <v>538</v>
      </c>
      <c r="AK123" s="90">
        <v>46023</v>
      </c>
      <c r="AL123" s="90">
        <v>46387</v>
      </c>
      <c r="AM123" s="89"/>
      <c r="AN123" s="89"/>
      <c r="AO123" s="89"/>
      <c r="AP123" s="91" t="s">
        <v>566</v>
      </c>
      <c r="AQ123" s="90" cm="1">
        <f t="array" ref="AQ123">IFERROR(DATE(2026, _xlfn.AGGREGATE(15, 6, (COLUMN(BY123:CJ123)-COLUMN(BY123)+1)/(BY123:CJ123&lt;&gt;0), 1), 1),"N/A")</f>
        <v>46023</v>
      </c>
      <c r="AR123" s="90" cm="1">
        <f t="array" ref="AR123">IFERROR(EOMONTH(DATE(2026, _xlfn.AGGREGATE(14, 6, (COLUMN(BY123:CJ123)-COLUMN(BY123)+1)/(BY123:CJ123&lt;&gt;0), 1), 1), 0),"N/A")</f>
        <v>46387</v>
      </c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 t="s">
        <v>705</v>
      </c>
      <c r="BF123" s="89"/>
      <c r="BG123" s="82" t="str">
        <f t="shared" si="6"/>
        <v/>
      </c>
      <c r="BH123" s="88" t="s">
        <v>137</v>
      </c>
      <c r="BI123" s="92" t="s">
        <v>548</v>
      </c>
      <c r="BJ123" s="93">
        <v>0</v>
      </c>
      <c r="BK123" s="94" t="s">
        <v>548</v>
      </c>
      <c r="BL123" s="94" t="s">
        <v>548</v>
      </c>
      <c r="BM123" s="94" t="s">
        <v>548</v>
      </c>
      <c r="BN123" s="72" t="s">
        <v>548</v>
      </c>
      <c r="BO123" s="94" t="s">
        <v>548</v>
      </c>
      <c r="BP123" s="94" t="s">
        <v>548</v>
      </c>
      <c r="BQ123" s="94" t="s">
        <v>548</v>
      </c>
      <c r="BR123" s="94" t="s">
        <v>548</v>
      </c>
      <c r="BS123" s="94" t="s">
        <v>548</v>
      </c>
      <c r="BT123" s="94" t="s">
        <v>548</v>
      </c>
      <c r="BU123" s="94" t="s">
        <v>548</v>
      </c>
      <c r="BV123" s="142" t="s">
        <v>548</v>
      </c>
      <c r="BW123" s="142"/>
      <c r="BX123" s="143">
        <f t="shared" si="11"/>
        <v>0</v>
      </c>
      <c r="BY123" s="94" t="s">
        <v>548</v>
      </c>
      <c r="BZ123" s="94" t="s">
        <v>548</v>
      </c>
      <c r="CA123" s="94" t="s">
        <v>548</v>
      </c>
      <c r="CB123" s="72" t="s">
        <v>548</v>
      </c>
      <c r="CC123" s="94" t="s">
        <v>548</v>
      </c>
      <c r="CD123" s="94" t="s">
        <v>548</v>
      </c>
      <c r="CE123" s="94" t="s">
        <v>548</v>
      </c>
      <c r="CF123" s="94" t="s">
        <v>548</v>
      </c>
      <c r="CG123" s="94" t="s">
        <v>548</v>
      </c>
      <c r="CH123" s="94" t="s">
        <v>548</v>
      </c>
      <c r="CI123" s="94" t="s">
        <v>548</v>
      </c>
      <c r="CJ123" s="142" t="s">
        <v>548</v>
      </c>
      <c r="CK123" s="142"/>
      <c r="CL123" s="142">
        <f t="shared" si="7"/>
        <v>0</v>
      </c>
      <c r="CM123" s="171"/>
      <c r="CN123" s="171"/>
      <c r="CO123" s="171"/>
      <c r="CP123" s="171"/>
      <c r="CQ123" s="171"/>
      <c r="CR123" s="171"/>
      <c r="CS123" s="171">
        <f t="shared" si="8"/>
        <v>0</v>
      </c>
      <c r="CT123" s="171">
        <f t="shared" si="9"/>
        <v>0</v>
      </c>
      <c r="CU123" s="171">
        <f t="shared" si="10"/>
        <v>0</v>
      </c>
      <c r="CV123" s="151"/>
      <c r="CW123" s="151"/>
      <c r="CX123" s="130"/>
      <c r="CY123" s="130"/>
      <c r="CZ123" s="130"/>
      <c r="DA123" s="130"/>
      <c r="DB123" s="130"/>
      <c r="DC123" s="130"/>
      <c r="DD123" s="130"/>
      <c r="DE123" s="130"/>
      <c r="DF123" s="130"/>
      <c r="DG123" s="130"/>
      <c r="DH123" s="130"/>
      <c r="DI123" s="130"/>
      <c r="DJ123" s="130"/>
      <c r="DK123" s="130"/>
      <c r="DL123" s="130"/>
      <c r="DM123" s="130"/>
      <c r="DN123" s="130"/>
      <c r="DO123" s="130"/>
      <c r="DP123" s="130"/>
      <c r="DQ123" s="130"/>
      <c r="DR123" s="130"/>
      <c r="DS123" s="130"/>
      <c r="DT123" s="130"/>
      <c r="DU123" s="130"/>
      <c r="DV123" s="130"/>
      <c r="DW123" s="130"/>
      <c r="DX123" s="130"/>
      <c r="DY123" s="130"/>
      <c r="DZ123" s="130"/>
      <c r="EA123" s="130"/>
      <c r="EB123" s="130"/>
      <c r="EC123" s="130"/>
      <c r="ED123" s="130"/>
      <c r="EE123" s="130"/>
      <c r="EF123" s="130"/>
      <c r="EG123" s="130"/>
      <c r="EH123" s="130"/>
      <c r="EI123" s="130"/>
      <c r="EJ123" s="130"/>
      <c r="EK123" s="130"/>
      <c r="EL123" s="130"/>
      <c r="EM123" s="130"/>
      <c r="EN123" s="130"/>
      <c r="EO123" s="130"/>
      <c r="EP123" s="130"/>
      <c r="EQ123" s="130"/>
      <c r="ER123" s="130"/>
      <c r="ES123" s="130"/>
      <c r="ET123" s="130"/>
      <c r="EU123" s="130"/>
      <c r="EV123" s="130"/>
      <c r="EW123" s="130"/>
      <c r="EX123" s="130"/>
      <c r="EY123" s="130"/>
      <c r="EZ123" s="130"/>
      <c r="FA123" s="130"/>
      <c r="FB123" s="201"/>
      <c r="FC123" s="201"/>
      <c r="FD123" s="201"/>
      <c r="FE123" s="201"/>
      <c r="FF123" s="201"/>
      <c r="FG123" s="201"/>
      <c r="FH123" s="201"/>
      <c r="FI123" s="201"/>
      <c r="FJ123" s="201"/>
      <c r="FK123" s="201"/>
      <c r="FL123" s="201"/>
      <c r="FM123" s="201"/>
      <c r="FN123" s="201"/>
      <c r="FO123" s="201"/>
      <c r="FP123" s="201"/>
      <c r="FQ123" s="201"/>
      <c r="FR123" s="201"/>
      <c r="FS123" s="201"/>
      <c r="FT123" s="201"/>
      <c r="FU123" s="201"/>
      <c r="FV123" s="201"/>
      <c r="FW123" s="201"/>
      <c r="FX123" s="201"/>
      <c r="FY123" s="201"/>
      <c r="FZ123" s="201"/>
      <c r="GA123" s="201"/>
      <c r="GB123" s="201"/>
      <c r="GC123" s="201"/>
      <c r="GD123" s="201"/>
      <c r="GE123" s="201"/>
      <c r="GF123" s="201"/>
      <c r="GG123" s="201"/>
      <c r="GH123" s="201"/>
      <c r="GI123" s="201"/>
      <c r="GJ123" s="201"/>
      <c r="GK123" s="201"/>
      <c r="GL123" s="201"/>
      <c r="GM123" s="201"/>
      <c r="GN123" s="201"/>
      <c r="GO123" s="201"/>
      <c r="GP123" s="201"/>
      <c r="GQ123" s="201"/>
    </row>
    <row r="124" spans="1:204" s="68" customFormat="1" ht="14.45" customHeight="1" x14ac:dyDescent="0.25">
      <c r="A124" s="68" t="s">
        <v>699</v>
      </c>
      <c r="B124" s="82" t="s">
        <v>154</v>
      </c>
      <c r="C124" s="82" t="s">
        <v>172</v>
      </c>
      <c r="D124" s="82" t="s">
        <v>196</v>
      </c>
      <c r="E124" s="82" t="s">
        <v>309</v>
      </c>
      <c r="F124" s="82" t="s">
        <v>549</v>
      </c>
      <c r="G124" s="82" t="s">
        <v>137</v>
      </c>
      <c r="H124" s="82" t="s">
        <v>137</v>
      </c>
      <c r="I124" s="82" t="s">
        <v>66</v>
      </c>
      <c r="J124" s="82" t="s">
        <v>30</v>
      </c>
      <c r="K124" s="92" t="s">
        <v>137</v>
      </c>
      <c r="L124" s="92" t="s">
        <v>137</v>
      </c>
      <c r="M124" s="92" t="s">
        <v>137</v>
      </c>
      <c r="N124" s="92" t="s">
        <v>137</v>
      </c>
      <c r="O124" s="92" t="s">
        <v>137</v>
      </c>
      <c r="P124" s="92" t="s">
        <v>137</v>
      </c>
      <c r="Q124" s="82" t="s">
        <v>554</v>
      </c>
      <c r="R124" s="82" t="s">
        <v>553</v>
      </c>
      <c r="S124" s="82" t="s">
        <v>557</v>
      </c>
      <c r="T124" s="82" t="s">
        <v>2</v>
      </c>
      <c r="U124" s="82" t="s">
        <v>548</v>
      </c>
      <c r="V124" s="82" t="s">
        <v>548</v>
      </c>
      <c r="W124" s="82" t="s">
        <v>548</v>
      </c>
      <c r="X124" s="71" t="s">
        <v>548</v>
      </c>
      <c r="Y124" s="82" t="s">
        <v>548</v>
      </c>
      <c r="Z124" s="82" t="s">
        <v>548</v>
      </c>
      <c r="AA124" s="97">
        <v>0.05</v>
      </c>
      <c r="AB124" s="82" t="s">
        <v>548</v>
      </c>
      <c r="AC124" s="82" t="s">
        <v>548</v>
      </c>
      <c r="AD124" s="82" t="s">
        <v>548</v>
      </c>
      <c r="AE124" s="82" t="s">
        <v>548</v>
      </c>
      <c r="AF124" s="98">
        <v>0.1052</v>
      </c>
      <c r="AG124" s="91" t="s">
        <v>568</v>
      </c>
      <c r="AH124" s="82" t="s">
        <v>529</v>
      </c>
      <c r="AI124" s="88" t="s">
        <v>538</v>
      </c>
      <c r="AJ124" s="89" t="s">
        <v>538</v>
      </c>
      <c r="AK124" s="90">
        <v>46357</v>
      </c>
      <c r="AL124" s="90">
        <v>46387</v>
      </c>
      <c r="AM124" s="89"/>
      <c r="AN124" s="89"/>
      <c r="AO124" s="89"/>
      <c r="AP124" s="91" t="s">
        <v>569</v>
      </c>
      <c r="AQ124" s="90" cm="1">
        <f t="array" ref="AQ124">IFERROR(DATE(2026, _xlfn.AGGREGATE(15, 6, (COLUMN(BY124:CJ124)-COLUMN(BY124)+1)/(BY124:CJ124&lt;&gt;0), 1), 1),"N/A")</f>
        <v>46023</v>
      </c>
      <c r="AR124" s="90" cm="1">
        <f t="array" ref="AR124">IFERROR(EOMONTH(DATE(2026, _xlfn.AGGREGATE(14, 6, (COLUMN(BY124:CJ124)-COLUMN(BY124)+1)/(BY124:CJ124&lt;&gt;0), 1), 1), 0),"N/A")</f>
        <v>46387</v>
      </c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 t="s">
        <v>705</v>
      </c>
      <c r="BF124" s="89"/>
      <c r="BG124" s="82" t="str">
        <f t="shared" si="6"/>
        <v/>
      </c>
      <c r="BH124" s="88" t="s">
        <v>137</v>
      </c>
      <c r="BI124" s="92" t="s">
        <v>548</v>
      </c>
      <c r="BJ124" s="93">
        <v>0</v>
      </c>
      <c r="BK124" s="94" t="s">
        <v>548</v>
      </c>
      <c r="BL124" s="94" t="s">
        <v>548</v>
      </c>
      <c r="BM124" s="94" t="s">
        <v>548</v>
      </c>
      <c r="BN124" s="72" t="s">
        <v>548</v>
      </c>
      <c r="BO124" s="94" t="s">
        <v>548</v>
      </c>
      <c r="BP124" s="94" t="s">
        <v>548</v>
      </c>
      <c r="BQ124" s="94" t="s">
        <v>548</v>
      </c>
      <c r="BR124" s="94" t="s">
        <v>548</v>
      </c>
      <c r="BS124" s="94" t="s">
        <v>548</v>
      </c>
      <c r="BT124" s="94" t="s">
        <v>548</v>
      </c>
      <c r="BU124" s="94" t="s">
        <v>548</v>
      </c>
      <c r="BV124" s="142" t="s">
        <v>548</v>
      </c>
      <c r="BW124" s="142"/>
      <c r="BX124" s="143">
        <f t="shared" si="11"/>
        <v>0</v>
      </c>
      <c r="BY124" s="94" t="s">
        <v>548</v>
      </c>
      <c r="BZ124" s="94" t="s">
        <v>548</v>
      </c>
      <c r="CA124" s="94" t="s">
        <v>548</v>
      </c>
      <c r="CB124" s="72" t="s">
        <v>548</v>
      </c>
      <c r="CC124" s="94" t="s">
        <v>548</v>
      </c>
      <c r="CD124" s="94" t="s">
        <v>548</v>
      </c>
      <c r="CE124" s="94" t="s">
        <v>548</v>
      </c>
      <c r="CF124" s="94" t="s">
        <v>548</v>
      </c>
      <c r="CG124" s="94" t="s">
        <v>548</v>
      </c>
      <c r="CH124" s="94" t="s">
        <v>548</v>
      </c>
      <c r="CI124" s="94" t="s">
        <v>548</v>
      </c>
      <c r="CJ124" s="142" t="s">
        <v>548</v>
      </c>
      <c r="CK124" s="142"/>
      <c r="CL124" s="142">
        <f t="shared" si="7"/>
        <v>0</v>
      </c>
      <c r="CM124" s="171"/>
      <c r="CN124" s="171"/>
      <c r="CO124" s="171"/>
      <c r="CP124" s="171"/>
      <c r="CQ124" s="171"/>
      <c r="CR124" s="171"/>
      <c r="CS124" s="171">
        <f t="shared" si="8"/>
        <v>0</v>
      </c>
      <c r="CT124" s="171">
        <f t="shared" si="9"/>
        <v>0</v>
      </c>
      <c r="CU124" s="171">
        <f t="shared" si="10"/>
        <v>0</v>
      </c>
      <c r="CV124" s="151"/>
      <c r="CW124" s="151"/>
      <c r="CX124" s="130"/>
      <c r="CY124" s="130"/>
      <c r="CZ124" s="130"/>
      <c r="DA124" s="130"/>
      <c r="DB124" s="130"/>
      <c r="DC124" s="130"/>
      <c r="DD124" s="130"/>
      <c r="DE124" s="130"/>
      <c r="DF124" s="130"/>
      <c r="DG124" s="130"/>
      <c r="DH124" s="130"/>
      <c r="DI124" s="130"/>
      <c r="DJ124" s="130"/>
      <c r="DK124" s="130"/>
      <c r="DL124" s="130"/>
      <c r="DM124" s="130"/>
      <c r="DN124" s="130"/>
      <c r="DO124" s="130"/>
      <c r="DP124" s="130"/>
      <c r="DQ124" s="130"/>
      <c r="DR124" s="130"/>
      <c r="DS124" s="130"/>
      <c r="DT124" s="130"/>
      <c r="DU124" s="130"/>
      <c r="DV124" s="130"/>
      <c r="DW124" s="130"/>
      <c r="DX124" s="130"/>
      <c r="DY124" s="130"/>
      <c r="DZ124" s="130"/>
      <c r="EA124" s="130"/>
      <c r="EB124" s="130"/>
      <c r="EC124" s="130"/>
      <c r="ED124" s="130"/>
      <c r="EE124" s="130"/>
      <c r="EF124" s="130"/>
      <c r="EG124" s="130"/>
      <c r="EH124" s="130"/>
      <c r="EI124" s="130"/>
      <c r="EJ124" s="130"/>
      <c r="EK124" s="130"/>
      <c r="EL124" s="130"/>
      <c r="EM124" s="130"/>
      <c r="EN124" s="130"/>
      <c r="EO124" s="130"/>
      <c r="EP124" s="130"/>
      <c r="EQ124" s="130"/>
      <c r="ER124" s="130"/>
      <c r="ES124" s="130"/>
      <c r="ET124" s="130"/>
      <c r="EU124" s="130"/>
      <c r="EV124" s="130"/>
      <c r="EW124" s="130"/>
      <c r="EX124" s="130"/>
      <c r="EY124" s="130"/>
      <c r="EZ124" s="130"/>
      <c r="FA124" s="130"/>
      <c r="FB124" s="201"/>
      <c r="FC124" s="201"/>
      <c r="FD124" s="201"/>
      <c r="FE124" s="201"/>
      <c r="FF124" s="201"/>
      <c r="FG124" s="201"/>
      <c r="FH124" s="201"/>
      <c r="FI124" s="201"/>
      <c r="FJ124" s="201"/>
      <c r="FK124" s="201"/>
      <c r="FL124" s="201"/>
      <c r="FM124" s="201"/>
      <c r="FN124" s="201"/>
      <c r="FO124" s="201"/>
      <c r="FP124" s="201"/>
      <c r="FQ124" s="201"/>
      <c r="FR124" s="201"/>
      <c r="FS124" s="201"/>
      <c r="FT124" s="201"/>
      <c r="FU124" s="201"/>
      <c r="FV124" s="201"/>
      <c r="FW124" s="201"/>
      <c r="FX124" s="201"/>
      <c r="FY124" s="201"/>
      <c r="FZ124" s="201"/>
      <c r="GA124" s="201"/>
      <c r="GB124" s="201"/>
      <c r="GC124" s="201"/>
      <c r="GD124" s="201"/>
      <c r="GE124" s="201"/>
      <c r="GF124" s="201"/>
      <c r="GG124" s="201"/>
      <c r="GH124" s="201"/>
      <c r="GI124" s="201"/>
      <c r="GJ124" s="201"/>
      <c r="GK124" s="201"/>
      <c r="GL124" s="201"/>
      <c r="GM124" s="201"/>
      <c r="GN124" s="201"/>
      <c r="GO124" s="201"/>
      <c r="GP124" s="201"/>
      <c r="GQ124" s="201"/>
    </row>
    <row r="125" spans="1:204" s="68" customFormat="1" ht="14.45" customHeight="1" x14ac:dyDescent="0.25">
      <c r="A125" s="68" t="s">
        <v>695</v>
      </c>
      <c r="B125" s="82" t="s">
        <v>154</v>
      </c>
      <c r="C125" s="82" t="s">
        <v>172</v>
      </c>
      <c r="D125" s="82" t="s">
        <v>196</v>
      </c>
      <c r="E125" s="82" t="s">
        <v>309</v>
      </c>
      <c r="F125" s="82" t="s">
        <v>549</v>
      </c>
      <c r="G125" s="82" t="s">
        <v>137</v>
      </c>
      <c r="H125" s="82" t="s">
        <v>137</v>
      </c>
      <c r="I125" s="82" t="s">
        <v>66</v>
      </c>
      <c r="J125" s="82" t="s">
        <v>30</v>
      </c>
      <c r="K125" s="92" t="s">
        <v>137</v>
      </c>
      <c r="L125" s="92" t="s">
        <v>137</v>
      </c>
      <c r="M125" s="92" t="s">
        <v>137</v>
      </c>
      <c r="N125" s="92" t="s">
        <v>137</v>
      </c>
      <c r="O125" s="92" t="s">
        <v>137</v>
      </c>
      <c r="P125" s="92" t="s">
        <v>137</v>
      </c>
      <c r="Q125" s="82" t="s">
        <v>554</v>
      </c>
      <c r="R125" s="82" t="s">
        <v>553</v>
      </c>
      <c r="S125" s="82" t="s">
        <v>557</v>
      </c>
      <c r="T125" s="82" t="s">
        <v>2</v>
      </c>
      <c r="U125" s="82" t="s">
        <v>548</v>
      </c>
      <c r="V125" s="82" t="s">
        <v>548</v>
      </c>
      <c r="W125" s="82" t="s">
        <v>548</v>
      </c>
      <c r="X125" s="71" t="s">
        <v>548</v>
      </c>
      <c r="Y125" s="82" t="s">
        <v>548</v>
      </c>
      <c r="Z125" s="82" t="s">
        <v>548</v>
      </c>
      <c r="AA125" s="97">
        <v>0.05</v>
      </c>
      <c r="AB125" s="82" t="s">
        <v>548</v>
      </c>
      <c r="AC125" s="82" t="s">
        <v>548</v>
      </c>
      <c r="AD125" s="82" t="s">
        <v>548</v>
      </c>
      <c r="AE125" s="82" t="s">
        <v>548</v>
      </c>
      <c r="AF125" s="98">
        <v>0.1052</v>
      </c>
      <c r="AG125" s="91" t="s">
        <v>567</v>
      </c>
      <c r="AH125" s="82" t="s">
        <v>529</v>
      </c>
      <c r="AI125" s="88" t="s">
        <v>538</v>
      </c>
      <c r="AJ125" s="89" t="s">
        <v>538</v>
      </c>
      <c r="AK125" s="90">
        <v>46023</v>
      </c>
      <c r="AL125" s="90">
        <v>46387</v>
      </c>
      <c r="AM125" s="89"/>
      <c r="AN125" s="89"/>
      <c r="AO125" s="89"/>
      <c r="AP125" s="91" t="s">
        <v>563</v>
      </c>
      <c r="AQ125" s="90" cm="1">
        <f t="array" ref="AQ125">IFERROR(DATE(2026, _xlfn.AGGREGATE(15, 6, (COLUMN(BY125:CJ125)-COLUMN(BY125)+1)/(BY125:CJ125&lt;&gt;0), 1), 1),"N/A")</f>
        <v>46023</v>
      </c>
      <c r="AR125" s="90" cm="1">
        <f t="array" ref="AR125">IFERROR(EOMONTH(DATE(2026, _xlfn.AGGREGATE(14, 6, (COLUMN(BY125:CJ125)-COLUMN(BY125)+1)/(BY125:CJ125&lt;&gt;0), 1), 1), 0),"N/A")</f>
        <v>46387</v>
      </c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 t="s">
        <v>705</v>
      </c>
      <c r="BF125" s="89"/>
      <c r="BG125" s="82" t="str">
        <f t="shared" si="6"/>
        <v/>
      </c>
      <c r="BH125" s="88" t="s">
        <v>137</v>
      </c>
      <c r="BI125" s="92" t="s">
        <v>548</v>
      </c>
      <c r="BJ125" s="93">
        <v>0</v>
      </c>
      <c r="BK125" s="94" t="s">
        <v>548</v>
      </c>
      <c r="BL125" s="94" t="s">
        <v>548</v>
      </c>
      <c r="BM125" s="94" t="s">
        <v>548</v>
      </c>
      <c r="BN125" s="72" t="s">
        <v>548</v>
      </c>
      <c r="BO125" s="94" t="s">
        <v>548</v>
      </c>
      <c r="BP125" s="94" t="s">
        <v>548</v>
      </c>
      <c r="BQ125" s="94" t="s">
        <v>548</v>
      </c>
      <c r="BR125" s="94" t="s">
        <v>548</v>
      </c>
      <c r="BS125" s="94" t="s">
        <v>548</v>
      </c>
      <c r="BT125" s="94" t="s">
        <v>548</v>
      </c>
      <c r="BU125" s="94" t="s">
        <v>548</v>
      </c>
      <c r="BV125" s="142" t="s">
        <v>548</v>
      </c>
      <c r="BW125" s="142"/>
      <c r="BX125" s="143">
        <f t="shared" si="11"/>
        <v>0</v>
      </c>
      <c r="BY125" s="94" t="s">
        <v>548</v>
      </c>
      <c r="BZ125" s="94" t="s">
        <v>548</v>
      </c>
      <c r="CA125" s="94" t="s">
        <v>548</v>
      </c>
      <c r="CB125" s="72" t="s">
        <v>548</v>
      </c>
      <c r="CC125" s="94" t="s">
        <v>548</v>
      </c>
      <c r="CD125" s="94" t="s">
        <v>548</v>
      </c>
      <c r="CE125" s="94" t="s">
        <v>548</v>
      </c>
      <c r="CF125" s="94" t="s">
        <v>548</v>
      </c>
      <c r="CG125" s="94" t="s">
        <v>548</v>
      </c>
      <c r="CH125" s="94" t="s">
        <v>548</v>
      </c>
      <c r="CI125" s="94" t="s">
        <v>548</v>
      </c>
      <c r="CJ125" s="142" t="s">
        <v>548</v>
      </c>
      <c r="CK125" s="142"/>
      <c r="CL125" s="142">
        <f t="shared" si="7"/>
        <v>0</v>
      </c>
      <c r="CM125" s="171"/>
      <c r="CN125" s="171"/>
      <c r="CO125" s="171"/>
      <c r="CP125" s="171"/>
      <c r="CQ125" s="171"/>
      <c r="CR125" s="171"/>
      <c r="CS125" s="171">
        <f t="shared" si="8"/>
        <v>0</v>
      </c>
      <c r="CT125" s="171">
        <f t="shared" si="9"/>
        <v>0</v>
      </c>
      <c r="CU125" s="171">
        <f t="shared" si="10"/>
        <v>0</v>
      </c>
      <c r="CV125" s="151"/>
      <c r="CW125" s="151"/>
      <c r="CX125" s="130"/>
      <c r="CY125" s="130"/>
      <c r="CZ125" s="130"/>
      <c r="DA125" s="130"/>
      <c r="DB125" s="130"/>
      <c r="DC125" s="130"/>
      <c r="DD125" s="130"/>
      <c r="DE125" s="130"/>
      <c r="DF125" s="130"/>
      <c r="DG125" s="130"/>
      <c r="DH125" s="130"/>
      <c r="DI125" s="130"/>
      <c r="DJ125" s="130"/>
      <c r="DK125" s="130"/>
      <c r="DL125" s="130"/>
      <c r="DM125" s="130"/>
      <c r="DN125" s="130"/>
      <c r="DO125" s="130"/>
      <c r="DP125" s="130"/>
      <c r="DQ125" s="130"/>
      <c r="DR125" s="130"/>
      <c r="DS125" s="130"/>
      <c r="DT125" s="130"/>
      <c r="DU125" s="130"/>
      <c r="DV125" s="130"/>
      <c r="DW125" s="130"/>
      <c r="DX125" s="130"/>
      <c r="DY125" s="130"/>
      <c r="DZ125" s="130"/>
      <c r="EA125" s="130"/>
      <c r="EB125" s="130"/>
      <c r="EC125" s="130"/>
      <c r="ED125" s="130"/>
      <c r="EE125" s="130"/>
      <c r="EF125" s="130"/>
      <c r="EG125" s="130"/>
      <c r="EH125" s="130"/>
      <c r="EI125" s="130"/>
      <c r="EJ125" s="130"/>
      <c r="EK125" s="130"/>
      <c r="EL125" s="130"/>
      <c r="EM125" s="130"/>
      <c r="EN125" s="130"/>
      <c r="EO125" s="130"/>
      <c r="EP125" s="130"/>
      <c r="EQ125" s="130"/>
      <c r="ER125" s="130"/>
      <c r="ES125" s="130"/>
      <c r="ET125" s="130"/>
      <c r="EU125" s="130"/>
      <c r="EV125" s="130"/>
      <c r="EW125" s="130"/>
      <c r="EX125" s="130"/>
      <c r="EY125" s="130"/>
      <c r="EZ125" s="130"/>
      <c r="FA125" s="130"/>
      <c r="FB125" s="201"/>
      <c r="FC125" s="201"/>
      <c r="FD125" s="201"/>
      <c r="FE125" s="201"/>
      <c r="FF125" s="201"/>
      <c r="FG125" s="201"/>
      <c r="FH125" s="201"/>
      <c r="FI125" s="201"/>
      <c r="FJ125" s="201"/>
      <c r="FK125" s="201"/>
      <c r="FL125" s="201"/>
      <c r="FM125" s="201"/>
      <c r="FN125" s="201"/>
      <c r="FO125" s="201"/>
      <c r="FP125" s="201"/>
      <c r="FQ125" s="201"/>
      <c r="FR125" s="201"/>
      <c r="FS125" s="201"/>
      <c r="FT125" s="201"/>
      <c r="FU125" s="201"/>
      <c r="FV125" s="201"/>
      <c r="FW125" s="201"/>
      <c r="FX125" s="201"/>
      <c r="FY125" s="201"/>
      <c r="FZ125" s="201"/>
      <c r="GA125" s="201"/>
      <c r="GB125" s="201"/>
      <c r="GC125" s="201"/>
      <c r="GD125" s="201"/>
      <c r="GE125" s="201"/>
      <c r="GF125" s="201"/>
      <c r="GG125" s="201"/>
      <c r="GH125" s="201"/>
      <c r="GI125" s="201"/>
      <c r="GJ125" s="201"/>
      <c r="GK125" s="201"/>
      <c r="GL125" s="201"/>
      <c r="GM125" s="201"/>
      <c r="GN125" s="201"/>
      <c r="GO125" s="201"/>
      <c r="GP125" s="201"/>
      <c r="GQ125" s="201"/>
    </row>
    <row r="126" spans="1:204" s="68" customFormat="1" ht="14.45" customHeight="1" x14ac:dyDescent="0.25">
      <c r="A126" s="68" t="s">
        <v>698</v>
      </c>
      <c r="B126" s="82" t="s">
        <v>154</v>
      </c>
      <c r="C126" s="82" t="s">
        <v>172</v>
      </c>
      <c r="D126" s="82" t="s">
        <v>196</v>
      </c>
      <c r="E126" s="82" t="s">
        <v>309</v>
      </c>
      <c r="F126" s="82" t="s">
        <v>549</v>
      </c>
      <c r="G126" s="82" t="s">
        <v>137</v>
      </c>
      <c r="H126" s="82" t="s">
        <v>137</v>
      </c>
      <c r="I126" s="82" t="s">
        <v>66</v>
      </c>
      <c r="J126" s="82" t="s">
        <v>29</v>
      </c>
      <c r="K126" s="92" t="s">
        <v>137</v>
      </c>
      <c r="L126" s="92" t="s">
        <v>137</v>
      </c>
      <c r="M126" s="92" t="s">
        <v>137</v>
      </c>
      <c r="N126" s="92" t="s">
        <v>137</v>
      </c>
      <c r="O126" s="92" t="s">
        <v>137</v>
      </c>
      <c r="P126" s="92" t="s">
        <v>137</v>
      </c>
      <c r="Q126" s="82" t="s">
        <v>87</v>
      </c>
      <c r="R126" s="82" t="s">
        <v>714</v>
      </c>
      <c r="S126" s="82" t="s">
        <v>40</v>
      </c>
      <c r="T126" s="82" t="s">
        <v>2</v>
      </c>
      <c r="U126" s="83"/>
      <c r="V126" s="83">
        <v>0.05</v>
      </c>
      <c r="W126" s="83">
        <v>0.08</v>
      </c>
      <c r="X126" s="83">
        <v>0.15</v>
      </c>
      <c r="Y126" s="83">
        <v>0.2</v>
      </c>
      <c r="Z126" s="83">
        <v>0.25</v>
      </c>
      <c r="AA126" s="83">
        <v>0.37</v>
      </c>
      <c r="AB126" s="83">
        <v>0.42</v>
      </c>
      <c r="AC126" s="83">
        <v>0.57999999999999996</v>
      </c>
      <c r="AD126" s="83">
        <v>0.67</v>
      </c>
      <c r="AE126" s="83">
        <v>0.83</v>
      </c>
      <c r="AF126" s="83">
        <v>1</v>
      </c>
      <c r="AG126" s="82" t="s">
        <v>532</v>
      </c>
      <c r="AH126" s="82" t="s">
        <v>529</v>
      </c>
      <c r="AI126" s="88" t="s">
        <v>538</v>
      </c>
      <c r="AJ126" s="89" t="s">
        <v>538</v>
      </c>
      <c r="AK126" s="90">
        <v>46023</v>
      </c>
      <c r="AL126" s="90">
        <v>46387</v>
      </c>
      <c r="AM126" s="89"/>
      <c r="AN126" s="89"/>
      <c r="AO126" s="89"/>
      <c r="AP126" s="91" t="s">
        <v>539</v>
      </c>
      <c r="AQ126" s="90" cm="1">
        <f t="array" ref="AQ126">IFERROR(DATE(2026, _xlfn.AGGREGATE(15, 6, (COLUMN(BY126:CJ126)-COLUMN(BY126)+1)/(BY126:CJ126&lt;&gt;0), 1), 1),"N/A")</f>
        <v>46023</v>
      </c>
      <c r="AR126" s="90" cm="1">
        <f t="array" ref="AR126">IFERROR(EOMONTH(DATE(2026, _xlfn.AGGREGATE(14, 6, (COLUMN(BY126:CJ126)-COLUMN(BY126)+1)/(BY126:CJ126&lt;&gt;0), 1), 1), 0),"N/A")</f>
        <v>46387</v>
      </c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2" t="s">
        <v>619</v>
      </c>
      <c r="BF126" s="82" t="s">
        <v>1002</v>
      </c>
      <c r="BG126" s="82" t="str">
        <f t="shared" si="6"/>
        <v>000</v>
      </c>
      <c r="BH126" s="88">
        <v>570203</v>
      </c>
      <c r="BI126" s="92" t="s">
        <v>74</v>
      </c>
      <c r="BJ126" s="93">
        <v>5700</v>
      </c>
      <c r="BK126" s="94">
        <v>466.66</v>
      </c>
      <c r="BL126" s="94">
        <v>466.66</v>
      </c>
      <c r="BM126" s="94">
        <v>466.66</v>
      </c>
      <c r="BN126" s="72">
        <v>466.66</v>
      </c>
      <c r="BO126" s="94">
        <v>466.66</v>
      </c>
      <c r="BP126" s="94">
        <v>466.66</v>
      </c>
      <c r="BQ126" s="94">
        <v>566.66</v>
      </c>
      <c r="BR126" s="94">
        <v>466.66</v>
      </c>
      <c r="BS126" s="94">
        <v>466.66</v>
      </c>
      <c r="BT126" s="94">
        <v>466.66</v>
      </c>
      <c r="BU126" s="94">
        <v>466.66</v>
      </c>
      <c r="BV126" s="142">
        <v>466.74</v>
      </c>
      <c r="BW126" s="142"/>
      <c r="BX126" s="143">
        <f t="shared" si="11"/>
        <v>5700</v>
      </c>
      <c r="BY126" s="94">
        <v>466.66</v>
      </c>
      <c r="BZ126" s="94">
        <v>466.66</v>
      </c>
      <c r="CA126" s="94">
        <v>466.66</v>
      </c>
      <c r="CB126" s="72">
        <v>466.66</v>
      </c>
      <c r="CC126" s="94">
        <v>466.66</v>
      </c>
      <c r="CD126" s="94">
        <v>466.66</v>
      </c>
      <c r="CE126" s="94">
        <v>566.66</v>
      </c>
      <c r="CF126" s="94">
        <v>466.66</v>
      </c>
      <c r="CG126" s="94">
        <v>466.66</v>
      </c>
      <c r="CH126" s="94">
        <v>466.66</v>
      </c>
      <c r="CI126" s="94">
        <v>466.66</v>
      </c>
      <c r="CJ126" s="142">
        <v>466.74</v>
      </c>
      <c r="CK126" s="142"/>
      <c r="CL126" s="142">
        <f t="shared" si="7"/>
        <v>0</v>
      </c>
      <c r="CM126" s="171">
        <v>0</v>
      </c>
      <c r="CN126" s="171">
        <v>0</v>
      </c>
      <c r="CO126" s="171">
        <v>5401.56</v>
      </c>
      <c r="CP126" s="171">
        <v>0</v>
      </c>
      <c r="CQ126" s="171">
        <v>0</v>
      </c>
      <c r="CR126" s="171">
        <v>0</v>
      </c>
      <c r="CS126" s="171">
        <f t="shared" si="8"/>
        <v>0</v>
      </c>
      <c r="CT126" s="171">
        <f t="shared" si="9"/>
        <v>0</v>
      </c>
      <c r="CU126" s="171">
        <f t="shared" si="10"/>
        <v>5401.56</v>
      </c>
      <c r="CV126" s="149"/>
      <c r="CW126" s="149"/>
      <c r="CX126" s="130"/>
      <c r="CY126" s="130"/>
      <c r="CZ126" s="130"/>
      <c r="DA126" s="130"/>
      <c r="DB126" s="130"/>
      <c r="DC126" s="130"/>
      <c r="DD126" s="130"/>
      <c r="DE126" s="130"/>
      <c r="DF126" s="130"/>
      <c r="DG126" s="130"/>
      <c r="DH126" s="130"/>
      <c r="DI126" s="130"/>
      <c r="DJ126" s="130"/>
      <c r="DK126" s="130"/>
      <c r="DL126" s="130"/>
      <c r="DM126" s="130"/>
      <c r="DN126" s="130"/>
      <c r="DO126" s="130"/>
      <c r="DP126" s="130"/>
      <c r="DQ126" s="130"/>
      <c r="DR126" s="130"/>
      <c r="DS126" s="130"/>
      <c r="DT126" s="130"/>
      <c r="DU126" s="130"/>
      <c r="DV126" s="130"/>
      <c r="DW126" s="130"/>
      <c r="DX126" s="130"/>
      <c r="DY126" s="130"/>
      <c r="DZ126" s="130"/>
      <c r="EA126" s="130"/>
      <c r="EB126" s="130"/>
      <c r="EC126" s="130"/>
      <c r="ED126" s="130"/>
      <c r="EE126" s="130"/>
      <c r="EF126" s="130"/>
      <c r="EG126" s="130"/>
      <c r="EH126" s="130"/>
      <c r="EI126" s="130"/>
      <c r="EJ126" s="130"/>
      <c r="EK126" s="130"/>
      <c r="EL126" s="130"/>
      <c r="EM126" s="130"/>
      <c r="EN126" s="130"/>
      <c r="EO126" s="130"/>
      <c r="EP126" s="130"/>
      <c r="EQ126" s="130"/>
      <c r="ER126" s="130"/>
      <c r="ES126" s="130"/>
      <c r="ET126" s="130"/>
      <c r="EU126" s="130"/>
      <c r="EV126" s="130"/>
      <c r="EW126" s="130"/>
      <c r="EX126" s="130"/>
      <c r="EY126" s="130"/>
      <c r="EZ126" s="130"/>
      <c r="FA126" s="130"/>
      <c r="FB126" s="201"/>
      <c r="FC126" s="201"/>
      <c r="FD126" s="201"/>
      <c r="FE126" s="201"/>
      <c r="FF126" s="201"/>
      <c r="FG126" s="201"/>
      <c r="FH126" s="201"/>
      <c r="FI126" s="201"/>
      <c r="FJ126" s="201"/>
      <c r="FK126" s="201"/>
      <c r="FL126" s="201"/>
      <c r="FM126" s="201"/>
      <c r="FN126" s="201"/>
      <c r="FO126" s="201"/>
      <c r="FP126" s="201"/>
      <c r="FQ126" s="201"/>
      <c r="FR126" s="201"/>
      <c r="FS126" s="201"/>
      <c r="FT126" s="201"/>
      <c r="FU126" s="201"/>
      <c r="FV126" s="201"/>
      <c r="FW126" s="201"/>
      <c r="FX126" s="201"/>
      <c r="FY126" s="201"/>
      <c r="FZ126" s="201"/>
      <c r="GA126" s="201"/>
      <c r="GB126" s="201"/>
      <c r="GC126" s="201"/>
      <c r="GD126" s="201"/>
      <c r="GE126" s="201"/>
      <c r="GF126" s="201"/>
      <c r="GG126" s="201"/>
      <c r="GH126" s="201"/>
      <c r="GI126" s="201"/>
      <c r="GJ126" s="201"/>
      <c r="GK126" s="201"/>
      <c r="GL126" s="201"/>
      <c r="GM126" s="201"/>
      <c r="GN126" s="201"/>
      <c r="GO126" s="201"/>
      <c r="GP126" s="201"/>
      <c r="GQ126" s="201"/>
    </row>
    <row r="127" spans="1:204" s="68" customFormat="1" ht="14.45" customHeight="1" x14ac:dyDescent="0.25">
      <c r="A127" s="68" t="s">
        <v>698</v>
      </c>
      <c r="B127" s="82" t="s">
        <v>154</v>
      </c>
      <c r="C127" s="82" t="s">
        <v>172</v>
      </c>
      <c r="D127" s="82" t="s">
        <v>196</v>
      </c>
      <c r="E127" s="82" t="s">
        <v>309</v>
      </c>
      <c r="F127" s="82" t="s">
        <v>549</v>
      </c>
      <c r="G127" s="82" t="s">
        <v>137</v>
      </c>
      <c r="H127" s="82" t="s">
        <v>137</v>
      </c>
      <c r="I127" s="82" t="s">
        <v>66</v>
      </c>
      <c r="J127" s="82" t="s">
        <v>29</v>
      </c>
      <c r="K127" s="92" t="s">
        <v>137</v>
      </c>
      <c r="L127" s="92" t="s">
        <v>137</v>
      </c>
      <c r="M127" s="92" t="s">
        <v>137</v>
      </c>
      <c r="N127" s="92" t="s">
        <v>137</v>
      </c>
      <c r="O127" s="92" t="s">
        <v>137</v>
      </c>
      <c r="P127" s="92" t="s">
        <v>137</v>
      </c>
      <c r="Q127" s="82" t="s">
        <v>87</v>
      </c>
      <c r="R127" s="82" t="s">
        <v>714</v>
      </c>
      <c r="S127" s="82" t="s">
        <v>40</v>
      </c>
      <c r="T127" s="82" t="s">
        <v>2</v>
      </c>
      <c r="U127" s="83"/>
      <c r="V127" s="83">
        <v>0.05</v>
      </c>
      <c r="W127" s="83">
        <v>0.08</v>
      </c>
      <c r="X127" s="83">
        <v>0.15</v>
      </c>
      <c r="Y127" s="83">
        <v>0.2</v>
      </c>
      <c r="Z127" s="83">
        <v>0.25</v>
      </c>
      <c r="AA127" s="83">
        <v>0.37</v>
      </c>
      <c r="AB127" s="83">
        <v>0.42</v>
      </c>
      <c r="AC127" s="83">
        <v>0.57999999999999996</v>
      </c>
      <c r="AD127" s="83">
        <v>0.67</v>
      </c>
      <c r="AE127" s="83">
        <v>0.83</v>
      </c>
      <c r="AF127" s="83">
        <v>1</v>
      </c>
      <c r="AG127" s="82" t="s">
        <v>532</v>
      </c>
      <c r="AH127" s="82" t="s">
        <v>529</v>
      </c>
      <c r="AI127" s="88" t="s">
        <v>538</v>
      </c>
      <c r="AJ127" s="89" t="s">
        <v>538</v>
      </c>
      <c r="AK127" s="90">
        <v>46023</v>
      </c>
      <c r="AL127" s="90">
        <v>46387</v>
      </c>
      <c r="AM127" s="89"/>
      <c r="AN127" s="89"/>
      <c r="AO127" s="89"/>
      <c r="AP127" s="91" t="s">
        <v>539</v>
      </c>
      <c r="AQ127" s="90" cm="1">
        <f t="array" ref="AQ127">IFERROR(DATE(2026, _xlfn.AGGREGATE(15, 6, (COLUMN(BY127:CJ127)-COLUMN(BY127)+1)/(BY127:CJ127&lt;&gt;0), 1), 1),"N/A")</f>
        <v>46023</v>
      </c>
      <c r="AR127" s="90" cm="1">
        <f t="array" ref="AR127">IFERROR(EOMONTH(DATE(2026, _xlfn.AGGREGATE(14, 6, (COLUMN(BY127:CJ127)-COLUMN(BY127)+1)/(BY127:CJ127&lt;&gt;0), 1), 1), 0),"N/A")</f>
        <v>46387</v>
      </c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2" t="s">
        <v>783</v>
      </c>
      <c r="BF127" s="82" t="s">
        <v>1003</v>
      </c>
      <c r="BG127" s="82" t="str">
        <f t="shared" si="6"/>
        <v>000</v>
      </c>
      <c r="BH127" s="88">
        <v>570203</v>
      </c>
      <c r="BI127" s="92" t="s">
        <v>74</v>
      </c>
      <c r="BJ127" s="93">
        <v>3000</v>
      </c>
      <c r="BK127" s="94">
        <v>250</v>
      </c>
      <c r="BL127" s="94">
        <v>250</v>
      </c>
      <c r="BM127" s="94">
        <v>250</v>
      </c>
      <c r="BN127" s="72">
        <v>250</v>
      </c>
      <c r="BO127" s="94">
        <v>250</v>
      </c>
      <c r="BP127" s="94">
        <v>250</v>
      </c>
      <c r="BQ127" s="94">
        <v>250</v>
      </c>
      <c r="BR127" s="94">
        <v>250</v>
      </c>
      <c r="BS127" s="94">
        <v>250</v>
      </c>
      <c r="BT127" s="94">
        <v>250</v>
      </c>
      <c r="BU127" s="94">
        <v>250</v>
      </c>
      <c r="BV127" s="142">
        <v>250</v>
      </c>
      <c r="BW127" s="142"/>
      <c r="BX127" s="143">
        <f t="shared" si="11"/>
        <v>3000</v>
      </c>
      <c r="BY127" s="94">
        <v>250</v>
      </c>
      <c r="BZ127" s="94">
        <v>250</v>
      </c>
      <c r="CA127" s="94">
        <v>250</v>
      </c>
      <c r="CB127" s="72">
        <v>250</v>
      </c>
      <c r="CC127" s="94">
        <v>250</v>
      </c>
      <c r="CD127" s="94">
        <v>250</v>
      </c>
      <c r="CE127" s="94">
        <v>250</v>
      </c>
      <c r="CF127" s="94">
        <v>250</v>
      </c>
      <c r="CG127" s="94">
        <v>250</v>
      </c>
      <c r="CH127" s="94">
        <v>250</v>
      </c>
      <c r="CI127" s="94">
        <v>250</v>
      </c>
      <c r="CJ127" s="142">
        <v>250</v>
      </c>
      <c r="CK127" s="142"/>
      <c r="CL127" s="142">
        <f t="shared" si="7"/>
        <v>0</v>
      </c>
      <c r="CM127" s="171">
        <v>237.42</v>
      </c>
      <c r="CN127" s="171">
        <v>0</v>
      </c>
      <c r="CO127" s="171">
        <v>2060</v>
      </c>
      <c r="CP127" s="171">
        <v>0</v>
      </c>
      <c r="CQ127" s="171">
        <v>0</v>
      </c>
      <c r="CR127" s="171">
        <v>0</v>
      </c>
      <c r="CS127" s="171">
        <f t="shared" si="8"/>
        <v>237.42</v>
      </c>
      <c r="CT127" s="171">
        <f t="shared" si="9"/>
        <v>0</v>
      </c>
      <c r="CU127" s="171">
        <f t="shared" si="10"/>
        <v>2060</v>
      </c>
      <c r="CV127" s="149"/>
      <c r="CW127" s="149"/>
      <c r="CX127" s="130"/>
      <c r="CY127" s="130"/>
      <c r="CZ127" s="130"/>
      <c r="DA127" s="130"/>
      <c r="DB127" s="130"/>
      <c r="DC127" s="130"/>
      <c r="DD127" s="130"/>
      <c r="DE127" s="130"/>
      <c r="DF127" s="130"/>
      <c r="DG127" s="130"/>
      <c r="DH127" s="130"/>
      <c r="DI127" s="130"/>
      <c r="DJ127" s="130"/>
      <c r="DK127" s="130"/>
      <c r="DL127" s="130"/>
      <c r="DM127" s="130"/>
      <c r="DN127" s="130"/>
      <c r="DO127" s="130"/>
      <c r="DP127" s="130"/>
      <c r="DQ127" s="130"/>
      <c r="DR127" s="130"/>
      <c r="DS127" s="130"/>
      <c r="DT127" s="130"/>
      <c r="DU127" s="130"/>
      <c r="DV127" s="130"/>
      <c r="DW127" s="130"/>
      <c r="DX127" s="130"/>
      <c r="DY127" s="130"/>
      <c r="DZ127" s="130"/>
      <c r="EA127" s="130"/>
      <c r="EB127" s="130"/>
      <c r="EC127" s="130"/>
      <c r="ED127" s="130"/>
      <c r="EE127" s="130"/>
      <c r="EF127" s="130"/>
      <c r="EG127" s="130"/>
      <c r="EH127" s="130"/>
      <c r="EI127" s="130"/>
      <c r="EJ127" s="130"/>
      <c r="EK127" s="130"/>
      <c r="EL127" s="130"/>
      <c r="EM127" s="130"/>
      <c r="EN127" s="130"/>
      <c r="EO127" s="130"/>
      <c r="EP127" s="130"/>
      <c r="EQ127" s="130"/>
      <c r="ER127" s="130"/>
      <c r="ES127" s="130"/>
      <c r="ET127" s="130"/>
      <c r="EU127" s="130"/>
      <c r="EV127" s="130"/>
      <c r="EW127" s="130"/>
      <c r="EX127" s="130"/>
      <c r="EY127" s="130"/>
      <c r="EZ127" s="130"/>
      <c r="FA127" s="130"/>
      <c r="FB127" s="201"/>
      <c r="FC127" s="201"/>
      <c r="FD127" s="201"/>
      <c r="FE127" s="201"/>
      <c r="FF127" s="201"/>
      <c r="FG127" s="201"/>
      <c r="FH127" s="201"/>
      <c r="FI127" s="201"/>
      <c r="FJ127" s="201"/>
      <c r="FK127" s="201"/>
      <c r="FL127" s="201"/>
      <c r="FM127" s="201"/>
      <c r="FN127" s="201"/>
      <c r="FO127" s="201"/>
      <c r="FP127" s="201"/>
      <c r="FQ127" s="201"/>
      <c r="FR127" s="201"/>
      <c r="FS127" s="201"/>
      <c r="FT127" s="201"/>
      <c r="FU127" s="201"/>
      <c r="FV127" s="201"/>
      <c r="FW127" s="201"/>
      <c r="FX127" s="201"/>
      <c r="FY127" s="201"/>
      <c r="FZ127" s="201"/>
      <c r="GA127" s="201"/>
      <c r="GB127" s="201"/>
      <c r="GC127" s="201"/>
      <c r="GD127" s="201"/>
      <c r="GE127" s="201"/>
      <c r="GF127" s="201"/>
      <c r="GG127" s="201"/>
      <c r="GH127" s="201"/>
      <c r="GI127" s="201"/>
      <c r="GJ127" s="201"/>
      <c r="GK127" s="201"/>
      <c r="GL127" s="201"/>
      <c r="GM127" s="201"/>
      <c r="GN127" s="201"/>
      <c r="GO127" s="201"/>
      <c r="GP127" s="201"/>
      <c r="GQ127" s="201"/>
    </row>
    <row r="128" spans="1:204" s="68" customFormat="1" ht="14.45" customHeight="1" x14ac:dyDescent="0.25">
      <c r="A128" s="68" t="s">
        <v>692</v>
      </c>
      <c r="B128" s="82" t="s">
        <v>154</v>
      </c>
      <c r="C128" s="82" t="s">
        <v>172</v>
      </c>
      <c r="D128" s="82" t="s">
        <v>196</v>
      </c>
      <c r="E128" s="82" t="s">
        <v>309</v>
      </c>
      <c r="F128" s="82" t="s">
        <v>549</v>
      </c>
      <c r="G128" s="82" t="s">
        <v>137</v>
      </c>
      <c r="H128" s="82" t="s">
        <v>137</v>
      </c>
      <c r="I128" s="82" t="s">
        <v>66</v>
      </c>
      <c r="J128" s="82" t="s">
        <v>29</v>
      </c>
      <c r="K128" s="92" t="s">
        <v>137</v>
      </c>
      <c r="L128" s="92" t="s">
        <v>137</v>
      </c>
      <c r="M128" s="92" t="s">
        <v>137</v>
      </c>
      <c r="N128" s="92" t="s">
        <v>137</v>
      </c>
      <c r="O128" s="92" t="s">
        <v>137</v>
      </c>
      <c r="P128" s="92" t="s">
        <v>137</v>
      </c>
      <c r="Q128" s="82" t="s">
        <v>87</v>
      </c>
      <c r="R128" s="82" t="s">
        <v>714</v>
      </c>
      <c r="S128" s="82" t="s">
        <v>40</v>
      </c>
      <c r="T128" s="82" t="s">
        <v>2</v>
      </c>
      <c r="U128" s="83"/>
      <c r="V128" s="83">
        <v>0.05</v>
      </c>
      <c r="W128" s="83">
        <v>0.08</v>
      </c>
      <c r="X128" s="83">
        <v>0.15</v>
      </c>
      <c r="Y128" s="83">
        <v>0.2</v>
      </c>
      <c r="Z128" s="83">
        <v>0.25</v>
      </c>
      <c r="AA128" s="83">
        <v>0.37</v>
      </c>
      <c r="AB128" s="83">
        <v>0.42</v>
      </c>
      <c r="AC128" s="83">
        <v>0.57999999999999996</v>
      </c>
      <c r="AD128" s="83">
        <v>0.67</v>
      </c>
      <c r="AE128" s="83">
        <v>0.83</v>
      </c>
      <c r="AF128" s="83">
        <v>1</v>
      </c>
      <c r="AG128" s="82" t="s">
        <v>532</v>
      </c>
      <c r="AH128" s="82" t="s">
        <v>529</v>
      </c>
      <c r="AI128" s="88" t="s">
        <v>538</v>
      </c>
      <c r="AJ128" s="89" t="s">
        <v>538</v>
      </c>
      <c r="AK128" s="90">
        <v>46023</v>
      </c>
      <c r="AL128" s="90">
        <v>46387</v>
      </c>
      <c r="AM128" s="89"/>
      <c r="AN128" s="89"/>
      <c r="AO128" s="89"/>
      <c r="AP128" s="91" t="s">
        <v>539</v>
      </c>
      <c r="AQ128" s="90" cm="1">
        <f t="array" ref="AQ128">IFERROR(DATE(2026, _xlfn.AGGREGATE(15, 6, (COLUMN(BY128:CJ128)-COLUMN(BY128)+1)/(BY128:CJ128&lt;&gt;0), 1), 1),"N/A")</f>
        <v>46143</v>
      </c>
      <c r="AR128" s="90" cm="1">
        <f t="array" ref="AR128">IFERROR(EOMONTH(DATE(2026, _xlfn.AGGREGATE(14, 6, (COLUMN(BY128:CJ128)-COLUMN(BY128)+1)/(BY128:CJ128&lt;&gt;0), 1), 1), 0),"N/A")</f>
        <v>46173</v>
      </c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2" t="s">
        <v>663</v>
      </c>
      <c r="BF128" s="82" t="s">
        <v>980</v>
      </c>
      <c r="BG128" s="82" t="str">
        <f t="shared" si="6"/>
        <v>000</v>
      </c>
      <c r="BH128" s="88">
        <v>570102</v>
      </c>
      <c r="BI128" s="92" t="s">
        <v>74</v>
      </c>
      <c r="BJ128" s="93">
        <v>29311</v>
      </c>
      <c r="BK128" s="74">
        <v>0</v>
      </c>
      <c r="BL128" s="74">
        <v>0</v>
      </c>
      <c r="BM128" s="74">
        <v>0</v>
      </c>
      <c r="BN128" s="74">
        <v>0</v>
      </c>
      <c r="BO128" s="94">
        <v>29311</v>
      </c>
      <c r="BP128" s="74">
        <v>0</v>
      </c>
      <c r="BQ128" s="74">
        <v>0</v>
      </c>
      <c r="BR128" s="74">
        <v>0</v>
      </c>
      <c r="BS128" s="74">
        <v>0</v>
      </c>
      <c r="BT128" s="74">
        <v>0</v>
      </c>
      <c r="BU128" s="74">
        <v>0</v>
      </c>
      <c r="BV128" s="143">
        <v>0</v>
      </c>
      <c r="BW128" s="143"/>
      <c r="BX128" s="143">
        <f t="shared" si="11"/>
        <v>29311</v>
      </c>
      <c r="BY128" s="74">
        <v>0</v>
      </c>
      <c r="BZ128" s="74">
        <v>0</v>
      </c>
      <c r="CA128" s="74">
        <v>0</v>
      </c>
      <c r="CB128" s="74">
        <v>0</v>
      </c>
      <c r="CC128" s="94">
        <v>29311</v>
      </c>
      <c r="CD128" s="74">
        <v>0</v>
      </c>
      <c r="CE128" s="74">
        <v>0</v>
      </c>
      <c r="CF128" s="74">
        <v>0</v>
      </c>
      <c r="CG128" s="74">
        <v>0</v>
      </c>
      <c r="CH128" s="74">
        <v>0</v>
      </c>
      <c r="CI128" s="74">
        <v>0</v>
      </c>
      <c r="CJ128" s="143">
        <v>0</v>
      </c>
      <c r="CK128" s="143"/>
      <c r="CL128" s="142">
        <f t="shared" si="7"/>
        <v>0</v>
      </c>
      <c r="CM128" s="171">
        <v>0</v>
      </c>
      <c r="CN128" s="171">
        <v>0</v>
      </c>
      <c r="CO128" s="171">
        <v>0</v>
      </c>
      <c r="CP128" s="171">
        <v>0</v>
      </c>
      <c r="CQ128" s="171">
        <v>0</v>
      </c>
      <c r="CR128" s="171">
        <v>0</v>
      </c>
      <c r="CS128" s="171">
        <f t="shared" si="8"/>
        <v>0</v>
      </c>
      <c r="CT128" s="171">
        <f t="shared" si="9"/>
        <v>0</v>
      </c>
      <c r="CU128" s="171">
        <f t="shared" si="10"/>
        <v>0</v>
      </c>
      <c r="CV128" s="149"/>
      <c r="CW128" s="149"/>
      <c r="CX128" s="130"/>
      <c r="CY128" s="130"/>
      <c r="CZ128" s="130"/>
      <c r="DA128" s="130"/>
      <c r="DB128" s="130"/>
      <c r="DC128" s="130"/>
      <c r="DD128" s="130"/>
      <c r="DE128" s="130"/>
      <c r="DF128" s="130"/>
      <c r="DG128" s="130"/>
      <c r="DH128" s="130"/>
      <c r="DI128" s="130"/>
      <c r="DJ128" s="130"/>
      <c r="DK128" s="130"/>
      <c r="DL128" s="130"/>
      <c r="DM128" s="130"/>
      <c r="DN128" s="130"/>
      <c r="DO128" s="130"/>
      <c r="DP128" s="130"/>
      <c r="DQ128" s="130"/>
      <c r="DR128" s="130"/>
      <c r="DS128" s="130"/>
      <c r="DT128" s="130"/>
      <c r="DU128" s="130"/>
      <c r="DV128" s="130"/>
      <c r="DW128" s="130"/>
      <c r="DX128" s="130"/>
      <c r="DY128" s="130"/>
      <c r="DZ128" s="130"/>
      <c r="EA128" s="130"/>
      <c r="EB128" s="130"/>
      <c r="EC128" s="130"/>
      <c r="ED128" s="130"/>
      <c r="EE128" s="130"/>
      <c r="EF128" s="130"/>
      <c r="EG128" s="130"/>
      <c r="EH128" s="130"/>
      <c r="EI128" s="130"/>
      <c r="EJ128" s="130"/>
      <c r="EK128" s="130"/>
      <c r="EL128" s="130"/>
      <c r="EM128" s="130"/>
      <c r="EN128" s="130"/>
      <c r="EO128" s="130"/>
      <c r="EP128" s="130"/>
      <c r="EQ128" s="130"/>
      <c r="ER128" s="130"/>
      <c r="ES128" s="130"/>
      <c r="ET128" s="130"/>
      <c r="EU128" s="130"/>
      <c r="EV128" s="130"/>
      <c r="EW128" s="130"/>
      <c r="EX128" s="130"/>
      <c r="EY128" s="130"/>
      <c r="EZ128" s="130"/>
      <c r="FA128" s="130"/>
      <c r="FB128" s="201"/>
      <c r="FC128" s="201"/>
      <c r="FD128" s="201"/>
      <c r="FE128" s="201"/>
      <c r="FF128" s="201"/>
      <c r="FG128" s="201"/>
      <c r="FH128" s="201"/>
      <c r="FI128" s="201"/>
      <c r="FJ128" s="201"/>
      <c r="FK128" s="201"/>
      <c r="FL128" s="201"/>
      <c r="FM128" s="201"/>
      <c r="FN128" s="201"/>
      <c r="FO128" s="201"/>
      <c r="FP128" s="201"/>
      <c r="FQ128" s="201"/>
      <c r="FR128" s="201"/>
      <c r="FS128" s="201"/>
      <c r="FT128" s="201"/>
      <c r="FU128" s="201"/>
      <c r="FV128" s="201"/>
      <c r="FW128" s="201"/>
      <c r="FX128" s="201"/>
      <c r="FY128" s="201"/>
      <c r="FZ128" s="201"/>
      <c r="GA128" s="201"/>
      <c r="GB128" s="201"/>
      <c r="GC128" s="201"/>
      <c r="GD128" s="201"/>
      <c r="GE128" s="201"/>
      <c r="GF128" s="201"/>
      <c r="GG128" s="201"/>
      <c r="GH128" s="201"/>
      <c r="GI128" s="201"/>
      <c r="GJ128" s="201"/>
      <c r="GK128" s="201"/>
      <c r="GL128" s="201"/>
      <c r="GM128" s="201"/>
      <c r="GN128" s="201"/>
      <c r="GO128" s="201"/>
      <c r="GP128" s="201"/>
      <c r="GQ128" s="201"/>
    </row>
    <row r="129" spans="1:204" s="68" customFormat="1" ht="14.45" customHeight="1" x14ac:dyDescent="0.25">
      <c r="A129" s="68" t="s">
        <v>692</v>
      </c>
      <c r="B129" s="82" t="s">
        <v>154</v>
      </c>
      <c r="C129" s="82" t="s">
        <v>172</v>
      </c>
      <c r="D129" s="82" t="s">
        <v>196</v>
      </c>
      <c r="E129" s="82" t="s">
        <v>309</v>
      </c>
      <c r="F129" s="82" t="s">
        <v>549</v>
      </c>
      <c r="G129" s="82" t="s">
        <v>137</v>
      </c>
      <c r="H129" s="82" t="s">
        <v>137</v>
      </c>
      <c r="I129" s="82" t="s">
        <v>66</v>
      </c>
      <c r="J129" s="82" t="s">
        <v>29</v>
      </c>
      <c r="K129" s="92" t="s">
        <v>137</v>
      </c>
      <c r="L129" s="92" t="s">
        <v>137</v>
      </c>
      <c r="M129" s="92" t="s">
        <v>137</v>
      </c>
      <c r="N129" s="92" t="s">
        <v>137</v>
      </c>
      <c r="O129" s="92" t="s">
        <v>137</v>
      </c>
      <c r="P129" s="92" t="s">
        <v>137</v>
      </c>
      <c r="Q129" s="82" t="s">
        <v>87</v>
      </c>
      <c r="R129" s="82" t="s">
        <v>714</v>
      </c>
      <c r="S129" s="82" t="s">
        <v>40</v>
      </c>
      <c r="T129" s="82" t="s">
        <v>2</v>
      </c>
      <c r="U129" s="83"/>
      <c r="V129" s="83">
        <v>0.05</v>
      </c>
      <c r="W129" s="83">
        <v>0.08</v>
      </c>
      <c r="X129" s="83">
        <v>0.15</v>
      </c>
      <c r="Y129" s="83">
        <v>0.2</v>
      </c>
      <c r="Z129" s="83">
        <v>0.25</v>
      </c>
      <c r="AA129" s="83">
        <v>0.37</v>
      </c>
      <c r="AB129" s="83">
        <v>0.42</v>
      </c>
      <c r="AC129" s="83">
        <v>0.57999999999999996</v>
      </c>
      <c r="AD129" s="83">
        <v>0.67</v>
      </c>
      <c r="AE129" s="83">
        <v>0.83</v>
      </c>
      <c r="AF129" s="83">
        <v>1</v>
      </c>
      <c r="AG129" s="82" t="s">
        <v>532</v>
      </c>
      <c r="AH129" s="82" t="s">
        <v>529</v>
      </c>
      <c r="AI129" s="88" t="s">
        <v>538</v>
      </c>
      <c r="AJ129" s="89" t="s">
        <v>538</v>
      </c>
      <c r="AK129" s="90">
        <v>46023</v>
      </c>
      <c r="AL129" s="90">
        <v>46387</v>
      </c>
      <c r="AM129" s="89"/>
      <c r="AN129" s="89"/>
      <c r="AO129" s="89"/>
      <c r="AP129" s="91" t="s">
        <v>539</v>
      </c>
      <c r="AQ129" s="90" cm="1">
        <f t="array" ref="AQ129">IFERROR(DATE(2026, _xlfn.AGGREGATE(15, 6, (COLUMN(BY129:CJ129)-COLUMN(BY129)+1)/(BY129:CJ129&lt;&gt;0), 1), 1),"N/A")</f>
        <v>46023</v>
      </c>
      <c r="AR129" s="90" cm="1">
        <f t="array" ref="AR129">IFERROR(EOMONTH(DATE(2026, _xlfn.AGGREGATE(14, 6, (COLUMN(BY129:CJ129)-COLUMN(BY129)+1)/(BY129:CJ129&lt;&gt;0), 1), 1), 0),"N/A")</f>
        <v>46387</v>
      </c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2" t="s">
        <v>621</v>
      </c>
      <c r="BF129" s="82" t="s">
        <v>966</v>
      </c>
      <c r="BG129" s="82" t="str">
        <f t="shared" si="6"/>
        <v>000</v>
      </c>
      <c r="BH129" s="88">
        <v>530101</v>
      </c>
      <c r="BI129" s="92" t="s">
        <v>74</v>
      </c>
      <c r="BJ129" s="93">
        <v>6000</v>
      </c>
      <c r="BK129" s="94">
        <v>500</v>
      </c>
      <c r="BL129" s="94">
        <v>500</v>
      </c>
      <c r="BM129" s="94">
        <v>500</v>
      </c>
      <c r="BN129" s="72">
        <v>500</v>
      </c>
      <c r="BO129" s="94">
        <v>500</v>
      </c>
      <c r="BP129" s="94">
        <v>500</v>
      </c>
      <c r="BQ129" s="94">
        <v>500</v>
      </c>
      <c r="BR129" s="94">
        <v>500</v>
      </c>
      <c r="BS129" s="94">
        <v>500</v>
      </c>
      <c r="BT129" s="94">
        <v>500</v>
      </c>
      <c r="BU129" s="94">
        <v>500</v>
      </c>
      <c r="BV129" s="142">
        <v>500</v>
      </c>
      <c r="BW129" s="142"/>
      <c r="BX129" s="143">
        <f t="shared" si="11"/>
        <v>6000</v>
      </c>
      <c r="BY129" s="94">
        <v>500</v>
      </c>
      <c r="BZ129" s="94">
        <v>500</v>
      </c>
      <c r="CA129" s="94">
        <v>500</v>
      </c>
      <c r="CB129" s="72">
        <v>500</v>
      </c>
      <c r="CC129" s="94">
        <v>500</v>
      </c>
      <c r="CD129" s="94">
        <v>500</v>
      </c>
      <c r="CE129" s="94">
        <v>500</v>
      </c>
      <c r="CF129" s="94">
        <v>500</v>
      </c>
      <c r="CG129" s="94">
        <v>500</v>
      </c>
      <c r="CH129" s="94">
        <v>500</v>
      </c>
      <c r="CI129" s="94">
        <v>500</v>
      </c>
      <c r="CJ129" s="142">
        <v>500</v>
      </c>
      <c r="CK129" s="142"/>
      <c r="CL129" s="142">
        <f t="shared" si="7"/>
        <v>0</v>
      </c>
      <c r="CM129" s="171">
        <v>2.1</v>
      </c>
      <c r="CN129" s="171">
        <v>0</v>
      </c>
      <c r="CO129" s="171">
        <v>6000</v>
      </c>
      <c r="CP129" s="171">
        <v>513.08000000000004</v>
      </c>
      <c r="CQ129" s="171">
        <v>0</v>
      </c>
      <c r="CR129" s="171">
        <v>0</v>
      </c>
      <c r="CS129" s="171">
        <f t="shared" si="8"/>
        <v>515.18000000000006</v>
      </c>
      <c r="CT129" s="171">
        <f t="shared" si="9"/>
        <v>0</v>
      </c>
      <c r="CU129" s="171">
        <f t="shared" si="10"/>
        <v>6000</v>
      </c>
      <c r="CV129" s="149"/>
      <c r="CW129" s="149"/>
      <c r="CX129" s="130"/>
      <c r="CY129" s="130"/>
      <c r="CZ129" s="130"/>
      <c r="DA129" s="130"/>
      <c r="DB129" s="130"/>
      <c r="DC129" s="130"/>
      <c r="DD129" s="130"/>
      <c r="DE129" s="130"/>
      <c r="DF129" s="130"/>
      <c r="DG129" s="130"/>
      <c r="DH129" s="130"/>
      <c r="DI129" s="130"/>
      <c r="DJ129" s="130"/>
      <c r="DK129" s="130"/>
      <c r="DL129" s="130"/>
      <c r="DM129" s="130"/>
      <c r="DN129" s="130"/>
      <c r="DO129" s="130"/>
      <c r="DP129" s="130"/>
      <c r="DQ129" s="130"/>
      <c r="DR129" s="130"/>
      <c r="DS129" s="130"/>
      <c r="DT129" s="130"/>
      <c r="DU129" s="130"/>
      <c r="DV129" s="130"/>
      <c r="DW129" s="130"/>
      <c r="DX129" s="130"/>
      <c r="DY129" s="130"/>
      <c r="DZ129" s="130"/>
      <c r="EA129" s="130"/>
      <c r="EB129" s="130"/>
      <c r="EC129" s="130"/>
      <c r="ED129" s="130"/>
      <c r="EE129" s="130"/>
      <c r="EF129" s="130"/>
      <c r="EG129" s="130"/>
      <c r="EH129" s="130"/>
      <c r="EI129" s="130"/>
      <c r="EJ129" s="130"/>
      <c r="EK129" s="130"/>
      <c r="EL129" s="130"/>
      <c r="EM129" s="130"/>
      <c r="EN129" s="130"/>
      <c r="EO129" s="130"/>
      <c r="EP129" s="130"/>
      <c r="EQ129" s="130"/>
      <c r="ER129" s="130"/>
      <c r="ES129" s="130"/>
      <c r="ET129" s="130"/>
      <c r="EU129" s="130"/>
      <c r="EV129" s="130"/>
      <c r="EW129" s="130"/>
      <c r="EX129" s="130"/>
      <c r="EY129" s="130"/>
      <c r="EZ129" s="130"/>
      <c r="FA129" s="130"/>
      <c r="FB129" s="201"/>
      <c r="FC129" s="201"/>
      <c r="FD129" s="201"/>
      <c r="FE129" s="201"/>
      <c r="FF129" s="201"/>
      <c r="FG129" s="201"/>
      <c r="FH129" s="201"/>
      <c r="FI129" s="201"/>
      <c r="FJ129" s="201"/>
      <c r="FK129" s="201"/>
      <c r="FL129" s="201"/>
      <c r="FM129" s="201"/>
      <c r="FN129" s="201"/>
      <c r="FO129" s="201"/>
      <c r="FP129" s="201"/>
      <c r="FQ129" s="201"/>
      <c r="FR129" s="201"/>
      <c r="FS129" s="201"/>
      <c r="FT129" s="201"/>
      <c r="FU129" s="201"/>
      <c r="FV129" s="201"/>
      <c r="FW129" s="201"/>
      <c r="FX129" s="201"/>
      <c r="FY129" s="201"/>
      <c r="FZ129" s="201"/>
      <c r="GA129" s="201"/>
      <c r="GB129" s="201"/>
      <c r="GC129" s="201"/>
      <c r="GD129" s="201"/>
      <c r="GE129" s="201"/>
      <c r="GF129" s="201"/>
      <c r="GG129" s="201"/>
      <c r="GH129" s="201"/>
      <c r="GI129" s="201"/>
      <c r="GJ129" s="201"/>
      <c r="GK129" s="201"/>
      <c r="GL129" s="201"/>
      <c r="GM129" s="201"/>
      <c r="GN129" s="201"/>
      <c r="GO129" s="201"/>
      <c r="GP129" s="201"/>
      <c r="GQ129" s="201"/>
    </row>
    <row r="130" spans="1:204" s="68" customFormat="1" ht="14.45" customHeight="1" x14ac:dyDescent="0.25">
      <c r="A130" s="68" t="s">
        <v>692</v>
      </c>
      <c r="B130" s="82" t="s">
        <v>154</v>
      </c>
      <c r="C130" s="82" t="s">
        <v>172</v>
      </c>
      <c r="D130" s="82" t="s">
        <v>196</v>
      </c>
      <c r="E130" s="82" t="s">
        <v>309</v>
      </c>
      <c r="F130" s="82" t="s">
        <v>549</v>
      </c>
      <c r="G130" s="82" t="s">
        <v>137</v>
      </c>
      <c r="H130" s="82" t="s">
        <v>137</v>
      </c>
      <c r="I130" s="82" t="s">
        <v>66</v>
      </c>
      <c r="J130" s="82" t="s">
        <v>29</v>
      </c>
      <c r="K130" s="92" t="s">
        <v>137</v>
      </c>
      <c r="L130" s="92" t="s">
        <v>137</v>
      </c>
      <c r="M130" s="92" t="s">
        <v>137</v>
      </c>
      <c r="N130" s="92" t="s">
        <v>137</v>
      </c>
      <c r="O130" s="92" t="s">
        <v>137</v>
      </c>
      <c r="P130" s="92" t="s">
        <v>137</v>
      </c>
      <c r="Q130" s="82" t="s">
        <v>87</v>
      </c>
      <c r="R130" s="82" t="s">
        <v>714</v>
      </c>
      <c r="S130" s="82" t="s">
        <v>40</v>
      </c>
      <c r="T130" s="82" t="s">
        <v>2</v>
      </c>
      <c r="U130" s="83"/>
      <c r="V130" s="83">
        <v>0.05</v>
      </c>
      <c r="W130" s="83">
        <v>0.08</v>
      </c>
      <c r="X130" s="83">
        <v>0.15</v>
      </c>
      <c r="Y130" s="83">
        <v>0.2</v>
      </c>
      <c r="Z130" s="83">
        <v>0.25</v>
      </c>
      <c r="AA130" s="83">
        <v>0.37</v>
      </c>
      <c r="AB130" s="83">
        <v>0.42</v>
      </c>
      <c r="AC130" s="83">
        <v>0.57999999999999996</v>
      </c>
      <c r="AD130" s="83">
        <v>0.67</v>
      </c>
      <c r="AE130" s="83">
        <v>0.83</v>
      </c>
      <c r="AF130" s="83">
        <v>1</v>
      </c>
      <c r="AG130" s="82" t="s">
        <v>532</v>
      </c>
      <c r="AH130" s="82" t="s">
        <v>529</v>
      </c>
      <c r="AI130" s="88" t="s">
        <v>538</v>
      </c>
      <c r="AJ130" s="89" t="s">
        <v>538</v>
      </c>
      <c r="AK130" s="90">
        <v>46023</v>
      </c>
      <c r="AL130" s="90">
        <v>46387</v>
      </c>
      <c r="AM130" s="89"/>
      <c r="AN130" s="89"/>
      <c r="AO130" s="89"/>
      <c r="AP130" s="91" t="s">
        <v>539</v>
      </c>
      <c r="AQ130" s="90" cm="1">
        <f t="array" ref="AQ130">IFERROR(DATE(2026, _xlfn.AGGREGATE(15, 6, (COLUMN(BY130:CJ130)-COLUMN(BY130)+1)/(BY130:CJ130&lt;&gt;0), 1), 1),"N/A")</f>
        <v>46023</v>
      </c>
      <c r="AR130" s="90" cm="1">
        <f t="array" ref="AR130">IFERROR(EOMONTH(DATE(2026, _xlfn.AGGREGATE(14, 6, (COLUMN(BY130:CJ130)-COLUMN(BY130)+1)/(BY130:CJ130&lt;&gt;0), 1), 1), 0),"N/A")</f>
        <v>46387</v>
      </c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2" t="s">
        <v>661</v>
      </c>
      <c r="BF130" s="82" t="s">
        <v>967</v>
      </c>
      <c r="BG130" s="82" t="str">
        <f t="shared" si="6"/>
        <v>000</v>
      </c>
      <c r="BH130" s="88">
        <v>530104</v>
      </c>
      <c r="BI130" s="92" t="s">
        <v>74</v>
      </c>
      <c r="BJ130" s="93">
        <v>28000</v>
      </c>
      <c r="BK130" s="94">
        <v>2300</v>
      </c>
      <c r="BL130" s="94">
        <v>2300</v>
      </c>
      <c r="BM130" s="94">
        <v>2300</v>
      </c>
      <c r="BN130" s="72">
        <v>2300</v>
      </c>
      <c r="BO130" s="94">
        <v>2300</v>
      </c>
      <c r="BP130" s="94">
        <v>2300</v>
      </c>
      <c r="BQ130" s="94">
        <v>2300</v>
      </c>
      <c r="BR130" s="94">
        <v>2300</v>
      </c>
      <c r="BS130" s="94">
        <v>2300</v>
      </c>
      <c r="BT130" s="94">
        <v>2400</v>
      </c>
      <c r="BU130" s="94">
        <v>2400</v>
      </c>
      <c r="BV130" s="142">
        <v>2500</v>
      </c>
      <c r="BW130" s="142"/>
      <c r="BX130" s="143">
        <f t="shared" si="11"/>
        <v>28000</v>
      </c>
      <c r="BY130" s="94">
        <v>2300</v>
      </c>
      <c r="BZ130" s="94">
        <v>2300</v>
      </c>
      <c r="CA130" s="94">
        <v>2300</v>
      </c>
      <c r="CB130" s="72">
        <v>2300</v>
      </c>
      <c r="CC130" s="94">
        <v>2300</v>
      </c>
      <c r="CD130" s="94">
        <v>2300</v>
      </c>
      <c r="CE130" s="94">
        <v>2300</v>
      </c>
      <c r="CF130" s="94">
        <v>2300</v>
      </c>
      <c r="CG130" s="94">
        <v>2300</v>
      </c>
      <c r="CH130" s="94">
        <v>2400</v>
      </c>
      <c r="CI130" s="94">
        <v>2400</v>
      </c>
      <c r="CJ130" s="142">
        <v>2500</v>
      </c>
      <c r="CK130" s="142"/>
      <c r="CL130" s="142">
        <f t="shared" si="7"/>
        <v>0</v>
      </c>
      <c r="CM130" s="171">
        <v>2501.17</v>
      </c>
      <c r="CN130" s="171">
        <v>0</v>
      </c>
      <c r="CO130" s="171">
        <v>28000</v>
      </c>
      <c r="CP130" s="171">
        <v>3047.7</v>
      </c>
      <c r="CQ130" s="171">
        <v>0</v>
      </c>
      <c r="CR130" s="171">
        <v>0</v>
      </c>
      <c r="CS130" s="171">
        <f t="shared" si="8"/>
        <v>5548.87</v>
      </c>
      <c r="CT130" s="171">
        <f t="shared" si="9"/>
        <v>0</v>
      </c>
      <c r="CU130" s="171">
        <f t="shared" si="10"/>
        <v>28000</v>
      </c>
      <c r="CV130" s="149"/>
      <c r="CW130" s="149"/>
      <c r="CX130" s="130"/>
      <c r="CY130" s="130"/>
      <c r="CZ130" s="130"/>
      <c r="DA130" s="130"/>
      <c r="DB130" s="130"/>
      <c r="DC130" s="130"/>
      <c r="DD130" s="130"/>
      <c r="DE130" s="130"/>
      <c r="DF130" s="130"/>
      <c r="DG130" s="130"/>
      <c r="DH130" s="130"/>
      <c r="DI130" s="130"/>
      <c r="DJ130" s="130"/>
      <c r="DK130" s="130"/>
      <c r="DL130" s="130"/>
      <c r="DM130" s="130"/>
      <c r="DN130" s="130"/>
      <c r="DO130" s="130"/>
      <c r="DP130" s="130"/>
      <c r="DQ130" s="130"/>
      <c r="DR130" s="130"/>
      <c r="DS130" s="130"/>
      <c r="DT130" s="130"/>
      <c r="DU130" s="130"/>
      <c r="DV130" s="130"/>
      <c r="DW130" s="130"/>
      <c r="DX130" s="130"/>
      <c r="DY130" s="130"/>
      <c r="DZ130" s="130"/>
      <c r="EA130" s="130"/>
      <c r="EB130" s="130"/>
      <c r="EC130" s="130"/>
      <c r="ED130" s="130"/>
      <c r="EE130" s="130"/>
      <c r="EF130" s="130"/>
      <c r="EG130" s="130"/>
      <c r="EH130" s="130"/>
      <c r="EI130" s="130"/>
      <c r="EJ130" s="130"/>
      <c r="EK130" s="130"/>
      <c r="EL130" s="130"/>
      <c r="EM130" s="130"/>
      <c r="EN130" s="130"/>
      <c r="EO130" s="130"/>
      <c r="EP130" s="130"/>
      <c r="EQ130" s="130"/>
      <c r="ER130" s="130"/>
      <c r="ES130" s="130"/>
      <c r="ET130" s="130"/>
      <c r="EU130" s="130"/>
      <c r="EV130" s="130"/>
      <c r="EW130" s="130"/>
      <c r="EX130" s="130"/>
      <c r="EY130" s="130"/>
      <c r="EZ130" s="130"/>
      <c r="FA130" s="130"/>
      <c r="FB130" s="201"/>
      <c r="FC130" s="201"/>
      <c r="FD130" s="201"/>
      <c r="FE130" s="201"/>
      <c r="FF130" s="201"/>
      <c r="FG130" s="201"/>
      <c r="FH130" s="201"/>
      <c r="FI130" s="201"/>
      <c r="FJ130" s="201"/>
      <c r="FK130" s="201"/>
      <c r="FL130" s="201"/>
      <c r="FM130" s="201"/>
      <c r="FN130" s="201"/>
      <c r="FO130" s="201"/>
      <c r="FP130" s="201"/>
      <c r="FQ130" s="201"/>
      <c r="FR130" s="201"/>
      <c r="FS130" s="201"/>
      <c r="FT130" s="201"/>
      <c r="FU130" s="201"/>
      <c r="FV130" s="201"/>
      <c r="FW130" s="201"/>
      <c r="FX130" s="201"/>
      <c r="FY130" s="201"/>
      <c r="FZ130" s="201"/>
      <c r="GA130" s="201"/>
      <c r="GB130" s="201"/>
      <c r="GC130" s="201"/>
      <c r="GD130" s="201"/>
      <c r="GE130" s="201"/>
      <c r="GF130" s="201"/>
      <c r="GG130" s="201"/>
      <c r="GH130" s="201"/>
      <c r="GI130" s="201"/>
      <c r="GJ130" s="201"/>
      <c r="GK130" s="201"/>
      <c r="GL130" s="201"/>
      <c r="GM130" s="201"/>
      <c r="GN130" s="201"/>
      <c r="GO130" s="201"/>
      <c r="GP130" s="201"/>
      <c r="GQ130" s="201"/>
    </row>
    <row r="131" spans="1:204" s="68" customFormat="1" ht="14.45" customHeight="1" x14ac:dyDescent="0.25">
      <c r="A131" s="68" t="s">
        <v>692</v>
      </c>
      <c r="B131" s="82" t="s">
        <v>154</v>
      </c>
      <c r="C131" s="82" t="s">
        <v>172</v>
      </c>
      <c r="D131" s="82" t="s">
        <v>196</v>
      </c>
      <c r="E131" s="82" t="s">
        <v>309</v>
      </c>
      <c r="F131" s="82" t="s">
        <v>549</v>
      </c>
      <c r="G131" s="82" t="s">
        <v>137</v>
      </c>
      <c r="H131" s="82" t="s">
        <v>137</v>
      </c>
      <c r="I131" s="82" t="s">
        <v>66</v>
      </c>
      <c r="J131" s="82" t="s">
        <v>29</v>
      </c>
      <c r="K131" s="92" t="s">
        <v>137</v>
      </c>
      <c r="L131" s="92" t="s">
        <v>137</v>
      </c>
      <c r="M131" s="92" t="s">
        <v>137</v>
      </c>
      <c r="N131" s="92" t="s">
        <v>137</v>
      </c>
      <c r="O131" s="92" t="s">
        <v>137</v>
      </c>
      <c r="P131" s="92" t="s">
        <v>137</v>
      </c>
      <c r="Q131" s="82" t="s">
        <v>87</v>
      </c>
      <c r="R131" s="82" t="s">
        <v>714</v>
      </c>
      <c r="S131" s="82" t="s">
        <v>40</v>
      </c>
      <c r="T131" s="82" t="s">
        <v>2</v>
      </c>
      <c r="U131" s="83"/>
      <c r="V131" s="83">
        <v>0.05</v>
      </c>
      <c r="W131" s="83">
        <v>0.08</v>
      </c>
      <c r="X131" s="83">
        <v>0.15</v>
      </c>
      <c r="Y131" s="83">
        <v>0.2</v>
      </c>
      <c r="Z131" s="83">
        <v>0.25</v>
      </c>
      <c r="AA131" s="83">
        <v>0.37</v>
      </c>
      <c r="AB131" s="83">
        <v>0.42</v>
      </c>
      <c r="AC131" s="83">
        <v>0.57999999999999996</v>
      </c>
      <c r="AD131" s="83">
        <v>0.67</v>
      </c>
      <c r="AE131" s="83">
        <v>0.83</v>
      </c>
      <c r="AF131" s="83">
        <v>1</v>
      </c>
      <c r="AG131" s="82" t="s">
        <v>532</v>
      </c>
      <c r="AH131" s="82" t="s">
        <v>529</v>
      </c>
      <c r="AI131" s="88" t="s">
        <v>538</v>
      </c>
      <c r="AJ131" s="89" t="s">
        <v>538</v>
      </c>
      <c r="AK131" s="90">
        <v>46023</v>
      </c>
      <c r="AL131" s="90">
        <v>46387</v>
      </c>
      <c r="AM131" s="89"/>
      <c r="AN131" s="89"/>
      <c r="AO131" s="89"/>
      <c r="AP131" s="91" t="s">
        <v>539</v>
      </c>
      <c r="AQ131" s="90" cm="1">
        <f t="array" ref="AQ131">IFERROR(DATE(2026, _xlfn.AGGREGATE(15, 6, (COLUMN(BY131:CJ131)-COLUMN(BY131)+1)/(BY131:CJ131&lt;&gt;0), 1), 1),"N/A")</f>
        <v>46023</v>
      </c>
      <c r="AR131" s="90" cm="1">
        <f t="array" ref="AR131">IFERROR(EOMONTH(DATE(2026, _xlfn.AGGREGATE(14, 6, (COLUMN(BY131:CJ131)-COLUMN(BY131)+1)/(BY131:CJ131&lt;&gt;0), 1), 1), 0),"N/A")</f>
        <v>46387</v>
      </c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2" t="s">
        <v>622</v>
      </c>
      <c r="BF131" s="82" t="s">
        <v>968</v>
      </c>
      <c r="BG131" s="82" t="str">
        <f t="shared" si="6"/>
        <v>000</v>
      </c>
      <c r="BH131" s="88">
        <v>530105</v>
      </c>
      <c r="BI131" s="92" t="s">
        <v>74</v>
      </c>
      <c r="BJ131" s="93">
        <v>6000</v>
      </c>
      <c r="BK131" s="94">
        <v>500</v>
      </c>
      <c r="BL131" s="94">
        <v>500</v>
      </c>
      <c r="BM131" s="94">
        <v>500</v>
      </c>
      <c r="BN131" s="72">
        <v>500</v>
      </c>
      <c r="BO131" s="94">
        <v>500</v>
      </c>
      <c r="BP131" s="94">
        <v>500</v>
      </c>
      <c r="BQ131" s="94">
        <v>500</v>
      </c>
      <c r="BR131" s="94">
        <v>500</v>
      </c>
      <c r="BS131" s="94">
        <v>500</v>
      </c>
      <c r="BT131" s="94">
        <v>500</v>
      </c>
      <c r="BU131" s="94">
        <v>500</v>
      </c>
      <c r="BV131" s="142">
        <v>500</v>
      </c>
      <c r="BW131" s="142"/>
      <c r="BX131" s="143">
        <f t="shared" si="11"/>
        <v>6000</v>
      </c>
      <c r="BY131" s="94">
        <v>500</v>
      </c>
      <c r="BZ131" s="94">
        <v>500</v>
      </c>
      <c r="CA131" s="94">
        <v>500</v>
      </c>
      <c r="CB131" s="72">
        <v>500</v>
      </c>
      <c r="CC131" s="94">
        <v>500</v>
      </c>
      <c r="CD131" s="94">
        <v>500</v>
      </c>
      <c r="CE131" s="94">
        <v>500</v>
      </c>
      <c r="CF131" s="94">
        <v>500</v>
      </c>
      <c r="CG131" s="94">
        <v>500</v>
      </c>
      <c r="CH131" s="94">
        <v>500</v>
      </c>
      <c r="CI131" s="94">
        <v>500</v>
      </c>
      <c r="CJ131" s="142">
        <v>500</v>
      </c>
      <c r="CK131" s="142"/>
      <c r="CL131" s="142">
        <f t="shared" si="7"/>
        <v>0</v>
      </c>
      <c r="CM131" s="171">
        <v>315.24</v>
      </c>
      <c r="CN131" s="171">
        <v>0</v>
      </c>
      <c r="CO131" s="171">
        <v>6000</v>
      </c>
      <c r="CP131" s="171">
        <v>312.48</v>
      </c>
      <c r="CQ131" s="171">
        <v>0</v>
      </c>
      <c r="CR131" s="171">
        <v>0</v>
      </c>
      <c r="CS131" s="171">
        <f t="shared" si="8"/>
        <v>627.72</v>
      </c>
      <c r="CT131" s="171">
        <f t="shared" si="9"/>
        <v>0</v>
      </c>
      <c r="CU131" s="171">
        <f t="shared" si="10"/>
        <v>6000</v>
      </c>
      <c r="CV131" s="149"/>
      <c r="CW131" s="149"/>
      <c r="CX131" s="130"/>
      <c r="CY131" s="130"/>
      <c r="CZ131" s="130"/>
      <c r="DA131" s="130"/>
      <c r="DB131" s="130"/>
      <c r="DC131" s="130"/>
      <c r="DD131" s="130"/>
      <c r="DE131" s="130"/>
      <c r="DF131" s="130"/>
      <c r="DG131" s="130"/>
      <c r="DH131" s="130"/>
      <c r="DI131" s="130"/>
      <c r="DJ131" s="130"/>
      <c r="DK131" s="130"/>
      <c r="DL131" s="130"/>
      <c r="DM131" s="130"/>
      <c r="DN131" s="130"/>
      <c r="DO131" s="130"/>
      <c r="DP131" s="130"/>
      <c r="DQ131" s="130"/>
      <c r="DR131" s="130"/>
      <c r="DS131" s="130"/>
      <c r="DT131" s="130"/>
      <c r="DU131" s="130"/>
      <c r="DV131" s="130"/>
      <c r="DW131" s="130"/>
      <c r="DX131" s="130"/>
      <c r="DY131" s="130"/>
      <c r="DZ131" s="130"/>
      <c r="EA131" s="130"/>
      <c r="EB131" s="130"/>
      <c r="EC131" s="130"/>
      <c r="ED131" s="130"/>
      <c r="EE131" s="130"/>
      <c r="EF131" s="130"/>
      <c r="EG131" s="130"/>
      <c r="EH131" s="130"/>
      <c r="EI131" s="130"/>
      <c r="EJ131" s="130"/>
      <c r="EK131" s="130"/>
      <c r="EL131" s="130"/>
      <c r="EM131" s="130"/>
      <c r="EN131" s="130"/>
      <c r="EO131" s="130"/>
      <c r="EP131" s="130"/>
      <c r="EQ131" s="130"/>
      <c r="ER131" s="130"/>
      <c r="ES131" s="130"/>
      <c r="ET131" s="130"/>
      <c r="EU131" s="130"/>
      <c r="EV131" s="130"/>
      <c r="EW131" s="130"/>
      <c r="EX131" s="130"/>
      <c r="EY131" s="130"/>
      <c r="EZ131" s="130"/>
      <c r="FA131" s="130"/>
      <c r="FB131" s="201"/>
      <c r="FC131" s="201"/>
      <c r="FD131" s="201"/>
      <c r="FE131" s="201"/>
      <c r="FF131" s="201"/>
      <c r="FG131" s="201"/>
      <c r="FH131" s="201"/>
      <c r="FI131" s="201"/>
      <c r="FJ131" s="201"/>
      <c r="FK131" s="201"/>
      <c r="FL131" s="201"/>
      <c r="FM131" s="201"/>
      <c r="FN131" s="201"/>
      <c r="FO131" s="201"/>
      <c r="FP131" s="201"/>
      <c r="FQ131" s="201"/>
      <c r="FR131" s="201"/>
      <c r="FS131" s="201"/>
      <c r="FT131" s="201"/>
      <c r="FU131" s="201"/>
      <c r="FV131" s="201"/>
      <c r="FW131" s="201"/>
      <c r="FX131" s="201"/>
      <c r="FY131" s="201"/>
      <c r="FZ131" s="201"/>
      <c r="GA131" s="201"/>
      <c r="GB131" s="201"/>
      <c r="GC131" s="201"/>
      <c r="GD131" s="201"/>
      <c r="GE131" s="201"/>
      <c r="GF131" s="201"/>
      <c r="GG131" s="201"/>
      <c r="GH131" s="201"/>
      <c r="GI131" s="201"/>
      <c r="GJ131" s="201"/>
      <c r="GK131" s="201"/>
      <c r="GL131" s="201"/>
      <c r="GM131" s="201"/>
      <c r="GN131" s="201"/>
      <c r="GO131" s="201"/>
      <c r="GP131" s="201"/>
      <c r="GQ131" s="201"/>
    </row>
    <row r="132" spans="1:204" s="68" customFormat="1" ht="14.45" customHeight="1" x14ac:dyDescent="0.25">
      <c r="A132" s="68" t="s">
        <v>692</v>
      </c>
      <c r="B132" s="82" t="s">
        <v>154</v>
      </c>
      <c r="C132" s="82" t="s">
        <v>172</v>
      </c>
      <c r="D132" s="82" t="s">
        <v>196</v>
      </c>
      <c r="E132" s="82" t="s">
        <v>309</v>
      </c>
      <c r="F132" s="82" t="s">
        <v>549</v>
      </c>
      <c r="G132" s="82" t="s">
        <v>137</v>
      </c>
      <c r="H132" s="82" t="s">
        <v>137</v>
      </c>
      <c r="I132" s="82" t="s">
        <v>66</v>
      </c>
      <c r="J132" s="82" t="s">
        <v>29</v>
      </c>
      <c r="K132" s="92" t="s">
        <v>137</v>
      </c>
      <c r="L132" s="92" t="s">
        <v>137</v>
      </c>
      <c r="M132" s="92" t="s">
        <v>137</v>
      </c>
      <c r="N132" s="92" t="s">
        <v>137</v>
      </c>
      <c r="O132" s="92" t="s">
        <v>137</v>
      </c>
      <c r="P132" s="92" t="s">
        <v>137</v>
      </c>
      <c r="Q132" s="82" t="s">
        <v>87</v>
      </c>
      <c r="R132" s="82" t="s">
        <v>714</v>
      </c>
      <c r="S132" s="82" t="s">
        <v>40</v>
      </c>
      <c r="T132" s="82" t="s">
        <v>2</v>
      </c>
      <c r="U132" s="83"/>
      <c r="V132" s="83">
        <v>0.05</v>
      </c>
      <c r="W132" s="83">
        <v>0.08</v>
      </c>
      <c r="X132" s="83">
        <v>0.15</v>
      </c>
      <c r="Y132" s="83">
        <v>0.2</v>
      </c>
      <c r="Z132" s="83">
        <v>0.25</v>
      </c>
      <c r="AA132" s="83">
        <v>0.37</v>
      </c>
      <c r="AB132" s="83">
        <v>0.42</v>
      </c>
      <c r="AC132" s="83">
        <v>0.57999999999999996</v>
      </c>
      <c r="AD132" s="83">
        <v>0.67</v>
      </c>
      <c r="AE132" s="83">
        <v>0.83</v>
      </c>
      <c r="AF132" s="83">
        <v>1</v>
      </c>
      <c r="AG132" s="82" t="s">
        <v>532</v>
      </c>
      <c r="AH132" s="82" t="s">
        <v>529</v>
      </c>
      <c r="AI132" s="88" t="s">
        <v>538</v>
      </c>
      <c r="AJ132" s="89" t="s">
        <v>538</v>
      </c>
      <c r="AK132" s="90">
        <v>46023</v>
      </c>
      <c r="AL132" s="90">
        <v>46387</v>
      </c>
      <c r="AM132" s="89"/>
      <c r="AN132" s="89"/>
      <c r="AO132" s="89"/>
      <c r="AP132" s="91" t="s">
        <v>539</v>
      </c>
      <c r="AQ132" s="90" cm="1">
        <f t="array" ref="AQ132">IFERROR(DATE(2026, _xlfn.AGGREGATE(15, 6, (COLUMN(BY132:CJ132)-COLUMN(BY132)+1)/(BY132:CJ132&lt;&gt;0), 1), 1),"N/A")</f>
        <v>46296</v>
      </c>
      <c r="AR132" s="90" cm="1">
        <f t="array" ref="AR132">IFERROR(EOMONTH(DATE(2026, _xlfn.AGGREGATE(14, 6, (COLUMN(BY132:CJ132)-COLUMN(BY132)+1)/(BY132:CJ132&lt;&gt;0), 1), 1), 0),"N/A")</f>
        <v>46326</v>
      </c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2" t="s">
        <v>656</v>
      </c>
      <c r="BF132" s="82" t="s">
        <v>997</v>
      </c>
      <c r="BG132" s="82" t="str">
        <f t="shared" si="6"/>
        <v>000</v>
      </c>
      <c r="BH132" s="88">
        <v>570102</v>
      </c>
      <c r="BI132" s="92" t="s">
        <v>74</v>
      </c>
      <c r="BJ132" s="93">
        <v>49020</v>
      </c>
      <c r="BK132" s="74">
        <v>0</v>
      </c>
      <c r="BL132" s="74">
        <v>0</v>
      </c>
      <c r="BM132" s="74">
        <v>0</v>
      </c>
      <c r="BN132" s="74">
        <v>0</v>
      </c>
      <c r="BO132" s="74">
        <v>0</v>
      </c>
      <c r="BP132" s="74">
        <v>0</v>
      </c>
      <c r="BQ132" s="74">
        <v>0</v>
      </c>
      <c r="BR132" s="74">
        <v>0</v>
      </c>
      <c r="BS132" s="74">
        <v>0</v>
      </c>
      <c r="BT132" s="74">
        <v>49020</v>
      </c>
      <c r="BU132" s="74">
        <v>0</v>
      </c>
      <c r="BV132" s="143">
        <v>0</v>
      </c>
      <c r="BW132" s="143"/>
      <c r="BX132" s="143">
        <f t="shared" si="11"/>
        <v>49020</v>
      </c>
      <c r="BY132" s="74">
        <v>0</v>
      </c>
      <c r="BZ132" s="74">
        <v>0</v>
      </c>
      <c r="CA132" s="74">
        <v>0</v>
      </c>
      <c r="CB132" s="74">
        <v>0</v>
      </c>
      <c r="CC132" s="74">
        <v>0</v>
      </c>
      <c r="CD132" s="74">
        <v>0</v>
      </c>
      <c r="CE132" s="74">
        <v>0</v>
      </c>
      <c r="CF132" s="74">
        <v>0</v>
      </c>
      <c r="CG132" s="74">
        <v>0</v>
      </c>
      <c r="CH132" s="74">
        <v>49020</v>
      </c>
      <c r="CI132" s="74">
        <v>0</v>
      </c>
      <c r="CJ132" s="143">
        <v>0</v>
      </c>
      <c r="CK132" s="143"/>
      <c r="CL132" s="142">
        <f t="shared" si="7"/>
        <v>0</v>
      </c>
      <c r="CM132" s="171">
        <v>0</v>
      </c>
      <c r="CN132" s="171">
        <v>0</v>
      </c>
      <c r="CO132" s="171">
        <v>0</v>
      </c>
      <c r="CP132" s="171">
        <v>0</v>
      </c>
      <c r="CQ132" s="171">
        <v>0</v>
      </c>
      <c r="CR132" s="171">
        <v>0</v>
      </c>
      <c r="CS132" s="171">
        <f t="shared" si="8"/>
        <v>0</v>
      </c>
      <c r="CT132" s="171">
        <f t="shared" si="9"/>
        <v>0</v>
      </c>
      <c r="CU132" s="171">
        <f t="shared" si="10"/>
        <v>0</v>
      </c>
      <c r="CV132" s="149"/>
      <c r="CW132" s="149"/>
      <c r="CX132" s="130"/>
      <c r="CY132" s="130"/>
      <c r="CZ132" s="130"/>
      <c r="DA132" s="130"/>
      <c r="DB132" s="130"/>
      <c r="DC132" s="130"/>
      <c r="DD132" s="130"/>
      <c r="DE132" s="130"/>
      <c r="DF132" s="130"/>
      <c r="DG132" s="130"/>
      <c r="DH132" s="130"/>
      <c r="DI132" s="130"/>
      <c r="DJ132" s="130"/>
      <c r="DK132" s="130"/>
      <c r="DL132" s="130"/>
      <c r="DM132" s="130"/>
      <c r="DN132" s="130"/>
      <c r="DO132" s="130"/>
      <c r="DP132" s="130"/>
      <c r="DQ132" s="130"/>
      <c r="DR132" s="130"/>
      <c r="DS132" s="130"/>
      <c r="DT132" s="130"/>
      <c r="DU132" s="130"/>
      <c r="DV132" s="130"/>
      <c r="DW132" s="130"/>
      <c r="DX132" s="130"/>
      <c r="DY132" s="130"/>
      <c r="DZ132" s="130"/>
      <c r="EA132" s="130"/>
      <c r="EB132" s="130"/>
      <c r="EC132" s="130"/>
      <c r="ED132" s="130"/>
      <c r="EE132" s="130"/>
      <c r="EF132" s="130"/>
      <c r="EG132" s="130"/>
      <c r="EH132" s="130"/>
      <c r="EI132" s="130"/>
      <c r="EJ132" s="130"/>
      <c r="EK132" s="130"/>
      <c r="EL132" s="130"/>
      <c r="EM132" s="130"/>
      <c r="EN132" s="130"/>
      <c r="EO132" s="130"/>
      <c r="EP132" s="130"/>
      <c r="EQ132" s="130"/>
      <c r="ER132" s="130"/>
      <c r="ES132" s="130"/>
      <c r="ET132" s="130"/>
      <c r="EU132" s="130"/>
      <c r="EV132" s="130"/>
      <c r="EW132" s="130"/>
      <c r="EX132" s="130"/>
      <c r="EY132" s="130"/>
      <c r="EZ132" s="130"/>
      <c r="FA132" s="130"/>
      <c r="FB132" s="201"/>
      <c r="FC132" s="201"/>
      <c r="FD132" s="201"/>
      <c r="FE132" s="201"/>
      <c r="FF132" s="201"/>
      <c r="FG132" s="201"/>
      <c r="FH132" s="201"/>
      <c r="FI132" s="201"/>
      <c r="FJ132" s="201"/>
      <c r="FK132" s="201"/>
      <c r="FL132" s="201"/>
      <c r="FM132" s="201"/>
      <c r="FN132" s="201"/>
      <c r="FO132" s="201"/>
      <c r="FP132" s="201"/>
      <c r="FQ132" s="201"/>
      <c r="FR132" s="201"/>
      <c r="FS132" s="201"/>
      <c r="FT132" s="201"/>
      <c r="FU132" s="201"/>
      <c r="FV132" s="201"/>
      <c r="FW132" s="201"/>
      <c r="FX132" s="201"/>
      <c r="FY132" s="201"/>
      <c r="FZ132" s="201"/>
      <c r="GA132" s="201"/>
      <c r="GB132" s="201"/>
      <c r="GC132" s="201"/>
      <c r="GD132" s="201"/>
      <c r="GE132" s="201"/>
      <c r="GF132" s="201"/>
      <c r="GG132" s="201"/>
      <c r="GH132" s="201"/>
      <c r="GI132" s="201"/>
      <c r="GJ132" s="201"/>
      <c r="GK132" s="201"/>
      <c r="GL132" s="201"/>
      <c r="GM132" s="201"/>
      <c r="GN132" s="201"/>
      <c r="GO132" s="201"/>
      <c r="GP132" s="201"/>
      <c r="GQ132" s="201"/>
    </row>
    <row r="133" spans="1:204" s="68" customFormat="1" ht="14.45" customHeight="1" x14ac:dyDescent="0.25">
      <c r="A133" s="68" t="s">
        <v>695</v>
      </c>
      <c r="B133" s="82" t="s">
        <v>154</v>
      </c>
      <c r="C133" s="82" t="s">
        <v>172</v>
      </c>
      <c r="D133" s="95" t="s">
        <v>196</v>
      </c>
      <c r="E133" s="82" t="s">
        <v>309</v>
      </c>
      <c r="F133" s="82" t="s">
        <v>549</v>
      </c>
      <c r="G133" s="82" t="s">
        <v>137</v>
      </c>
      <c r="H133" s="82" t="s">
        <v>137</v>
      </c>
      <c r="I133" s="82" t="s">
        <v>66</v>
      </c>
      <c r="J133" s="82" t="s">
        <v>531</v>
      </c>
      <c r="K133" s="92" t="s">
        <v>137</v>
      </c>
      <c r="L133" s="92" t="s">
        <v>137</v>
      </c>
      <c r="M133" s="92" t="s">
        <v>137</v>
      </c>
      <c r="N133" s="92" t="s">
        <v>137</v>
      </c>
      <c r="O133" s="92" t="s">
        <v>137</v>
      </c>
      <c r="P133" s="92" t="s">
        <v>137</v>
      </c>
      <c r="Q133" s="82" t="s">
        <v>552</v>
      </c>
      <c r="R133" s="82" t="s">
        <v>715</v>
      </c>
      <c r="S133" s="82" t="s">
        <v>555</v>
      </c>
      <c r="T133" s="82" t="s">
        <v>320</v>
      </c>
      <c r="U133" s="83">
        <v>0.95</v>
      </c>
      <c r="V133" s="83">
        <v>0.95</v>
      </c>
      <c r="W133" s="83">
        <v>0.95</v>
      </c>
      <c r="X133" s="83">
        <v>0.95</v>
      </c>
      <c r="Y133" s="83">
        <v>0.95</v>
      </c>
      <c r="Z133" s="83">
        <v>0.95</v>
      </c>
      <c r="AA133" s="83">
        <v>0.95</v>
      </c>
      <c r="AB133" s="83">
        <v>0.95</v>
      </c>
      <c r="AC133" s="83">
        <v>0.95</v>
      </c>
      <c r="AD133" s="83">
        <v>0.95</v>
      </c>
      <c r="AE133" s="83">
        <v>0.95</v>
      </c>
      <c r="AF133" s="83">
        <v>0.95</v>
      </c>
      <c r="AG133" s="82" t="s">
        <v>533</v>
      </c>
      <c r="AH133" s="82" t="s">
        <v>529</v>
      </c>
      <c r="AI133" s="88" t="s">
        <v>538</v>
      </c>
      <c r="AJ133" s="89" t="s">
        <v>538</v>
      </c>
      <c r="AK133" s="90">
        <v>46023</v>
      </c>
      <c r="AL133" s="90">
        <v>46387</v>
      </c>
      <c r="AM133" s="89"/>
      <c r="AN133" s="89"/>
      <c r="AO133" s="89"/>
      <c r="AP133" s="91" t="s">
        <v>542</v>
      </c>
      <c r="AQ133" s="90" t="str" cm="1">
        <f t="array" ref="AQ133">IFERROR(DATE(2026, _xlfn.AGGREGATE(15, 6, (COLUMN(BY133:CJ133)-COLUMN(BY133)+1)/(BY133:CJ133&lt;&gt;0), 1), 1),"N/A")</f>
        <v>N/A</v>
      </c>
      <c r="AR133" s="90" t="str" cm="1">
        <f t="array" ref="AR133">IFERROR(EOMONTH(DATE(2026, _xlfn.AGGREGATE(14, 6, (COLUMN(BY133:CJ133)-COLUMN(BY133)+1)/(BY133:CJ133&lt;&gt;0), 1), 1), 0),"N/A")</f>
        <v>N/A</v>
      </c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2" t="s">
        <v>724</v>
      </c>
      <c r="BF133" s="82" t="s">
        <v>1043</v>
      </c>
      <c r="BG133" s="82" t="str">
        <f t="shared" si="6"/>
        <v>000</v>
      </c>
      <c r="BH133" s="88">
        <v>630207</v>
      </c>
      <c r="BI133" s="92" t="s">
        <v>74</v>
      </c>
      <c r="BJ133" s="93">
        <f>50000</f>
        <v>50000</v>
      </c>
      <c r="BK133" s="74">
        <v>0</v>
      </c>
      <c r="BL133" s="74">
        <v>0</v>
      </c>
      <c r="BM133" s="74">
        <v>0</v>
      </c>
      <c r="BN133" s="74">
        <v>0</v>
      </c>
      <c r="BO133" s="74">
        <v>0</v>
      </c>
      <c r="BP133" s="94">
        <v>50000</v>
      </c>
      <c r="BQ133" s="74">
        <v>0</v>
      </c>
      <c r="BR133" s="74">
        <v>0</v>
      </c>
      <c r="BS133" s="74">
        <v>0</v>
      </c>
      <c r="BT133" s="74">
        <v>0</v>
      </c>
      <c r="BU133" s="74">
        <v>0</v>
      </c>
      <c r="BV133" s="143">
        <v>0</v>
      </c>
      <c r="BW133" s="143">
        <v>-50000</v>
      </c>
      <c r="BX133" s="143">
        <f t="shared" si="11"/>
        <v>0</v>
      </c>
      <c r="BY133" s="74">
        <v>0</v>
      </c>
      <c r="BZ133" s="74">
        <v>0</v>
      </c>
      <c r="CA133" s="74">
        <v>0</v>
      </c>
      <c r="CB133" s="74">
        <v>0</v>
      </c>
      <c r="CC133" s="74">
        <v>0</v>
      </c>
      <c r="CD133" s="94">
        <v>0</v>
      </c>
      <c r="CE133" s="74">
        <v>0</v>
      </c>
      <c r="CF133" s="74">
        <v>0</v>
      </c>
      <c r="CG133" s="74">
        <v>0</v>
      </c>
      <c r="CH133" s="74">
        <v>0</v>
      </c>
      <c r="CI133" s="74">
        <v>0</v>
      </c>
      <c r="CJ133" s="143">
        <v>0</v>
      </c>
      <c r="CK133" s="143"/>
      <c r="CL133" s="142">
        <f t="shared" si="7"/>
        <v>0</v>
      </c>
      <c r="CM133" s="171">
        <v>0</v>
      </c>
      <c r="CN133" s="171">
        <v>0</v>
      </c>
      <c r="CO133" s="171">
        <v>0</v>
      </c>
      <c r="CP133" s="171">
        <v>0</v>
      </c>
      <c r="CQ133" s="171">
        <v>0</v>
      </c>
      <c r="CR133" s="171">
        <v>0</v>
      </c>
      <c r="CS133" s="171">
        <f t="shared" si="8"/>
        <v>0</v>
      </c>
      <c r="CT133" s="171">
        <f t="shared" si="9"/>
        <v>0</v>
      </c>
      <c r="CU133" s="171">
        <f t="shared" si="10"/>
        <v>0</v>
      </c>
      <c r="CV133" s="149"/>
      <c r="CW133" s="149"/>
      <c r="CX133" s="130"/>
      <c r="CY133" s="130"/>
      <c r="CZ133" s="130"/>
      <c r="DA133" s="130"/>
      <c r="DB133" s="130"/>
      <c r="DC133" s="130"/>
      <c r="DD133" s="130"/>
      <c r="DE133" s="131"/>
      <c r="DF133" s="131"/>
      <c r="DG133" s="132"/>
      <c r="DH133" s="131"/>
      <c r="DI133" s="131"/>
      <c r="DJ133" s="131"/>
      <c r="DK133" s="131"/>
      <c r="DL133" s="131"/>
      <c r="DM133" s="131"/>
      <c r="DN133" s="131"/>
      <c r="DO133" s="131"/>
      <c r="DP133" s="131"/>
      <c r="DQ133" s="131"/>
      <c r="DR133" s="132"/>
      <c r="DS133" s="131"/>
      <c r="DT133" s="131"/>
      <c r="DU133" s="131"/>
      <c r="DV133" s="131"/>
      <c r="DW133" s="131"/>
      <c r="DX133" s="131"/>
      <c r="DY133" s="131"/>
      <c r="DZ133" s="132"/>
      <c r="EA133" s="132"/>
      <c r="EB133" s="132"/>
      <c r="EC133" s="132"/>
      <c r="ED133" s="131"/>
      <c r="EE133" s="131"/>
      <c r="EF133" s="131"/>
      <c r="EG133" s="131"/>
      <c r="EH133" s="131"/>
      <c r="EI133" s="131"/>
      <c r="EJ133" s="131"/>
      <c r="EK133" s="131"/>
      <c r="EL133" s="132"/>
      <c r="EM133" s="131"/>
      <c r="EN133" s="131"/>
      <c r="EO133" s="133"/>
      <c r="EP133" s="133"/>
      <c r="EQ133" s="133"/>
      <c r="ER133" s="133"/>
      <c r="ES133" s="133"/>
      <c r="ET133" s="133"/>
      <c r="EU133" s="133"/>
      <c r="EV133" s="134"/>
      <c r="EW133" s="133"/>
      <c r="EX133" s="133"/>
      <c r="EY133" s="135"/>
      <c r="EZ133" s="132"/>
      <c r="FA133" s="136"/>
      <c r="FB133" s="201"/>
      <c r="FC133" s="201"/>
      <c r="FD133" s="201"/>
      <c r="FE133" s="201"/>
      <c r="FF133" s="201"/>
      <c r="FG133" s="201"/>
      <c r="FH133" s="201"/>
      <c r="FI133" s="201"/>
      <c r="FJ133" s="201"/>
      <c r="FK133" s="201"/>
      <c r="FL133" s="201"/>
      <c r="FM133" s="201"/>
      <c r="FN133" s="201"/>
      <c r="FO133" s="201"/>
      <c r="FP133" s="201"/>
      <c r="FQ133" s="201"/>
      <c r="FR133" s="201"/>
      <c r="FS133" s="201"/>
      <c r="FT133" s="201"/>
      <c r="FU133" s="201"/>
      <c r="FV133" s="201"/>
      <c r="FW133" s="201"/>
      <c r="FX133" s="201"/>
      <c r="FY133" s="201"/>
      <c r="FZ133" s="201"/>
      <c r="GA133" s="201"/>
      <c r="GB133" s="201"/>
      <c r="GC133" s="201"/>
      <c r="GD133" s="201"/>
      <c r="GE133" s="201"/>
      <c r="GF133" s="201"/>
      <c r="GG133" s="201"/>
      <c r="GH133" s="201"/>
      <c r="GI133" s="201"/>
      <c r="GJ133" s="201"/>
      <c r="GK133" s="201"/>
      <c r="GL133" s="201"/>
      <c r="GM133" s="201"/>
      <c r="GN133" s="201"/>
      <c r="GO133" s="201"/>
      <c r="GP133" s="201"/>
      <c r="GQ133" s="201"/>
    </row>
    <row r="134" spans="1:204" s="68" customFormat="1" ht="14.45" customHeight="1" x14ac:dyDescent="0.25">
      <c r="A134" s="68" t="s">
        <v>701</v>
      </c>
      <c r="B134" s="82" t="s">
        <v>154</v>
      </c>
      <c r="C134" s="82" t="s">
        <v>172</v>
      </c>
      <c r="D134" s="95" t="s">
        <v>196</v>
      </c>
      <c r="E134" s="82" t="s">
        <v>309</v>
      </c>
      <c r="F134" s="82" t="s">
        <v>549</v>
      </c>
      <c r="G134" s="82" t="s">
        <v>137</v>
      </c>
      <c r="H134" s="82" t="s">
        <v>137</v>
      </c>
      <c r="I134" s="82" t="s">
        <v>66</v>
      </c>
      <c r="J134" s="82" t="s">
        <v>531</v>
      </c>
      <c r="K134" s="92" t="s">
        <v>137</v>
      </c>
      <c r="L134" s="92" t="s">
        <v>137</v>
      </c>
      <c r="M134" s="92" t="s">
        <v>137</v>
      </c>
      <c r="N134" s="92" t="s">
        <v>137</v>
      </c>
      <c r="O134" s="92" t="s">
        <v>137</v>
      </c>
      <c r="P134" s="92" t="s">
        <v>137</v>
      </c>
      <c r="Q134" s="82" t="s">
        <v>552</v>
      </c>
      <c r="R134" s="82" t="s">
        <v>715</v>
      </c>
      <c r="S134" s="82" t="s">
        <v>555</v>
      </c>
      <c r="T134" s="82" t="s">
        <v>320</v>
      </c>
      <c r="U134" s="83">
        <v>0.95</v>
      </c>
      <c r="V134" s="83">
        <v>0.95</v>
      </c>
      <c r="W134" s="83">
        <v>0.95</v>
      </c>
      <c r="X134" s="83">
        <v>0.95</v>
      </c>
      <c r="Y134" s="83">
        <v>0.95</v>
      </c>
      <c r="Z134" s="83">
        <v>0.95</v>
      </c>
      <c r="AA134" s="83">
        <v>0.95</v>
      </c>
      <c r="AB134" s="83">
        <v>0.95</v>
      </c>
      <c r="AC134" s="83">
        <v>0.95</v>
      </c>
      <c r="AD134" s="83">
        <v>0.95</v>
      </c>
      <c r="AE134" s="83">
        <v>0.95</v>
      </c>
      <c r="AF134" s="83">
        <v>0.95</v>
      </c>
      <c r="AG134" s="82" t="s">
        <v>533</v>
      </c>
      <c r="AH134" s="82" t="s">
        <v>529</v>
      </c>
      <c r="AI134" s="88" t="s">
        <v>538</v>
      </c>
      <c r="AJ134" s="89" t="s">
        <v>538</v>
      </c>
      <c r="AK134" s="90">
        <v>46023</v>
      </c>
      <c r="AL134" s="90">
        <v>46387</v>
      </c>
      <c r="AM134" s="89"/>
      <c r="AN134" s="89"/>
      <c r="AO134" s="89"/>
      <c r="AP134" s="91" t="s">
        <v>542</v>
      </c>
      <c r="AQ134" s="90" cm="1">
        <f t="array" ref="AQ134">IFERROR(DATE(2026, _xlfn.AGGREGATE(15, 6, (COLUMN(BY134:CJ134)-COLUMN(BY134)+1)/(BY134:CJ134&lt;&gt;0), 1), 1),"N/A")</f>
        <v>46023</v>
      </c>
      <c r="AR134" s="90" cm="1">
        <f t="array" ref="AR134">IFERROR(EOMONTH(DATE(2026, _xlfn.AGGREGATE(14, 6, (COLUMN(BY134:CJ134)-COLUMN(BY134)+1)/(BY134:CJ134&lt;&gt;0), 1), 1), 0),"N/A")</f>
        <v>46387</v>
      </c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2" t="s">
        <v>789</v>
      </c>
      <c r="BF134" s="82" t="s">
        <v>1023</v>
      </c>
      <c r="BG134" s="82" t="str">
        <f t="shared" ref="BG134:BG197" si="12">MID(BF134,22,3)</f>
        <v>000</v>
      </c>
      <c r="BH134" s="88">
        <v>631203</v>
      </c>
      <c r="BI134" s="92" t="s">
        <v>74</v>
      </c>
      <c r="BJ134" s="93">
        <v>50000</v>
      </c>
      <c r="BK134" s="94" t="s">
        <v>548</v>
      </c>
      <c r="BL134" s="94">
        <v>4545.45</v>
      </c>
      <c r="BM134" s="94">
        <v>4545.45</v>
      </c>
      <c r="BN134" s="72">
        <v>4545.45</v>
      </c>
      <c r="BO134" s="94">
        <v>4545.45</v>
      </c>
      <c r="BP134" s="94">
        <v>4545.45</v>
      </c>
      <c r="BQ134" s="94">
        <v>4545.46</v>
      </c>
      <c r="BR134" s="94">
        <v>4545.46</v>
      </c>
      <c r="BS134" s="94">
        <v>4545.46</v>
      </c>
      <c r="BT134" s="94">
        <v>4545.46</v>
      </c>
      <c r="BU134" s="94">
        <v>4545.46</v>
      </c>
      <c r="BV134" s="142">
        <v>4545.45</v>
      </c>
      <c r="BW134" s="142"/>
      <c r="BX134" s="143">
        <f t="shared" si="11"/>
        <v>50000</v>
      </c>
      <c r="BY134" s="94" t="s">
        <v>548</v>
      </c>
      <c r="BZ134" s="94">
        <v>4545.45</v>
      </c>
      <c r="CA134" s="94">
        <v>4545.45</v>
      </c>
      <c r="CB134" s="72">
        <v>4545.45</v>
      </c>
      <c r="CC134" s="94">
        <v>4545.45</v>
      </c>
      <c r="CD134" s="94">
        <v>4545.45</v>
      </c>
      <c r="CE134" s="94">
        <v>4545.46</v>
      </c>
      <c r="CF134" s="94">
        <v>4545.46</v>
      </c>
      <c r="CG134" s="94">
        <v>4545.46</v>
      </c>
      <c r="CH134" s="94">
        <v>4545.46</v>
      </c>
      <c r="CI134" s="94">
        <v>4545.46</v>
      </c>
      <c r="CJ134" s="142">
        <v>4545.45</v>
      </c>
      <c r="CK134" s="142"/>
      <c r="CL134" s="142">
        <f t="shared" ref="CL134:CL197" si="13">+BX134-SUM(BY134:CK134)</f>
        <v>0</v>
      </c>
      <c r="CM134" s="171">
        <v>0</v>
      </c>
      <c r="CN134" s="171">
        <v>50000</v>
      </c>
      <c r="CO134" s="171">
        <v>0</v>
      </c>
      <c r="CP134" s="171">
        <v>0</v>
      </c>
      <c r="CQ134" s="171">
        <v>50000</v>
      </c>
      <c r="CR134" s="171">
        <v>0</v>
      </c>
      <c r="CS134" s="171">
        <f t="shared" ref="CS134:CS197" si="14">+CP134+CM134</f>
        <v>0</v>
      </c>
      <c r="CT134" s="171">
        <f t="shared" ref="CT134:CT197" si="15">+CQ134+CN134</f>
        <v>100000</v>
      </c>
      <c r="CU134" s="171">
        <f t="shared" ref="CU134:CU197" si="16">+CR134+CO134</f>
        <v>0</v>
      </c>
      <c r="CV134" s="149"/>
      <c r="CW134" s="149"/>
      <c r="CX134" s="130"/>
      <c r="CY134" s="130"/>
      <c r="CZ134" s="130"/>
      <c r="DA134" s="130"/>
      <c r="DB134" s="130"/>
      <c r="DC134" s="130"/>
      <c r="DD134" s="130"/>
      <c r="DE134" s="207"/>
      <c r="DF134" s="207"/>
      <c r="DG134" s="207"/>
      <c r="DH134" s="207"/>
      <c r="DI134" s="207"/>
      <c r="DJ134" s="207"/>
      <c r="DK134" s="207"/>
      <c r="DL134" s="207"/>
      <c r="DM134" s="207"/>
      <c r="DN134" s="207"/>
      <c r="DO134" s="207"/>
      <c r="DP134" s="207"/>
      <c r="DQ134" s="207"/>
      <c r="DR134" s="207"/>
      <c r="DS134" s="207"/>
      <c r="DT134" s="207"/>
      <c r="DU134" s="207"/>
      <c r="DV134" s="207"/>
      <c r="DW134" s="207"/>
      <c r="DX134" s="207"/>
      <c r="DY134" s="207"/>
      <c r="DZ134" s="207"/>
      <c r="EA134" s="207"/>
      <c r="EB134" s="207"/>
      <c r="EC134" s="207"/>
      <c r="ED134" s="207"/>
      <c r="EE134" s="207"/>
      <c r="EF134" s="207"/>
      <c r="EG134" s="207"/>
      <c r="EH134" s="207"/>
      <c r="EI134" s="207"/>
      <c r="EJ134" s="207"/>
      <c r="EK134" s="207"/>
      <c r="EL134" s="207"/>
      <c r="EM134" s="207"/>
      <c r="EN134" s="207"/>
      <c r="EO134" s="207"/>
      <c r="EP134" s="207"/>
      <c r="EQ134" s="207"/>
      <c r="ER134" s="207"/>
      <c r="ES134" s="207"/>
      <c r="ET134" s="207"/>
      <c r="EU134" s="207"/>
      <c r="EV134" s="207"/>
      <c r="EW134" s="207"/>
      <c r="EX134" s="207"/>
      <c r="EY134" s="207"/>
      <c r="EZ134" s="207"/>
      <c r="FA134" s="207"/>
      <c r="FB134" s="201"/>
      <c r="FC134" s="201"/>
      <c r="FD134" s="201"/>
      <c r="FE134" s="201"/>
      <c r="FF134" s="201"/>
      <c r="FG134" s="201"/>
      <c r="FH134" s="201"/>
      <c r="FI134" s="201"/>
      <c r="FJ134" s="201"/>
      <c r="FK134" s="201"/>
      <c r="FL134" s="201"/>
      <c r="FM134" s="201"/>
      <c r="FN134" s="201"/>
      <c r="FO134" s="201"/>
      <c r="FP134" s="201"/>
      <c r="FQ134" s="201"/>
      <c r="FR134" s="201"/>
      <c r="FS134" s="201"/>
      <c r="FT134" s="201"/>
      <c r="FU134" s="201"/>
      <c r="FV134" s="201"/>
      <c r="FW134" s="201"/>
      <c r="FX134" s="201"/>
      <c r="FY134" s="201"/>
      <c r="FZ134" s="201"/>
      <c r="GA134" s="201"/>
      <c r="GB134" s="201"/>
      <c r="GC134" s="201"/>
      <c r="GD134" s="201"/>
      <c r="GE134" s="201"/>
      <c r="GF134" s="201"/>
      <c r="GG134" s="201"/>
      <c r="GH134" s="201"/>
      <c r="GI134" s="201"/>
      <c r="GJ134" s="201"/>
      <c r="GK134" s="201"/>
      <c r="GL134" s="201"/>
      <c r="GM134" s="201"/>
      <c r="GN134" s="201"/>
      <c r="GO134" s="201"/>
      <c r="GP134" s="201"/>
      <c r="GQ134" s="201"/>
    </row>
    <row r="135" spans="1:204" s="68" customFormat="1" ht="14.45" customHeight="1" x14ac:dyDescent="0.25">
      <c r="A135" s="68" t="s">
        <v>694</v>
      </c>
      <c r="B135" s="82" t="s">
        <v>154</v>
      </c>
      <c r="C135" s="82" t="s">
        <v>172</v>
      </c>
      <c r="D135" s="95" t="s">
        <v>196</v>
      </c>
      <c r="E135" s="82" t="s">
        <v>309</v>
      </c>
      <c r="F135" s="82" t="s">
        <v>549</v>
      </c>
      <c r="G135" s="82" t="s">
        <v>137</v>
      </c>
      <c r="H135" s="82" t="s">
        <v>137</v>
      </c>
      <c r="I135" s="82" t="s">
        <v>66</v>
      </c>
      <c r="J135" s="82" t="s">
        <v>531</v>
      </c>
      <c r="K135" s="92" t="s">
        <v>137</v>
      </c>
      <c r="L135" s="92" t="s">
        <v>137</v>
      </c>
      <c r="M135" s="92" t="s">
        <v>137</v>
      </c>
      <c r="N135" s="92" t="s">
        <v>137</v>
      </c>
      <c r="O135" s="92" t="s">
        <v>137</v>
      </c>
      <c r="P135" s="92" t="s">
        <v>137</v>
      </c>
      <c r="Q135" s="82" t="s">
        <v>552</v>
      </c>
      <c r="R135" s="82" t="s">
        <v>715</v>
      </c>
      <c r="S135" s="82" t="s">
        <v>555</v>
      </c>
      <c r="T135" s="82" t="s">
        <v>320</v>
      </c>
      <c r="U135" s="83">
        <v>0.95</v>
      </c>
      <c r="V135" s="83">
        <v>0.95</v>
      </c>
      <c r="W135" s="83">
        <v>0.95</v>
      </c>
      <c r="X135" s="83">
        <v>0.95</v>
      </c>
      <c r="Y135" s="83">
        <v>0.95</v>
      </c>
      <c r="Z135" s="83">
        <v>0.95</v>
      </c>
      <c r="AA135" s="83">
        <v>0.95</v>
      </c>
      <c r="AB135" s="83">
        <v>0.95</v>
      </c>
      <c r="AC135" s="83">
        <v>0.95</v>
      </c>
      <c r="AD135" s="83">
        <v>0.95</v>
      </c>
      <c r="AE135" s="83">
        <v>0.95</v>
      </c>
      <c r="AF135" s="83">
        <v>0.95</v>
      </c>
      <c r="AG135" s="82" t="s">
        <v>533</v>
      </c>
      <c r="AH135" s="82" t="s">
        <v>529</v>
      </c>
      <c r="AI135" s="88" t="s">
        <v>538</v>
      </c>
      <c r="AJ135" s="89" t="s">
        <v>538</v>
      </c>
      <c r="AK135" s="90">
        <v>46023</v>
      </c>
      <c r="AL135" s="90">
        <v>46387</v>
      </c>
      <c r="AM135" s="89"/>
      <c r="AN135" s="89"/>
      <c r="AO135" s="89"/>
      <c r="AP135" s="91" t="s">
        <v>540</v>
      </c>
      <c r="AQ135" s="90" cm="1">
        <f t="array" ref="AQ135">IFERROR(DATE(2026, _xlfn.AGGREGATE(15, 6, (COLUMN(BY135:CJ135)-COLUMN(BY135)+1)/(BY135:CJ135&lt;&gt;0), 1), 1),"N/A")</f>
        <v>46357</v>
      </c>
      <c r="AR135" s="90" cm="1">
        <f t="array" ref="AR135">IFERROR(EOMONTH(DATE(2026, _xlfn.AGGREGATE(14, 6, (COLUMN(BY135:CJ135)-COLUMN(BY135)+1)/(BY135:CJ135&lt;&gt;0), 1), 1), 0),"N/A")</f>
        <v>46387</v>
      </c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2" t="s">
        <v>572</v>
      </c>
      <c r="BF135" s="82" t="s">
        <v>743</v>
      </c>
      <c r="BG135" s="82" t="str">
        <f t="shared" si="12"/>
        <v>000</v>
      </c>
      <c r="BH135" s="88">
        <v>630204</v>
      </c>
      <c r="BI135" s="92" t="s">
        <v>74</v>
      </c>
      <c r="BJ135" s="93">
        <v>100</v>
      </c>
      <c r="BK135" s="74">
        <v>0</v>
      </c>
      <c r="BL135" s="74">
        <v>0</v>
      </c>
      <c r="BM135" s="74">
        <v>0</v>
      </c>
      <c r="BN135" s="74">
        <v>0</v>
      </c>
      <c r="BO135" s="74">
        <v>0</v>
      </c>
      <c r="BP135" s="74">
        <v>0</v>
      </c>
      <c r="BQ135" s="74">
        <v>0</v>
      </c>
      <c r="BR135" s="74">
        <v>0</v>
      </c>
      <c r="BS135" s="74">
        <v>0</v>
      </c>
      <c r="BT135" s="74">
        <v>0</v>
      </c>
      <c r="BU135" s="74">
        <v>0</v>
      </c>
      <c r="BV135" s="142">
        <v>100</v>
      </c>
      <c r="BW135" s="142"/>
      <c r="BX135" s="143">
        <f t="shared" ref="BX135:BX198" si="17">+BJ135+BW135</f>
        <v>100</v>
      </c>
      <c r="BY135" s="74">
        <v>0</v>
      </c>
      <c r="BZ135" s="74">
        <v>0</v>
      </c>
      <c r="CA135" s="74">
        <v>0</v>
      </c>
      <c r="CB135" s="74">
        <v>0</v>
      </c>
      <c r="CC135" s="74">
        <v>0</v>
      </c>
      <c r="CD135" s="74">
        <v>0</v>
      </c>
      <c r="CE135" s="74">
        <v>0</v>
      </c>
      <c r="CF135" s="74">
        <v>0</v>
      </c>
      <c r="CG135" s="74">
        <v>0</v>
      </c>
      <c r="CH135" s="74">
        <v>0</v>
      </c>
      <c r="CI135" s="74">
        <v>0</v>
      </c>
      <c r="CJ135" s="142">
        <v>100</v>
      </c>
      <c r="CK135" s="142"/>
      <c r="CL135" s="142">
        <f t="shared" si="13"/>
        <v>0</v>
      </c>
      <c r="CM135" s="171">
        <v>0</v>
      </c>
      <c r="CN135" s="171">
        <v>0</v>
      </c>
      <c r="CO135" s="171">
        <v>0</v>
      </c>
      <c r="CP135" s="171">
        <v>0</v>
      </c>
      <c r="CQ135" s="171">
        <v>0</v>
      </c>
      <c r="CR135" s="171">
        <v>0</v>
      </c>
      <c r="CS135" s="171">
        <f t="shared" si="14"/>
        <v>0</v>
      </c>
      <c r="CT135" s="171">
        <f t="shared" si="15"/>
        <v>0</v>
      </c>
      <c r="CU135" s="171">
        <f t="shared" si="16"/>
        <v>0</v>
      </c>
      <c r="CV135" s="149"/>
      <c r="CW135" s="149"/>
      <c r="CX135" s="130"/>
      <c r="CY135" s="130"/>
      <c r="CZ135" s="130"/>
      <c r="DA135" s="130"/>
      <c r="DB135" s="130"/>
      <c r="DC135" s="130"/>
      <c r="DD135" s="130"/>
      <c r="DE135" s="130"/>
      <c r="DF135" s="130"/>
      <c r="DG135" s="130"/>
      <c r="DH135" s="130"/>
      <c r="DI135" s="130"/>
      <c r="DJ135" s="130"/>
      <c r="DK135" s="130"/>
      <c r="DL135" s="130"/>
      <c r="DM135" s="130"/>
      <c r="DN135" s="130"/>
      <c r="DO135" s="130"/>
      <c r="DP135" s="130"/>
      <c r="DQ135" s="130"/>
      <c r="DR135" s="130"/>
      <c r="DS135" s="130"/>
      <c r="DT135" s="130"/>
      <c r="DU135" s="130"/>
      <c r="DV135" s="130"/>
      <c r="DW135" s="130"/>
      <c r="DX135" s="130"/>
      <c r="DY135" s="130"/>
      <c r="DZ135" s="130"/>
      <c r="EA135" s="130"/>
      <c r="EB135" s="130"/>
      <c r="EC135" s="130"/>
      <c r="ED135" s="130"/>
      <c r="EE135" s="130"/>
      <c r="EF135" s="130"/>
      <c r="EG135" s="130"/>
      <c r="EH135" s="130"/>
      <c r="EI135" s="130"/>
      <c r="EJ135" s="130"/>
      <c r="EK135" s="130"/>
      <c r="EL135" s="130"/>
      <c r="EM135" s="130"/>
      <c r="EN135" s="130"/>
      <c r="EO135" s="130"/>
      <c r="EP135" s="130"/>
      <c r="EQ135" s="130"/>
      <c r="ER135" s="130"/>
      <c r="ES135" s="130"/>
      <c r="ET135" s="130"/>
      <c r="EU135" s="130"/>
      <c r="EV135" s="130"/>
      <c r="EW135" s="130"/>
      <c r="EX135" s="130"/>
      <c r="EY135" s="130"/>
      <c r="EZ135" s="130"/>
      <c r="FA135" s="130"/>
      <c r="FB135" s="201"/>
      <c r="FC135" s="201"/>
      <c r="FD135" s="201"/>
      <c r="FE135" s="201"/>
      <c r="FF135" s="201"/>
      <c r="FG135" s="201"/>
      <c r="FH135" s="201"/>
      <c r="FI135" s="201"/>
      <c r="FJ135" s="201"/>
      <c r="FK135" s="201"/>
      <c r="FL135" s="201"/>
      <c r="FM135" s="201"/>
      <c r="FN135" s="201"/>
      <c r="FO135" s="201"/>
      <c r="FP135" s="201"/>
      <c r="FQ135" s="201"/>
      <c r="FR135" s="201"/>
      <c r="FS135" s="201"/>
      <c r="FT135" s="201"/>
      <c r="FU135" s="201"/>
      <c r="FV135" s="201"/>
      <c r="FW135" s="201"/>
      <c r="FX135" s="201"/>
      <c r="FY135" s="201"/>
      <c r="FZ135" s="201"/>
      <c r="GA135" s="201"/>
      <c r="GB135" s="201"/>
      <c r="GC135" s="201"/>
      <c r="GD135" s="201"/>
      <c r="GE135" s="201"/>
      <c r="GF135" s="201"/>
      <c r="GG135" s="201"/>
      <c r="GH135" s="201"/>
      <c r="GI135" s="201"/>
      <c r="GJ135" s="201"/>
      <c r="GK135" s="201"/>
      <c r="GL135" s="201"/>
      <c r="GM135" s="201"/>
      <c r="GN135" s="201"/>
      <c r="GO135" s="201"/>
      <c r="GP135" s="201"/>
      <c r="GQ135" s="201"/>
    </row>
    <row r="136" spans="1:204" s="68" customFormat="1" ht="14.45" customHeight="1" x14ac:dyDescent="0.25">
      <c r="A136" s="68" t="s">
        <v>694</v>
      </c>
      <c r="B136" s="82" t="s">
        <v>154</v>
      </c>
      <c r="C136" s="82" t="s">
        <v>172</v>
      </c>
      <c r="D136" s="95" t="s">
        <v>196</v>
      </c>
      <c r="E136" s="82" t="s">
        <v>309</v>
      </c>
      <c r="F136" s="82" t="s">
        <v>549</v>
      </c>
      <c r="G136" s="82" t="s">
        <v>137</v>
      </c>
      <c r="H136" s="82" t="s">
        <v>137</v>
      </c>
      <c r="I136" s="82" t="s">
        <v>66</v>
      </c>
      <c r="J136" s="82" t="s">
        <v>531</v>
      </c>
      <c r="K136" s="92" t="s">
        <v>137</v>
      </c>
      <c r="L136" s="92" t="s">
        <v>137</v>
      </c>
      <c r="M136" s="92" t="s">
        <v>137</v>
      </c>
      <c r="N136" s="92" t="s">
        <v>137</v>
      </c>
      <c r="O136" s="92" t="s">
        <v>137</v>
      </c>
      <c r="P136" s="92" t="s">
        <v>137</v>
      </c>
      <c r="Q136" s="82" t="s">
        <v>552</v>
      </c>
      <c r="R136" s="82" t="s">
        <v>715</v>
      </c>
      <c r="S136" s="82" t="s">
        <v>555</v>
      </c>
      <c r="T136" s="82" t="s">
        <v>320</v>
      </c>
      <c r="U136" s="83">
        <v>0.95</v>
      </c>
      <c r="V136" s="83">
        <v>0.95</v>
      </c>
      <c r="W136" s="83">
        <v>0.95</v>
      </c>
      <c r="X136" s="83">
        <v>0.95</v>
      </c>
      <c r="Y136" s="83">
        <v>0.95</v>
      </c>
      <c r="Z136" s="83">
        <v>0.95</v>
      </c>
      <c r="AA136" s="83">
        <v>0.95</v>
      </c>
      <c r="AB136" s="83">
        <v>0.95</v>
      </c>
      <c r="AC136" s="83">
        <v>0.95</v>
      </c>
      <c r="AD136" s="83">
        <v>0.95</v>
      </c>
      <c r="AE136" s="83">
        <v>0.95</v>
      </c>
      <c r="AF136" s="83">
        <v>0.95</v>
      </c>
      <c r="AG136" s="82" t="s">
        <v>533</v>
      </c>
      <c r="AH136" s="82" t="s">
        <v>529</v>
      </c>
      <c r="AI136" s="88" t="s">
        <v>538</v>
      </c>
      <c r="AJ136" s="89" t="s">
        <v>538</v>
      </c>
      <c r="AK136" s="90">
        <v>46023</v>
      </c>
      <c r="AL136" s="90">
        <v>46387</v>
      </c>
      <c r="AM136" s="89"/>
      <c r="AN136" s="89"/>
      <c r="AO136" s="89"/>
      <c r="AP136" s="91" t="s">
        <v>542</v>
      </c>
      <c r="AQ136" s="90" cm="1">
        <f t="array" ref="AQ136">IFERROR(DATE(2026, _xlfn.AGGREGATE(15, 6, (COLUMN(BY136:CJ136)-COLUMN(BY136)+1)/(BY136:CJ136&lt;&gt;0), 1), 1),"N/A")</f>
        <v>46357</v>
      </c>
      <c r="AR136" s="90" cm="1">
        <f t="array" ref="AR136">IFERROR(EOMONTH(DATE(2026, _xlfn.AGGREGATE(14, 6, (COLUMN(BY136:CJ136)-COLUMN(BY136)+1)/(BY136:CJ136&lt;&gt;0), 1), 1), 0),"N/A")</f>
        <v>46387</v>
      </c>
      <c r="AS136" s="89"/>
      <c r="AT136" s="89"/>
      <c r="AU136" s="89"/>
      <c r="AV136" s="89"/>
      <c r="AW136" s="89"/>
      <c r="AX136" s="89"/>
      <c r="AY136" s="89"/>
      <c r="AZ136" s="89"/>
      <c r="BA136" s="89"/>
      <c r="BB136" s="89"/>
      <c r="BC136" s="89"/>
      <c r="BD136" s="89"/>
      <c r="BE136" s="82" t="s">
        <v>673</v>
      </c>
      <c r="BF136" s="82" t="s">
        <v>1027</v>
      </c>
      <c r="BG136" s="82" t="str">
        <f t="shared" si="12"/>
        <v>000</v>
      </c>
      <c r="BH136" s="88">
        <v>630502</v>
      </c>
      <c r="BI136" s="92" t="s">
        <v>74</v>
      </c>
      <c r="BJ136" s="93">
        <v>60000</v>
      </c>
      <c r="BK136" s="74">
        <v>0</v>
      </c>
      <c r="BL136" s="74">
        <v>0</v>
      </c>
      <c r="BM136" s="74">
        <v>0</v>
      </c>
      <c r="BN136" s="74">
        <v>0</v>
      </c>
      <c r="BO136" s="74">
        <v>0</v>
      </c>
      <c r="BP136" s="74">
        <v>0</v>
      </c>
      <c r="BQ136" s="74">
        <v>0</v>
      </c>
      <c r="BR136" s="74">
        <v>0</v>
      </c>
      <c r="BS136" s="74">
        <v>0</v>
      </c>
      <c r="BT136" s="74">
        <v>0</v>
      </c>
      <c r="BU136" s="74">
        <v>0</v>
      </c>
      <c r="BV136" s="142">
        <v>60000</v>
      </c>
      <c r="BW136" s="142"/>
      <c r="BX136" s="143">
        <f t="shared" si="17"/>
        <v>60000</v>
      </c>
      <c r="BY136" s="74">
        <v>0</v>
      </c>
      <c r="BZ136" s="74">
        <v>0</v>
      </c>
      <c r="CA136" s="74">
        <v>0</v>
      </c>
      <c r="CB136" s="74">
        <v>0</v>
      </c>
      <c r="CC136" s="74">
        <v>0</v>
      </c>
      <c r="CD136" s="74">
        <v>0</v>
      </c>
      <c r="CE136" s="74">
        <v>0</v>
      </c>
      <c r="CF136" s="74">
        <v>0</v>
      </c>
      <c r="CG136" s="74">
        <v>0</v>
      </c>
      <c r="CH136" s="74">
        <v>0</v>
      </c>
      <c r="CI136" s="74">
        <v>0</v>
      </c>
      <c r="CJ136" s="142">
        <v>60000</v>
      </c>
      <c r="CK136" s="142"/>
      <c r="CL136" s="142">
        <f t="shared" si="13"/>
        <v>0</v>
      </c>
      <c r="CM136" s="171">
        <v>0</v>
      </c>
      <c r="CN136" s="171">
        <v>0</v>
      </c>
      <c r="CO136" s="171">
        <v>0</v>
      </c>
      <c r="CP136" s="171">
        <v>0</v>
      </c>
      <c r="CQ136" s="171">
        <v>0</v>
      </c>
      <c r="CR136" s="171">
        <v>0</v>
      </c>
      <c r="CS136" s="171">
        <f t="shared" si="14"/>
        <v>0</v>
      </c>
      <c r="CT136" s="171">
        <f t="shared" si="15"/>
        <v>0</v>
      </c>
      <c r="CU136" s="171">
        <f t="shared" si="16"/>
        <v>0</v>
      </c>
      <c r="CV136" s="149"/>
      <c r="CW136" s="149"/>
      <c r="CX136" s="130"/>
      <c r="CY136" s="130"/>
      <c r="CZ136" s="130"/>
      <c r="DA136" s="130"/>
      <c r="DB136" s="130"/>
      <c r="DC136" s="130"/>
      <c r="DD136" s="130"/>
      <c r="DE136" s="130"/>
      <c r="DF136" s="130"/>
      <c r="DG136" s="130"/>
      <c r="DH136" s="130"/>
      <c r="DI136" s="130"/>
      <c r="DJ136" s="130"/>
      <c r="DK136" s="130"/>
      <c r="DL136" s="130"/>
      <c r="DM136" s="130"/>
      <c r="DN136" s="130"/>
      <c r="DO136" s="130"/>
      <c r="DP136" s="130"/>
      <c r="DQ136" s="130"/>
      <c r="DR136" s="130"/>
      <c r="DS136" s="130"/>
      <c r="DT136" s="130"/>
      <c r="DU136" s="130"/>
      <c r="DV136" s="130"/>
      <c r="DW136" s="130"/>
      <c r="DX136" s="130"/>
      <c r="DY136" s="130"/>
      <c r="DZ136" s="130"/>
      <c r="EA136" s="130"/>
      <c r="EB136" s="130"/>
      <c r="EC136" s="130"/>
      <c r="ED136" s="130"/>
      <c r="EE136" s="130"/>
      <c r="EF136" s="130"/>
      <c r="EG136" s="130"/>
      <c r="EH136" s="130"/>
      <c r="EI136" s="130"/>
      <c r="EJ136" s="130"/>
      <c r="EK136" s="130"/>
      <c r="EL136" s="130"/>
      <c r="EM136" s="130"/>
      <c r="EN136" s="130"/>
      <c r="EO136" s="130"/>
      <c r="EP136" s="130"/>
      <c r="EQ136" s="130"/>
      <c r="ER136" s="130"/>
      <c r="ES136" s="130"/>
      <c r="ET136" s="130"/>
      <c r="EU136" s="130"/>
      <c r="EV136" s="130"/>
      <c r="EW136" s="130"/>
      <c r="EX136" s="130"/>
      <c r="EY136" s="130"/>
      <c r="EZ136" s="130"/>
      <c r="FA136" s="130"/>
      <c r="FB136" s="201"/>
      <c r="FC136" s="201"/>
      <c r="FD136" s="201"/>
      <c r="FE136" s="201"/>
      <c r="FF136" s="201"/>
      <c r="FG136" s="201"/>
      <c r="FH136" s="201"/>
      <c r="FI136" s="201"/>
      <c r="FJ136" s="201"/>
      <c r="FK136" s="201"/>
      <c r="FL136" s="201"/>
      <c r="FM136" s="201"/>
      <c r="FN136" s="201"/>
      <c r="FO136" s="201"/>
      <c r="FP136" s="201"/>
      <c r="FQ136" s="201"/>
      <c r="FR136" s="201"/>
      <c r="FS136" s="201"/>
      <c r="FT136" s="201"/>
      <c r="FU136" s="201"/>
      <c r="FV136" s="201"/>
      <c r="FW136" s="201"/>
      <c r="FX136" s="201"/>
      <c r="FY136" s="201"/>
      <c r="FZ136" s="201"/>
      <c r="GA136" s="201"/>
      <c r="GB136" s="201"/>
      <c r="GC136" s="201"/>
      <c r="GD136" s="201"/>
      <c r="GE136" s="201"/>
      <c r="GF136" s="201"/>
      <c r="GG136" s="201"/>
      <c r="GH136" s="201"/>
      <c r="GI136" s="201"/>
      <c r="GJ136" s="201"/>
      <c r="GK136" s="201"/>
      <c r="GL136" s="201"/>
      <c r="GM136" s="201"/>
      <c r="GN136" s="201"/>
      <c r="GO136" s="201"/>
      <c r="GP136" s="201"/>
      <c r="GQ136" s="201"/>
    </row>
    <row r="137" spans="1:204" s="68" customFormat="1" ht="14.45" customHeight="1" x14ac:dyDescent="0.25">
      <c r="A137" s="68" t="s">
        <v>693</v>
      </c>
      <c r="B137" s="82" t="s">
        <v>154</v>
      </c>
      <c r="C137" s="82" t="s">
        <v>172</v>
      </c>
      <c r="D137" s="82" t="s">
        <v>196</v>
      </c>
      <c r="E137" s="82" t="s">
        <v>309</v>
      </c>
      <c r="F137" s="82" t="s">
        <v>549</v>
      </c>
      <c r="G137" s="82" t="s">
        <v>137</v>
      </c>
      <c r="H137" s="82" t="s">
        <v>137</v>
      </c>
      <c r="I137" s="82" t="s">
        <v>66</v>
      </c>
      <c r="J137" s="82" t="s">
        <v>29</v>
      </c>
      <c r="K137" s="92" t="s">
        <v>137</v>
      </c>
      <c r="L137" s="92" t="s">
        <v>137</v>
      </c>
      <c r="M137" s="92" t="s">
        <v>137</v>
      </c>
      <c r="N137" s="92" t="s">
        <v>137</v>
      </c>
      <c r="O137" s="92" t="s">
        <v>137</v>
      </c>
      <c r="P137" s="92" t="s">
        <v>137</v>
      </c>
      <c r="Q137" s="82" t="s">
        <v>87</v>
      </c>
      <c r="R137" s="82" t="s">
        <v>714</v>
      </c>
      <c r="S137" s="82" t="s">
        <v>40</v>
      </c>
      <c r="T137" s="82" t="s">
        <v>2</v>
      </c>
      <c r="U137" s="83"/>
      <c r="V137" s="83">
        <v>0.05</v>
      </c>
      <c r="W137" s="83">
        <v>0.08</v>
      </c>
      <c r="X137" s="83">
        <v>0.15</v>
      </c>
      <c r="Y137" s="83">
        <v>0.2</v>
      </c>
      <c r="Z137" s="83">
        <v>0.25</v>
      </c>
      <c r="AA137" s="83">
        <v>0.37</v>
      </c>
      <c r="AB137" s="83">
        <v>0.42</v>
      </c>
      <c r="AC137" s="83">
        <v>0.57999999999999996</v>
      </c>
      <c r="AD137" s="83">
        <v>0.67</v>
      </c>
      <c r="AE137" s="83">
        <v>0.83</v>
      </c>
      <c r="AF137" s="83">
        <v>1</v>
      </c>
      <c r="AG137" s="82" t="s">
        <v>532</v>
      </c>
      <c r="AH137" s="82" t="s">
        <v>529</v>
      </c>
      <c r="AI137" s="88" t="s">
        <v>538</v>
      </c>
      <c r="AJ137" s="89" t="s">
        <v>538</v>
      </c>
      <c r="AK137" s="90">
        <v>46023</v>
      </c>
      <c r="AL137" s="90">
        <v>46387</v>
      </c>
      <c r="AM137" s="89"/>
      <c r="AN137" s="89"/>
      <c r="AO137" s="89"/>
      <c r="AP137" s="91" t="s">
        <v>539</v>
      </c>
      <c r="AQ137" s="90" cm="1">
        <f t="array" ref="AQ137">IFERROR(DATE(2026, _xlfn.AGGREGATE(15, 6, (COLUMN(BY137:CJ137)-COLUMN(BY137)+1)/(BY137:CJ137&lt;&gt;0), 1), 1),"N/A")</f>
        <v>46113</v>
      </c>
      <c r="AR137" s="90" cm="1">
        <f t="array" ref="AR137">IFERROR(EOMONTH(DATE(2026, _xlfn.AGGREGATE(14, 6, (COLUMN(BY137:CJ137)-COLUMN(BY137)+1)/(BY137:CJ137&lt;&gt;0), 1), 1), 0),"N/A")</f>
        <v>46265</v>
      </c>
      <c r="AS137" s="89"/>
      <c r="AT137" s="89"/>
      <c r="AU137" s="89"/>
      <c r="AV137" s="89"/>
      <c r="AW137" s="89"/>
      <c r="AX137" s="89"/>
      <c r="AY137" s="89"/>
      <c r="AZ137" s="89"/>
      <c r="BA137" s="89"/>
      <c r="BB137" s="89"/>
      <c r="BC137" s="89"/>
      <c r="BD137" s="89"/>
      <c r="BE137" s="82" t="s">
        <v>630</v>
      </c>
      <c r="BF137" s="82" t="s">
        <v>969</v>
      </c>
      <c r="BG137" s="82" t="str">
        <f t="shared" si="12"/>
        <v>000</v>
      </c>
      <c r="BH137" s="88">
        <v>530702</v>
      </c>
      <c r="BI137" s="92" t="s">
        <v>74</v>
      </c>
      <c r="BJ137" s="93">
        <v>6600</v>
      </c>
      <c r="BK137" s="74">
        <v>0</v>
      </c>
      <c r="BL137" s="74">
        <v>0</v>
      </c>
      <c r="BM137" s="74">
        <v>0</v>
      </c>
      <c r="BN137" s="72">
        <v>3000</v>
      </c>
      <c r="BO137" s="74">
        <v>0</v>
      </c>
      <c r="BP137" s="74">
        <v>0</v>
      </c>
      <c r="BQ137" s="74">
        <v>0</v>
      </c>
      <c r="BR137" s="94">
        <v>3600</v>
      </c>
      <c r="BS137" s="74">
        <v>0</v>
      </c>
      <c r="BT137" s="74">
        <v>0</v>
      </c>
      <c r="BU137" s="74">
        <v>0</v>
      </c>
      <c r="BV137" s="143">
        <v>0</v>
      </c>
      <c r="BW137" s="143"/>
      <c r="BX137" s="143">
        <f t="shared" si="17"/>
        <v>6600</v>
      </c>
      <c r="BY137" s="74">
        <v>0</v>
      </c>
      <c r="BZ137" s="74">
        <v>0</v>
      </c>
      <c r="CA137" s="74">
        <v>0</v>
      </c>
      <c r="CB137" s="72">
        <v>3000</v>
      </c>
      <c r="CC137" s="74">
        <v>0</v>
      </c>
      <c r="CD137" s="74">
        <v>0</v>
      </c>
      <c r="CE137" s="74">
        <v>0</v>
      </c>
      <c r="CF137" s="94">
        <v>3600</v>
      </c>
      <c r="CG137" s="74">
        <v>0</v>
      </c>
      <c r="CH137" s="74">
        <v>0</v>
      </c>
      <c r="CI137" s="74">
        <v>0</v>
      </c>
      <c r="CJ137" s="143">
        <v>0</v>
      </c>
      <c r="CK137" s="143"/>
      <c r="CL137" s="142">
        <f t="shared" si="13"/>
        <v>0</v>
      </c>
      <c r="CM137" s="171">
        <v>0</v>
      </c>
      <c r="CN137" s="171">
        <v>0</v>
      </c>
      <c r="CO137" s="171">
        <v>0</v>
      </c>
      <c r="CP137" s="171">
        <v>0</v>
      </c>
      <c r="CQ137" s="171">
        <v>0</v>
      </c>
      <c r="CR137" s="171">
        <v>0</v>
      </c>
      <c r="CS137" s="171">
        <f t="shared" si="14"/>
        <v>0</v>
      </c>
      <c r="CT137" s="171">
        <f t="shared" si="15"/>
        <v>0</v>
      </c>
      <c r="CU137" s="171">
        <f t="shared" si="16"/>
        <v>0</v>
      </c>
      <c r="CV137" s="149">
        <v>6600</v>
      </c>
      <c r="CW137" s="149">
        <v>6600</v>
      </c>
      <c r="CX137" s="130">
        <v>1</v>
      </c>
      <c r="CY137" s="130">
        <v>1</v>
      </c>
      <c r="CZ137" s="130"/>
      <c r="DA137" s="130"/>
      <c r="DB137" s="130"/>
      <c r="DC137" s="130"/>
      <c r="DD137" s="130"/>
      <c r="DE137" s="131">
        <v>46071</v>
      </c>
      <c r="DF137" s="131">
        <v>46071</v>
      </c>
      <c r="DG137" s="132">
        <v>1</v>
      </c>
      <c r="DH137" s="131">
        <v>46072</v>
      </c>
      <c r="DI137" s="131">
        <v>46072</v>
      </c>
      <c r="DJ137" s="131">
        <v>46072</v>
      </c>
      <c r="DK137" s="131">
        <v>46073</v>
      </c>
      <c r="DL137" s="131">
        <v>46076</v>
      </c>
      <c r="DM137" s="131">
        <v>46077</v>
      </c>
      <c r="DN137" s="131">
        <v>46078</v>
      </c>
      <c r="DO137" s="131">
        <v>46079</v>
      </c>
      <c r="DP137" s="131">
        <v>46080</v>
      </c>
      <c r="DQ137" s="131">
        <v>46080</v>
      </c>
      <c r="DR137" s="132">
        <v>1</v>
      </c>
      <c r="DS137" s="131">
        <v>46083</v>
      </c>
      <c r="DT137" s="131">
        <v>46084</v>
      </c>
      <c r="DU137" s="131">
        <v>46085</v>
      </c>
      <c r="DV137" s="131">
        <v>46086</v>
      </c>
      <c r="DW137" s="131">
        <v>46086</v>
      </c>
      <c r="DX137" s="131">
        <v>46087</v>
      </c>
      <c r="DY137" s="131">
        <v>46087</v>
      </c>
      <c r="DZ137" s="132"/>
      <c r="EA137" s="132"/>
      <c r="EB137" s="132"/>
      <c r="EC137" s="132"/>
      <c r="ED137" s="131">
        <v>46090</v>
      </c>
      <c r="EE137" s="131">
        <v>46091</v>
      </c>
      <c r="EF137" s="131">
        <v>46091</v>
      </c>
      <c r="EG137" s="131"/>
      <c r="EH137" s="131"/>
      <c r="EI137" s="131"/>
      <c r="EJ137" s="131">
        <v>46091</v>
      </c>
      <c r="EK137" s="131">
        <v>46096</v>
      </c>
      <c r="EL137" s="132">
        <v>18</v>
      </c>
      <c r="EM137" s="133"/>
      <c r="EN137" s="133"/>
      <c r="EO137" s="133"/>
      <c r="EP137" s="133"/>
      <c r="EQ137" s="133"/>
      <c r="ER137" s="133"/>
      <c r="ES137" s="133"/>
      <c r="ET137" s="133"/>
      <c r="EU137" s="133"/>
      <c r="EV137" s="134"/>
      <c r="EW137" s="133">
        <v>46096</v>
      </c>
      <c r="EX137" s="133"/>
      <c r="EY137" s="135" t="s">
        <v>854</v>
      </c>
      <c r="EZ137" s="132" t="s">
        <v>855</v>
      </c>
      <c r="FA137" s="130"/>
      <c r="FB137" s="203">
        <v>46071</v>
      </c>
      <c r="FC137" s="203">
        <v>46071</v>
      </c>
      <c r="FD137" s="203">
        <v>46072</v>
      </c>
      <c r="FE137" s="203">
        <v>46072</v>
      </c>
      <c r="FF137" s="203">
        <v>46072</v>
      </c>
      <c r="FG137" s="203">
        <v>46073</v>
      </c>
      <c r="FH137" s="203">
        <v>46076</v>
      </c>
      <c r="FI137" s="203">
        <v>46077</v>
      </c>
      <c r="FJ137" s="203">
        <v>46078</v>
      </c>
      <c r="FK137" s="203">
        <v>46079</v>
      </c>
      <c r="FL137" s="203">
        <v>46080</v>
      </c>
      <c r="FM137" s="203">
        <v>46080</v>
      </c>
      <c r="FN137" s="203">
        <v>46083</v>
      </c>
      <c r="FO137" s="203">
        <v>46084</v>
      </c>
      <c r="FP137" s="203">
        <v>46085</v>
      </c>
      <c r="FQ137" s="203">
        <v>46086</v>
      </c>
      <c r="FR137" s="203">
        <v>46086</v>
      </c>
      <c r="FS137" s="203">
        <v>46087</v>
      </c>
      <c r="FT137" s="203">
        <v>46087</v>
      </c>
      <c r="FU137" s="203"/>
      <c r="FV137" s="203"/>
      <c r="FW137" s="203"/>
      <c r="FX137" s="203"/>
      <c r="FY137" s="203">
        <v>46090</v>
      </c>
      <c r="FZ137" s="203">
        <v>46091</v>
      </c>
      <c r="GA137" s="203">
        <v>46091</v>
      </c>
      <c r="GB137" s="203"/>
      <c r="GC137" s="203"/>
      <c r="GD137" s="203"/>
      <c r="GE137" s="203">
        <v>46091</v>
      </c>
      <c r="GF137" s="203">
        <v>46096</v>
      </c>
      <c r="GG137" s="203">
        <v>18</v>
      </c>
      <c r="GH137" s="203"/>
      <c r="GI137" s="203"/>
      <c r="GJ137" s="203"/>
      <c r="GK137" s="203"/>
      <c r="GL137" s="203"/>
      <c r="GM137" s="203"/>
      <c r="GN137" s="203"/>
      <c r="GO137" s="203"/>
      <c r="GP137" s="203"/>
      <c r="GQ137" s="203">
        <v>46096</v>
      </c>
      <c r="GR137" s="187"/>
      <c r="GS137" s="187" t="s">
        <v>1181</v>
      </c>
      <c r="GT137" s="187" t="s">
        <v>854</v>
      </c>
      <c r="GU137" s="187" t="s">
        <v>855</v>
      </c>
      <c r="GV137" s="187" t="s">
        <v>1162</v>
      </c>
    </row>
    <row r="138" spans="1:204" s="68" customFormat="1" ht="14.45" customHeight="1" x14ac:dyDescent="0.25">
      <c r="A138" s="68" t="s">
        <v>693</v>
      </c>
      <c r="B138" s="82" t="s">
        <v>154</v>
      </c>
      <c r="C138" s="82" t="s">
        <v>172</v>
      </c>
      <c r="D138" s="82" t="s">
        <v>196</v>
      </c>
      <c r="E138" s="82" t="s">
        <v>309</v>
      </c>
      <c r="F138" s="82" t="s">
        <v>549</v>
      </c>
      <c r="G138" s="82" t="s">
        <v>137</v>
      </c>
      <c r="H138" s="82" t="s">
        <v>137</v>
      </c>
      <c r="I138" s="82" t="s">
        <v>66</v>
      </c>
      <c r="J138" s="82" t="s">
        <v>29</v>
      </c>
      <c r="K138" s="92" t="s">
        <v>137</v>
      </c>
      <c r="L138" s="92" t="s">
        <v>137</v>
      </c>
      <c r="M138" s="92" t="s">
        <v>137</v>
      </c>
      <c r="N138" s="92" t="s">
        <v>137</v>
      </c>
      <c r="O138" s="92" t="s">
        <v>137</v>
      </c>
      <c r="P138" s="92" t="s">
        <v>137</v>
      </c>
      <c r="Q138" s="82" t="s">
        <v>87</v>
      </c>
      <c r="R138" s="82" t="s">
        <v>714</v>
      </c>
      <c r="S138" s="82" t="s">
        <v>40</v>
      </c>
      <c r="T138" s="82" t="s">
        <v>2</v>
      </c>
      <c r="U138" s="83"/>
      <c r="V138" s="83">
        <v>0.05</v>
      </c>
      <c r="W138" s="83">
        <v>0.08</v>
      </c>
      <c r="X138" s="83">
        <v>0.15</v>
      </c>
      <c r="Y138" s="83">
        <v>0.2</v>
      </c>
      <c r="Z138" s="83">
        <v>0.25</v>
      </c>
      <c r="AA138" s="83">
        <v>0.37</v>
      </c>
      <c r="AB138" s="83">
        <v>0.42</v>
      </c>
      <c r="AC138" s="83">
        <v>0.57999999999999996</v>
      </c>
      <c r="AD138" s="83">
        <v>0.67</v>
      </c>
      <c r="AE138" s="83">
        <v>0.83</v>
      </c>
      <c r="AF138" s="83">
        <v>1</v>
      </c>
      <c r="AG138" s="82" t="s">
        <v>532</v>
      </c>
      <c r="AH138" s="82" t="s">
        <v>529</v>
      </c>
      <c r="AI138" s="88" t="s">
        <v>538</v>
      </c>
      <c r="AJ138" s="89" t="s">
        <v>538</v>
      </c>
      <c r="AK138" s="90">
        <v>46023</v>
      </c>
      <c r="AL138" s="90">
        <v>46387</v>
      </c>
      <c r="AM138" s="89"/>
      <c r="AN138" s="89"/>
      <c r="AO138" s="89"/>
      <c r="AP138" s="91" t="s">
        <v>539</v>
      </c>
      <c r="AQ138" s="90" t="str" cm="1">
        <f t="array" ref="AQ138">IFERROR(DATE(2026, _xlfn.AGGREGATE(15, 6, (COLUMN(BY138:CJ138)-COLUMN(BY138)+1)/(BY138:CJ138&lt;&gt;0), 1), 1),"N/A")</f>
        <v>N/A</v>
      </c>
      <c r="AR138" s="90" t="str" cm="1">
        <f t="array" ref="AR138">IFERROR(EOMONTH(DATE(2026, _xlfn.AGGREGATE(14, 6, (COLUMN(BY138:CJ138)-COLUMN(BY138)+1)/(BY138:CJ138&lt;&gt;0), 1), 1), 0),"N/A")</f>
        <v>N/A</v>
      </c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2" t="s">
        <v>664</v>
      </c>
      <c r="BF138" s="82" t="s">
        <v>984</v>
      </c>
      <c r="BG138" s="82" t="str">
        <f t="shared" si="12"/>
        <v>000</v>
      </c>
      <c r="BH138" s="88">
        <v>530702</v>
      </c>
      <c r="BI138" s="92" t="s">
        <v>74</v>
      </c>
      <c r="BJ138" s="93">
        <v>33000</v>
      </c>
      <c r="BK138" s="74">
        <v>0</v>
      </c>
      <c r="BL138" s="74">
        <v>0</v>
      </c>
      <c r="BM138" s="74">
        <v>0</v>
      </c>
      <c r="BN138" s="74">
        <v>0</v>
      </c>
      <c r="BO138" s="74">
        <v>0</v>
      </c>
      <c r="BP138" s="74">
        <v>0</v>
      </c>
      <c r="BQ138" s="74">
        <v>0</v>
      </c>
      <c r="BR138" s="74">
        <v>0</v>
      </c>
      <c r="BS138" s="94">
        <v>33000</v>
      </c>
      <c r="BT138" s="74">
        <v>0</v>
      </c>
      <c r="BU138" s="74">
        <v>0</v>
      </c>
      <c r="BV138" s="143">
        <v>0</v>
      </c>
      <c r="BW138" s="143">
        <v>-33000</v>
      </c>
      <c r="BX138" s="143">
        <f t="shared" si="17"/>
        <v>0</v>
      </c>
      <c r="BY138" s="74">
        <v>0</v>
      </c>
      <c r="BZ138" s="74">
        <v>0</v>
      </c>
      <c r="CA138" s="74">
        <v>0</v>
      </c>
      <c r="CB138" s="74">
        <v>0</v>
      </c>
      <c r="CC138" s="74">
        <v>0</v>
      </c>
      <c r="CD138" s="74">
        <v>0</v>
      </c>
      <c r="CE138" s="74">
        <v>0</v>
      </c>
      <c r="CF138" s="74">
        <v>0</v>
      </c>
      <c r="CG138" s="94">
        <v>0</v>
      </c>
      <c r="CH138" s="74">
        <v>0</v>
      </c>
      <c r="CI138" s="74">
        <v>0</v>
      </c>
      <c r="CJ138" s="143">
        <v>0</v>
      </c>
      <c r="CK138" s="143"/>
      <c r="CL138" s="142">
        <f t="shared" si="13"/>
        <v>0</v>
      </c>
      <c r="CM138" s="171">
        <v>0</v>
      </c>
      <c r="CN138" s="171">
        <v>0</v>
      </c>
      <c r="CO138" s="171">
        <v>0</v>
      </c>
      <c r="CP138" s="171">
        <v>0</v>
      </c>
      <c r="CQ138" s="171">
        <v>0</v>
      </c>
      <c r="CR138" s="171">
        <v>0</v>
      </c>
      <c r="CS138" s="171">
        <f t="shared" si="14"/>
        <v>0</v>
      </c>
      <c r="CT138" s="171">
        <f t="shared" si="15"/>
        <v>0</v>
      </c>
      <c r="CU138" s="171">
        <f t="shared" si="16"/>
        <v>0</v>
      </c>
      <c r="CV138" s="152">
        <v>33000</v>
      </c>
      <c r="CW138" s="149">
        <v>0</v>
      </c>
      <c r="CX138" s="130">
        <v>2</v>
      </c>
      <c r="CY138" s="130">
        <v>0</v>
      </c>
      <c r="CZ138" s="130" t="s">
        <v>321</v>
      </c>
      <c r="DA138" s="130" t="s">
        <v>849</v>
      </c>
      <c r="DB138" s="130" t="s">
        <v>850</v>
      </c>
      <c r="DC138" s="130" t="s">
        <v>851</v>
      </c>
      <c r="DD138" s="130"/>
      <c r="DE138" s="131">
        <v>46162</v>
      </c>
      <c r="DF138" s="131">
        <v>46162</v>
      </c>
      <c r="DG138" s="132">
        <v>2</v>
      </c>
      <c r="DH138" s="131">
        <v>46163</v>
      </c>
      <c r="DI138" s="131">
        <v>46163</v>
      </c>
      <c r="DJ138" s="131">
        <v>46163</v>
      </c>
      <c r="DK138" s="131">
        <v>46164</v>
      </c>
      <c r="DL138" s="131">
        <v>46167</v>
      </c>
      <c r="DM138" s="131">
        <v>46168</v>
      </c>
      <c r="DN138" s="131">
        <v>46169</v>
      </c>
      <c r="DO138" s="131">
        <v>46170</v>
      </c>
      <c r="DP138" s="131">
        <v>46171</v>
      </c>
      <c r="DQ138" s="131">
        <v>46171</v>
      </c>
      <c r="DR138" s="132">
        <v>2</v>
      </c>
      <c r="DS138" s="131">
        <v>46174</v>
      </c>
      <c r="DT138" s="131">
        <v>46175</v>
      </c>
      <c r="DU138" s="131">
        <v>46176</v>
      </c>
      <c r="DV138" s="131">
        <v>46177</v>
      </c>
      <c r="DW138" s="131">
        <v>46177</v>
      </c>
      <c r="DX138" s="131">
        <v>46178</v>
      </c>
      <c r="DY138" s="131">
        <v>46178</v>
      </c>
      <c r="DZ138" s="132"/>
      <c r="EA138" s="132"/>
      <c r="EB138" s="132"/>
      <c r="EC138" s="132"/>
      <c r="ED138" s="131">
        <v>46181</v>
      </c>
      <c r="EE138" s="131">
        <v>46182</v>
      </c>
      <c r="EF138" s="131">
        <v>46182</v>
      </c>
      <c r="EG138" s="131">
        <v>46183</v>
      </c>
      <c r="EH138" s="131">
        <v>46184</v>
      </c>
      <c r="EI138" s="131">
        <v>46185</v>
      </c>
      <c r="EJ138" s="131">
        <v>46188</v>
      </c>
      <c r="EK138" s="131">
        <v>46188</v>
      </c>
      <c r="EL138" s="132">
        <v>18</v>
      </c>
      <c r="EM138" s="131">
        <v>46190</v>
      </c>
      <c r="EN138" s="131">
        <v>46192</v>
      </c>
      <c r="EO138" s="133">
        <v>46196</v>
      </c>
      <c r="EP138" s="133">
        <v>46197</v>
      </c>
      <c r="EQ138" s="133">
        <v>46198</v>
      </c>
      <c r="ER138" s="133">
        <v>46202</v>
      </c>
      <c r="ES138" s="133">
        <v>46203</v>
      </c>
      <c r="ET138" s="133">
        <v>46205</v>
      </c>
      <c r="EU138" s="133">
        <v>46210</v>
      </c>
      <c r="EV138" s="134">
        <v>2</v>
      </c>
      <c r="EW138" s="133">
        <v>46213</v>
      </c>
      <c r="EX138" s="133"/>
      <c r="EY138" s="154" t="s">
        <v>852</v>
      </c>
      <c r="EZ138" s="132" t="s">
        <v>853</v>
      </c>
      <c r="FA138" s="136"/>
      <c r="FB138" s="202" t="e">
        <v>#NUM!</v>
      </c>
      <c r="FC138" s="202" t="e">
        <v>#NUM!</v>
      </c>
      <c r="FD138" s="202" t="e">
        <v>#NUM!</v>
      </c>
      <c r="FE138" s="202" t="e">
        <v>#NUM!</v>
      </c>
      <c r="FF138" s="202" t="e">
        <v>#NUM!</v>
      </c>
      <c r="FG138" s="202" t="e">
        <v>#NUM!</v>
      </c>
      <c r="FH138" s="202" t="e">
        <v>#NUM!</v>
      </c>
      <c r="FI138" s="202" t="e">
        <v>#NUM!</v>
      </c>
      <c r="FJ138" s="202" t="e">
        <v>#NUM!</v>
      </c>
      <c r="FK138" s="202" t="e">
        <v>#NUM!</v>
      </c>
      <c r="FL138" s="202" t="e">
        <v>#NUM!</v>
      </c>
      <c r="FM138" s="202" t="e">
        <v>#NUM!</v>
      </c>
      <c r="FN138" s="202" t="e">
        <v>#NUM!</v>
      </c>
      <c r="FO138" s="202" t="e">
        <v>#NUM!</v>
      </c>
      <c r="FP138" s="202" t="e">
        <v>#NUM!</v>
      </c>
      <c r="FQ138" s="202" t="e">
        <v>#NUM!</v>
      </c>
      <c r="FR138" s="202" t="e">
        <v>#NUM!</v>
      </c>
      <c r="FS138" s="202" t="e">
        <v>#NUM!</v>
      </c>
      <c r="FT138" s="202" t="e">
        <v>#NUM!</v>
      </c>
      <c r="FU138" s="202"/>
      <c r="FV138" s="202"/>
      <c r="FW138" s="202"/>
      <c r="FX138" s="202"/>
      <c r="FY138" s="202" t="e">
        <v>#NUM!</v>
      </c>
      <c r="FZ138" s="202" t="e">
        <v>#NUM!</v>
      </c>
      <c r="GA138" s="202" t="e">
        <v>#NUM!</v>
      </c>
      <c r="GB138" s="202" t="e">
        <v>#NUM!</v>
      </c>
      <c r="GC138" s="202" t="e">
        <v>#NUM!</v>
      </c>
      <c r="GD138" s="202" t="e">
        <v>#NUM!</v>
      </c>
      <c r="GE138" s="202" t="e">
        <v>#NUM!</v>
      </c>
      <c r="GF138" s="202"/>
      <c r="GG138" s="202">
        <v>18</v>
      </c>
      <c r="GH138" s="202">
        <v>3</v>
      </c>
      <c r="GI138" s="202">
        <v>5</v>
      </c>
      <c r="GJ138" s="202">
        <v>9</v>
      </c>
      <c r="GK138" s="202">
        <v>10</v>
      </c>
      <c r="GL138" s="202">
        <v>11</v>
      </c>
      <c r="GM138" s="202">
        <v>13</v>
      </c>
      <c r="GN138" s="202">
        <v>16</v>
      </c>
      <c r="GO138" s="202">
        <v>18</v>
      </c>
      <c r="GP138" s="202">
        <v>23</v>
      </c>
      <c r="GQ138" s="202"/>
      <c r="GR138" s="189"/>
      <c r="GS138" s="189"/>
      <c r="GT138" s="189"/>
      <c r="GU138" s="189"/>
      <c r="GV138" s="189" t="s">
        <v>1165</v>
      </c>
    </row>
    <row r="139" spans="1:204" s="68" customFormat="1" ht="14.45" customHeight="1" x14ac:dyDescent="0.25">
      <c r="A139" s="68" t="s">
        <v>693</v>
      </c>
      <c r="B139" s="82" t="s">
        <v>154</v>
      </c>
      <c r="C139" s="82" t="s">
        <v>172</v>
      </c>
      <c r="D139" s="82" t="s">
        <v>196</v>
      </c>
      <c r="E139" s="82" t="s">
        <v>309</v>
      </c>
      <c r="F139" s="82" t="s">
        <v>549</v>
      </c>
      <c r="G139" s="82" t="s">
        <v>137</v>
      </c>
      <c r="H139" s="82" t="s">
        <v>137</v>
      </c>
      <c r="I139" s="82" t="s">
        <v>66</v>
      </c>
      <c r="J139" s="82" t="s">
        <v>29</v>
      </c>
      <c r="K139" s="92" t="s">
        <v>137</v>
      </c>
      <c r="L139" s="92" t="s">
        <v>137</v>
      </c>
      <c r="M139" s="92" t="s">
        <v>137</v>
      </c>
      <c r="N139" s="92" t="s">
        <v>137</v>
      </c>
      <c r="O139" s="92" t="s">
        <v>137</v>
      </c>
      <c r="P139" s="92" t="s">
        <v>137</v>
      </c>
      <c r="Q139" s="82" t="s">
        <v>87</v>
      </c>
      <c r="R139" s="82" t="s">
        <v>714</v>
      </c>
      <c r="S139" s="82" t="s">
        <v>40</v>
      </c>
      <c r="T139" s="82" t="s">
        <v>2</v>
      </c>
      <c r="U139" s="83"/>
      <c r="V139" s="83">
        <v>0.05</v>
      </c>
      <c r="W139" s="83">
        <v>0.08</v>
      </c>
      <c r="X139" s="83">
        <v>0.15</v>
      </c>
      <c r="Y139" s="83">
        <v>0.2</v>
      </c>
      <c r="Z139" s="83">
        <v>0.25</v>
      </c>
      <c r="AA139" s="83">
        <v>0.37</v>
      </c>
      <c r="AB139" s="83">
        <v>0.42</v>
      </c>
      <c r="AC139" s="83">
        <v>0.57999999999999996</v>
      </c>
      <c r="AD139" s="83">
        <v>0.67</v>
      </c>
      <c r="AE139" s="83">
        <v>0.83</v>
      </c>
      <c r="AF139" s="83">
        <v>1</v>
      </c>
      <c r="AG139" s="82" t="s">
        <v>532</v>
      </c>
      <c r="AH139" s="82" t="s">
        <v>529</v>
      </c>
      <c r="AI139" s="88" t="s">
        <v>538</v>
      </c>
      <c r="AJ139" s="89" t="s">
        <v>538</v>
      </c>
      <c r="AK139" s="90">
        <v>46023</v>
      </c>
      <c r="AL139" s="90">
        <v>46387</v>
      </c>
      <c r="AM139" s="89"/>
      <c r="AN139" s="89"/>
      <c r="AO139" s="89"/>
      <c r="AP139" s="91" t="s">
        <v>539</v>
      </c>
      <c r="AQ139" s="90" t="str" cm="1">
        <f t="array" ref="AQ139">IFERROR(DATE(2026, _xlfn.AGGREGATE(15, 6, (COLUMN(BY139:CJ139)-COLUMN(BY139)+1)/(BY139:CJ139&lt;&gt;0), 1), 1),"N/A")</f>
        <v>N/A</v>
      </c>
      <c r="AR139" s="90" t="str" cm="1">
        <f t="array" ref="AR139">IFERROR(EOMONTH(DATE(2026, _xlfn.AGGREGATE(14, 6, (COLUMN(BY139:CJ139)-COLUMN(BY139)+1)/(BY139:CJ139&lt;&gt;0), 1), 1), 0),"N/A")</f>
        <v>N/A</v>
      </c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2" t="s">
        <v>601</v>
      </c>
      <c r="BF139" s="82" t="s">
        <v>934</v>
      </c>
      <c r="BG139" s="82" t="str">
        <f t="shared" si="12"/>
        <v>000</v>
      </c>
      <c r="BH139" s="88">
        <v>530702</v>
      </c>
      <c r="BI139" s="92" t="s">
        <v>74</v>
      </c>
      <c r="BJ139" s="93">
        <v>2000</v>
      </c>
      <c r="BK139" s="74">
        <v>0</v>
      </c>
      <c r="BL139" s="74">
        <v>0</v>
      </c>
      <c r="BM139" s="74">
        <v>0</v>
      </c>
      <c r="BN139" s="74">
        <v>0</v>
      </c>
      <c r="BO139" s="94">
        <v>2000</v>
      </c>
      <c r="BP139" s="74">
        <v>0</v>
      </c>
      <c r="BQ139" s="74">
        <v>0</v>
      </c>
      <c r="BR139" s="74">
        <v>0</v>
      </c>
      <c r="BS139" s="74">
        <v>0</v>
      </c>
      <c r="BT139" s="74">
        <v>0</v>
      </c>
      <c r="BU139" s="74">
        <v>0</v>
      </c>
      <c r="BV139" s="143">
        <v>0</v>
      </c>
      <c r="BW139" s="143">
        <v>-2000</v>
      </c>
      <c r="BX139" s="143">
        <f t="shared" si="17"/>
        <v>0</v>
      </c>
      <c r="BY139" s="74">
        <v>0</v>
      </c>
      <c r="BZ139" s="74">
        <v>0</v>
      </c>
      <c r="CA139" s="74">
        <v>0</v>
      </c>
      <c r="CB139" s="74">
        <v>0</v>
      </c>
      <c r="CC139" s="94">
        <v>0</v>
      </c>
      <c r="CD139" s="74">
        <v>0</v>
      </c>
      <c r="CE139" s="74">
        <v>0</v>
      </c>
      <c r="CF139" s="74">
        <v>0</v>
      </c>
      <c r="CG139" s="74">
        <v>0</v>
      </c>
      <c r="CH139" s="74">
        <v>0</v>
      </c>
      <c r="CI139" s="74">
        <v>0</v>
      </c>
      <c r="CJ139" s="143">
        <v>0</v>
      </c>
      <c r="CK139" s="143"/>
      <c r="CL139" s="142">
        <f t="shared" si="13"/>
        <v>0</v>
      </c>
      <c r="CM139" s="171">
        <v>0</v>
      </c>
      <c r="CN139" s="171">
        <v>0</v>
      </c>
      <c r="CO139" s="171">
        <v>0</v>
      </c>
      <c r="CP139" s="171">
        <v>0</v>
      </c>
      <c r="CQ139" s="171">
        <v>0</v>
      </c>
      <c r="CR139" s="171">
        <v>0</v>
      </c>
      <c r="CS139" s="171">
        <f t="shared" si="14"/>
        <v>0</v>
      </c>
      <c r="CT139" s="171">
        <f t="shared" si="15"/>
        <v>0</v>
      </c>
      <c r="CU139" s="171">
        <f t="shared" si="16"/>
        <v>0</v>
      </c>
      <c r="CV139" s="149">
        <v>2000</v>
      </c>
      <c r="CW139" s="149">
        <v>0</v>
      </c>
      <c r="CX139" s="130">
        <v>1</v>
      </c>
      <c r="CY139" s="130">
        <v>0</v>
      </c>
      <c r="CZ139" s="130"/>
      <c r="DA139" s="130"/>
      <c r="DB139" s="130"/>
      <c r="DC139" s="130"/>
      <c r="DD139" s="130"/>
      <c r="DE139" s="131">
        <v>46100</v>
      </c>
      <c r="DF139" s="131">
        <v>46100</v>
      </c>
      <c r="DG139" s="132">
        <v>1</v>
      </c>
      <c r="DH139" s="131">
        <v>46101</v>
      </c>
      <c r="DI139" s="131">
        <v>46101</v>
      </c>
      <c r="DJ139" s="131">
        <v>46101</v>
      </c>
      <c r="DK139" s="131">
        <v>46104</v>
      </c>
      <c r="DL139" s="131">
        <v>46105</v>
      </c>
      <c r="DM139" s="131">
        <v>46106</v>
      </c>
      <c r="DN139" s="131">
        <v>46107</v>
      </c>
      <c r="DO139" s="131">
        <v>46108</v>
      </c>
      <c r="DP139" s="131">
        <v>46111</v>
      </c>
      <c r="DQ139" s="131">
        <v>46111</v>
      </c>
      <c r="DR139" s="132">
        <v>1</v>
      </c>
      <c r="DS139" s="131">
        <v>46112</v>
      </c>
      <c r="DT139" s="131">
        <v>46113</v>
      </c>
      <c r="DU139" s="131">
        <v>46114</v>
      </c>
      <c r="DV139" s="131">
        <v>46115</v>
      </c>
      <c r="DW139" s="131">
        <v>46115</v>
      </c>
      <c r="DX139" s="131">
        <v>46118</v>
      </c>
      <c r="DY139" s="131">
        <v>46118</v>
      </c>
      <c r="DZ139" s="132"/>
      <c r="EA139" s="132"/>
      <c r="EB139" s="132"/>
      <c r="EC139" s="132"/>
      <c r="ED139" s="131">
        <v>46119</v>
      </c>
      <c r="EE139" s="131">
        <v>46120</v>
      </c>
      <c r="EF139" s="131">
        <v>46120</v>
      </c>
      <c r="EG139" s="131"/>
      <c r="EH139" s="131"/>
      <c r="EI139" s="131"/>
      <c r="EJ139" s="131">
        <v>46120</v>
      </c>
      <c r="EK139" s="131">
        <v>46126</v>
      </c>
      <c r="EL139" s="132">
        <v>18</v>
      </c>
      <c r="EM139" s="133"/>
      <c r="EN139" s="133"/>
      <c r="EO139" s="133"/>
      <c r="EP139" s="133"/>
      <c r="EQ139" s="133"/>
      <c r="ER139" s="133"/>
      <c r="ES139" s="133"/>
      <c r="ET139" s="133"/>
      <c r="EU139" s="133"/>
      <c r="EV139" s="134"/>
      <c r="EW139" s="133">
        <v>46126</v>
      </c>
      <c r="EX139" s="133"/>
      <c r="EY139" s="135" t="s">
        <v>854</v>
      </c>
      <c r="EZ139" s="132" t="s">
        <v>855</v>
      </c>
      <c r="FA139" s="130"/>
      <c r="FB139" s="202" t="e">
        <v>#NUM!</v>
      </c>
      <c r="FC139" s="202" t="e">
        <v>#NUM!</v>
      </c>
      <c r="FD139" s="202" t="e">
        <v>#NUM!</v>
      </c>
      <c r="FE139" s="202" t="e">
        <v>#NUM!</v>
      </c>
      <c r="FF139" s="202" t="e">
        <v>#NUM!</v>
      </c>
      <c r="FG139" s="202" t="e">
        <v>#NUM!</v>
      </c>
      <c r="FH139" s="202" t="e">
        <v>#NUM!</v>
      </c>
      <c r="FI139" s="202" t="e">
        <v>#NUM!</v>
      </c>
      <c r="FJ139" s="202" t="e">
        <v>#NUM!</v>
      </c>
      <c r="FK139" s="202" t="e">
        <v>#NUM!</v>
      </c>
      <c r="FL139" s="202" t="e">
        <v>#NUM!</v>
      </c>
      <c r="FM139" s="202" t="e">
        <v>#NUM!</v>
      </c>
      <c r="FN139" s="202" t="e">
        <v>#NUM!</v>
      </c>
      <c r="FO139" s="202" t="e">
        <v>#NUM!</v>
      </c>
      <c r="FP139" s="202" t="e">
        <v>#NUM!</v>
      </c>
      <c r="FQ139" s="202" t="e">
        <v>#NUM!</v>
      </c>
      <c r="FR139" s="202" t="e">
        <v>#NUM!</v>
      </c>
      <c r="FS139" s="202" t="e">
        <v>#NUM!</v>
      </c>
      <c r="FT139" s="202" t="e">
        <v>#NUM!</v>
      </c>
      <c r="FU139" s="202"/>
      <c r="FV139" s="202"/>
      <c r="FW139" s="202"/>
      <c r="FX139" s="202"/>
      <c r="FY139" s="202" t="e">
        <v>#NUM!</v>
      </c>
      <c r="FZ139" s="202" t="e">
        <v>#NUM!</v>
      </c>
      <c r="GA139" s="202" t="e">
        <v>#NUM!</v>
      </c>
      <c r="GB139" s="202"/>
      <c r="GC139" s="202"/>
      <c r="GD139" s="202"/>
      <c r="GE139" s="202" t="e">
        <v>#NUM!</v>
      </c>
      <c r="GF139" s="202"/>
      <c r="GG139" s="202">
        <v>18</v>
      </c>
      <c r="GH139" s="202"/>
      <c r="GI139" s="202"/>
      <c r="GJ139" s="202"/>
      <c r="GK139" s="202"/>
      <c r="GL139" s="202"/>
      <c r="GM139" s="202"/>
      <c r="GN139" s="202"/>
      <c r="GO139" s="202"/>
      <c r="GP139" s="202"/>
      <c r="GQ139" s="202"/>
      <c r="GR139" s="189"/>
      <c r="GS139" s="189"/>
      <c r="GT139" s="189"/>
      <c r="GU139" s="189"/>
      <c r="GV139" s="189" t="s">
        <v>1160</v>
      </c>
    </row>
    <row r="140" spans="1:204" s="68" customFormat="1" ht="14.45" customHeight="1" x14ac:dyDescent="0.25">
      <c r="A140" s="68" t="s">
        <v>693</v>
      </c>
      <c r="B140" s="82" t="s">
        <v>154</v>
      </c>
      <c r="C140" s="82" t="s">
        <v>172</v>
      </c>
      <c r="D140" s="82" t="s">
        <v>196</v>
      </c>
      <c r="E140" s="82" t="s">
        <v>309</v>
      </c>
      <c r="F140" s="82" t="s">
        <v>549</v>
      </c>
      <c r="G140" s="82" t="s">
        <v>137</v>
      </c>
      <c r="H140" s="82" t="s">
        <v>137</v>
      </c>
      <c r="I140" s="82" t="s">
        <v>66</v>
      </c>
      <c r="J140" s="82" t="s">
        <v>29</v>
      </c>
      <c r="K140" s="92" t="s">
        <v>137</v>
      </c>
      <c r="L140" s="92" t="s">
        <v>137</v>
      </c>
      <c r="M140" s="92" t="s">
        <v>137</v>
      </c>
      <c r="N140" s="92" t="s">
        <v>137</v>
      </c>
      <c r="O140" s="92" t="s">
        <v>137</v>
      </c>
      <c r="P140" s="92" t="s">
        <v>137</v>
      </c>
      <c r="Q140" s="82" t="s">
        <v>87</v>
      </c>
      <c r="R140" s="82" t="s">
        <v>714</v>
      </c>
      <c r="S140" s="82" t="s">
        <v>40</v>
      </c>
      <c r="T140" s="82" t="s">
        <v>2</v>
      </c>
      <c r="U140" s="83"/>
      <c r="V140" s="83">
        <v>0.05</v>
      </c>
      <c r="W140" s="83">
        <v>0.08</v>
      </c>
      <c r="X140" s="83">
        <v>0.15</v>
      </c>
      <c r="Y140" s="83">
        <v>0.2</v>
      </c>
      <c r="Z140" s="83">
        <v>0.25</v>
      </c>
      <c r="AA140" s="83">
        <v>0.37</v>
      </c>
      <c r="AB140" s="83">
        <v>0.42</v>
      </c>
      <c r="AC140" s="83">
        <v>0.57999999999999996</v>
      </c>
      <c r="AD140" s="83">
        <v>0.67</v>
      </c>
      <c r="AE140" s="83">
        <v>0.83</v>
      </c>
      <c r="AF140" s="83">
        <v>1</v>
      </c>
      <c r="AG140" s="82" t="s">
        <v>532</v>
      </c>
      <c r="AH140" s="82" t="s">
        <v>529</v>
      </c>
      <c r="AI140" s="88" t="s">
        <v>538</v>
      </c>
      <c r="AJ140" s="89" t="s">
        <v>538</v>
      </c>
      <c r="AK140" s="90">
        <v>46023</v>
      </c>
      <c r="AL140" s="90">
        <v>46387</v>
      </c>
      <c r="AM140" s="89"/>
      <c r="AN140" s="89"/>
      <c r="AO140" s="89"/>
      <c r="AP140" s="91" t="s">
        <v>539</v>
      </c>
      <c r="AQ140" s="90" cm="1">
        <f t="array" ref="AQ140">IFERROR(DATE(2026, _xlfn.AGGREGATE(15, 6, (COLUMN(BY140:CJ140)-COLUMN(BY140)+1)/(BY140:CJ140&lt;&gt;0), 1), 1),"N/A")</f>
        <v>46235</v>
      </c>
      <c r="AR140" s="90" cm="1">
        <f t="array" ref="AR140">IFERROR(EOMONTH(DATE(2026, _xlfn.AGGREGATE(14, 6, (COLUMN(BY140:CJ140)-COLUMN(BY140)+1)/(BY140:CJ140&lt;&gt;0), 1), 1), 0),"N/A")</f>
        <v>46265</v>
      </c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2" t="s">
        <v>631</v>
      </c>
      <c r="BF140" s="82" t="s">
        <v>961</v>
      </c>
      <c r="BG140" s="82" t="str">
        <f t="shared" si="12"/>
        <v>000</v>
      </c>
      <c r="BH140" s="88">
        <v>530702</v>
      </c>
      <c r="BI140" s="92" t="s">
        <v>74</v>
      </c>
      <c r="BJ140" s="93">
        <v>7000</v>
      </c>
      <c r="BK140" s="74">
        <v>0</v>
      </c>
      <c r="BL140" s="74">
        <v>0</v>
      </c>
      <c r="BM140" s="74">
        <v>0</v>
      </c>
      <c r="BN140" s="74">
        <v>0</v>
      </c>
      <c r="BO140" s="74">
        <v>0</v>
      </c>
      <c r="BP140" s="74">
        <v>0</v>
      </c>
      <c r="BQ140" s="74">
        <v>0</v>
      </c>
      <c r="BR140" s="94">
        <v>7000</v>
      </c>
      <c r="BS140" s="74">
        <v>0</v>
      </c>
      <c r="BT140" s="74">
        <v>0</v>
      </c>
      <c r="BU140" s="74">
        <v>0</v>
      </c>
      <c r="BV140" s="143">
        <v>0</v>
      </c>
      <c r="BW140" s="143"/>
      <c r="BX140" s="143">
        <f t="shared" si="17"/>
        <v>7000</v>
      </c>
      <c r="BY140" s="74">
        <v>0</v>
      </c>
      <c r="BZ140" s="74">
        <v>0</v>
      </c>
      <c r="CA140" s="74">
        <v>0</v>
      </c>
      <c r="CB140" s="74">
        <v>0</v>
      </c>
      <c r="CC140" s="74">
        <v>0</v>
      </c>
      <c r="CD140" s="74">
        <v>0</v>
      </c>
      <c r="CE140" s="74">
        <v>0</v>
      </c>
      <c r="CF140" s="94">
        <v>7000</v>
      </c>
      <c r="CG140" s="74">
        <v>0</v>
      </c>
      <c r="CH140" s="74">
        <v>0</v>
      </c>
      <c r="CI140" s="74">
        <v>0</v>
      </c>
      <c r="CJ140" s="143">
        <v>0</v>
      </c>
      <c r="CK140" s="143"/>
      <c r="CL140" s="142">
        <f t="shared" si="13"/>
        <v>0</v>
      </c>
      <c r="CM140" s="171">
        <v>0</v>
      </c>
      <c r="CN140" s="171">
        <v>0</v>
      </c>
      <c r="CO140" s="171">
        <v>0</v>
      </c>
      <c r="CP140" s="171">
        <v>0</v>
      </c>
      <c r="CQ140" s="171">
        <v>0</v>
      </c>
      <c r="CR140" s="171">
        <v>0</v>
      </c>
      <c r="CS140" s="171">
        <f t="shared" si="14"/>
        <v>0</v>
      </c>
      <c r="CT140" s="171">
        <f t="shared" si="15"/>
        <v>0</v>
      </c>
      <c r="CU140" s="171">
        <f t="shared" si="16"/>
        <v>0</v>
      </c>
      <c r="CV140" s="149">
        <v>7000</v>
      </c>
      <c r="CW140" s="149">
        <v>7000</v>
      </c>
      <c r="CX140" s="130">
        <v>2</v>
      </c>
      <c r="CY140" s="130">
        <v>2</v>
      </c>
      <c r="CZ140" s="130"/>
      <c r="DA140" s="130"/>
      <c r="DB140" s="130"/>
      <c r="DC140" s="130"/>
      <c r="DD140" s="130"/>
      <c r="DE140" s="131">
        <v>46188</v>
      </c>
      <c r="DF140" s="131">
        <v>46188</v>
      </c>
      <c r="DG140" s="132">
        <v>2</v>
      </c>
      <c r="DH140" s="131">
        <v>46189</v>
      </c>
      <c r="DI140" s="131">
        <v>46189</v>
      </c>
      <c r="DJ140" s="131">
        <v>46189</v>
      </c>
      <c r="DK140" s="131">
        <v>46190</v>
      </c>
      <c r="DL140" s="131">
        <v>46191</v>
      </c>
      <c r="DM140" s="131">
        <v>46192</v>
      </c>
      <c r="DN140" s="131">
        <v>46195</v>
      </c>
      <c r="DO140" s="131">
        <v>46196</v>
      </c>
      <c r="DP140" s="131">
        <v>46197</v>
      </c>
      <c r="DQ140" s="131">
        <v>46197</v>
      </c>
      <c r="DR140" s="132">
        <v>2</v>
      </c>
      <c r="DS140" s="131">
        <v>46198</v>
      </c>
      <c r="DT140" s="131">
        <v>46199</v>
      </c>
      <c r="DU140" s="131">
        <v>46202</v>
      </c>
      <c r="DV140" s="131">
        <v>46203</v>
      </c>
      <c r="DW140" s="131">
        <v>46203</v>
      </c>
      <c r="DX140" s="131">
        <v>46204</v>
      </c>
      <c r="DY140" s="131">
        <v>46204</v>
      </c>
      <c r="DZ140" s="132"/>
      <c r="EA140" s="132"/>
      <c r="EB140" s="132"/>
      <c r="EC140" s="132"/>
      <c r="ED140" s="131">
        <v>46205</v>
      </c>
      <c r="EE140" s="131">
        <v>46206</v>
      </c>
      <c r="EF140" s="131">
        <v>46206</v>
      </c>
      <c r="EG140" s="131"/>
      <c r="EH140" s="131"/>
      <c r="EI140" s="131"/>
      <c r="EJ140" s="131">
        <v>46206</v>
      </c>
      <c r="EK140" s="131">
        <v>46212</v>
      </c>
      <c r="EL140" s="132">
        <v>18</v>
      </c>
      <c r="EM140" s="133"/>
      <c r="EN140" s="133"/>
      <c r="EO140" s="133"/>
      <c r="EP140" s="133"/>
      <c r="EQ140" s="133"/>
      <c r="ER140" s="133"/>
      <c r="ES140" s="133"/>
      <c r="ET140" s="133"/>
      <c r="EU140" s="133"/>
      <c r="EV140" s="134"/>
      <c r="EW140" s="133">
        <v>46212</v>
      </c>
      <c r="EX140" s="133"/>
      <c r="EY140" s="135" t="s">
        <v>854</v>
      </c>
      <c r="EZ140" s="132" t="s">
        <v>855</v>
      </c>
      <c r="FA140" s="130"/>
      <c r="FB140" s="203">
        <v>46188</v>
      </c>
      <c r="FC140" s="203">
        <v>46188</v>
      </c>
      <c r="FD140" s="203">
        <v>46189</v>
      </c>
      <c r="FE140" s="203">
        <v>46189</v>
      </c>
      <c r="FF140" s="203">
        <v>46189</v>
      </c>
      <c r="FG140" s="203">
        <v>46190</v>
      </c>
      <c r="FH140" s="203">
        <v>46191</v>
      </c>
      <c r="FI140" s="203">
        <v>46192</v>
      </c>
      <c r="FJ140" s="203">
        <v>46195</v>
      </c>
      <c r="FK140" s="203">
        <v>46196</v>
      </c>
      <c r="FL140" s="203">
        <v>46197</v>
      </c>
      <c r="FM140" s="203">
        <v>46197</v>
      </c>
      <c r="FN140" s="203">
        <v>46198</v>
      </c>
      <c r="FO140" s="203">
        <v>46199</v>
      </c>
      <c r="FP140" s="203">
        <v>46202</v>
      </c>
      <c r="FQ140" s="203">
        <v>46203</v>
      </c>
      <c r="FR140" s="203">
        <v>46203</v>
      </c>
      <c r="FS140" s="203">
        <v>46204</v>
      </c>
      <c r="FT140" s="203">
        <v>46204</v>
      </c>
      <c r="FU140" s="203"/>
      <c r="FV140" s="203"/>
      <c r="FW140" s="203"/>
      <c r="FX140" s="203"/>
      <c r="FY140" s="203">
        <v>46205</v>
      </c>
      <c r="FZ140" s="203">
        <v>46206</v>
      </c>
      <c r="GA140" s="203">
        <v>46206</v>
      </c>
      <c r="GB140" s="203"/>
      <c r="GC140" s="203"/>
      <c r="GD140" s="203"/>
      <c r="GE140" s="203">
        <v>46206</v>
      </c>
      <c r="GF140" s="203">
        <v>46212</v>
      </c>
      <c r="GG140" s="203">
        <v>18</v>
      </c>
      <c r="GH140" s="203"/>
      <c r="GI140" s="203"/>
      <c r="GJ140" s="203"/>
      <c r="GK140" s="203"/>
      <c r="GL140" s="203"/>
      <c r="GM140" s="203"/>
      <c r="GN140" s="203"/>
      <c r="GO140" s="203"/>
      <c r="GP140" s="203"/>
      <c r="GQ140" s="203">
        <v>46212</v>
      </c>
      <c r="GR140" s="187"/>
      <c r="GS140" s="187" t="s">
        <v>1181</v>
      </c>
      <c r="GT140" s="187" t="s">
        <v>854</v>
      </c>
      <c r="GU140" s="187" t="s">
        <v>855</v>
      </c>
      <c r="GV140" s="187"/>
    </row>
    <row r="141" spans="1:204" s="68" customFormat="1" ht="14.45" customHeight="1" x14ac:dyDescent="0.25">
      <c r="A141" s="68" t="s">
        <v>693</v>
      </c>
      <c r="B141" s="82" t="s">
        <v>154</v>
      </c>
      <c r="C141" s="82" t="s">
        <v>172</v>
      </c>
      <c r="D141" s="82" t="s">
        <v>196</v>
      </c>
      <c r="E141" s="82" t="s">
        <v>309</v>
      </c>
      <c r="F141" s="82" t="s">
        <v>549</v>
      </c>
      <c r="G141" s="82" t="s">
        <v>137</v>
      </c>
      <c r="H141" s="82" t="s">
        <v>137</v>
      </c>
      <c r="I141" s="82" t="s">
        <v>66</v>
      </c>
      <c r="J141" s="82" t="s">
        <v>29</v>
      </c>
      <c r="K141" s="92" t="s">
        <v>137</v>
      </c>
      <c r="L141" s="92" t="s">
        <v>137</v>
      </c>
      <c r="M141" s="92" t="s">
        <v>137</v>
      </c>
      <c r="N141" s="92" t="s">
        <v>137</v>
      </c>
      <c r="O141" s="92" t="s">
        <v>137</v>
      </c>
      <c r="P141" s="92" t="s">
        <v>137</v>
      </c>
      <c r="Q141" s="82" t="s">
        <v>87</v>
      </c>
      <c r="R141" s="82" t="s">
        <v>714</v>
      </c>
      <c r="S141" s="82" t="s">
        <v>40</v>
      </c>
      <c r="T141" s="82" t="s">
        <v>2</v>
      </c>
      <c r="U141" s="83"/>
      <c r="V141" s="83">
        <v>0.05</v>
      </c>
      <c r="W141" s="83">
        <v>0.08</v>
      </c>
      <c r="X141" s="83">
        <v>0.15</v>
      </c>
      <c r="Y141" s="83">
        <v>0.2</v>
      </c>
      <c r="Z141" s="83">
        <v>0.25</v>
      </c>
      <c r="AA141" s="83">
        <v>0.37</v>
      </c>
      <c r="AB141" s="83">
        <v>0.42</v>
      </c>
      <c r="AC141" s="83">
        <v>0.57999999999999996</v>
      </c>
      <c r="AD141" s="83">
        <v>0.67</v>
      </c>
      <c r="AE141" s="83">
        <v>0.83</v>
      </c>
      <c r="AF141" s="83">
        <v>1</v>
      </c>
      <c r="AG141" s="82" t="s">
        <v>532</v>
      </c>
      <c r="AH141" s="82" t="s">
        <v>529</v>
      </c>
      <c r="AI141" s="88" t="s">
        <v>538</v>
      </c>
      <c r="AJ141" s="89" t="s">
        <v>538</v>
      </c>
      <c r="AK141" s="90">
        <v>46023</v>
      </c>
      <c r="AL141" s="90">
        <v>46387</v>
      </c>
      <c r="AM141" s="89"/>
      <c r="AN141" s="89"/>
      <c r="AO141" s="89"/>
      <c r="AP141" s="91" t="s">
        <v>539</v>
      </c>
      <c r="AQ141" s="90" cm="1">
        <f t="array" ref="AQ141">IFERROR(DATE(2026, _xlfn.AGGREGATE(15, 6, (COLUMN(BY141:CJ141)-COLUMN(BY141)+1)/(BY141:CJ141&lt;&gt;0), 1), 1),"N/A")</f>
        <v>46357</v>
      </c>
      <c r="AR141" s="90" cm="1">
        <f t="array" ref="AR141">IFERROR(EOMONTH(DATE(2026, _xlfn.AGGREGATE(14, 6, (COLUMN(BY141:CJ141)-COLUMN(BY141)+1)/(BY141:CJ141&lt;&gt;0), 1), 1), 0),"N/A")</f>
        <v>46387</v>
      </c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2" t="s">
        <v>634</v>
      </c>
      <c r="BF141" s="82" t="s">
        <v>764</v>
      </c>
      <c r="BG141" s="82" t="str">
        <f t="shared" si="12"/>
        <v>000</v>
      </c>
      <c r="BH141" s="88">
        <v>530702</v>
      </c>
      <c r="BI141" s="92" t="s">
        <v>74</v>
      </c>
      <c r="BJ141" s="93">
        <v>7200</v>
      </c>
      <c r="BK141" s="74">
        <v>0</v>
      </c>
      <c r="BL141" s="74">
        <v>0</v>
      </c>
      <c r="BM141" s="74">
        <v>0</v>
      </c>
      <c r="BN141" s="74">
        <v>0</v>
      </c>
      <c r="BO141" s="74">
        <v>0</v>
      </c>
      <c r="BP141" s="74">
        <v>0</v>
      </c>
      <c r="BQ141" s="74">
        <v>0</v>
      </c>
      <c r="BR141" s="74">
        <v>0</v>
      </c>
      <c r="BS141" s="74">
        <v>0</v>
      </c>
      <c r="BT141" s="74">
        <v>0</v>
      </c>
      <c r="BU141" s="74">
        <v>0</v>
      </c>
      <c r="BV141" s="142">
        <v>7200</v>
      </c>
      <c r="BW141" s="142"/>
      <c r="BX141" s="143">
        <f t="shared" si="17"/>
        <v>7200</v>
      </c>
      <c r="BY141" s="74">
        <v>0</v>
      </c>
      <c r="BZ141" s="74">
        <v>0</v>
      </c>
      <c r="CA141" s="74">
        <v>0</v>
      </c>
      <c r="CB141" s="74">
        <v>0</v>
      </c>
      <c r="CC141" s="74">
        <v>0</v>
      </c>
      <c r="CD141" s="74">
        <v>0</v>
      </c>
      <c r="CE141" s="74">
        <v>0</v>
      </c>
      <c r="CF141" s="74">
        <v>0</v>
      </c>
      <c r="CG141" s="74">
        <v>0</v>
      </c>
      <c r="CH141" s="74">
        <v>0</v>
      </c>
      <c r="CI141" s="74">
        <v>0</v>
      </c>
      <c r="CJ141" s="142">
        <v>7200</v>
      </c>
      <c r="CK141" s="142"/>
      <c r="CL141" s="142">
        <f t="shared" si="13"/>
        <v>0</v>
      </c>
      <c r="CM141" s="171">
        <v>0</v>
      </c>
      <c r="CN141" s="171">
        <v>0</v>
      </c>
      <c r="CO141" s="171">
        <v>0</v>
      </c>
      <c r="CP141" s="171">
        <v>0</v>
      </c>
      <c r="CQ141" s="171">
        <v>0</v>
      </c>
      <c r="CR141" s="171">
        <v>0</v>
      </c>
      <c r="CS141" s="171">
        <f t="shared" si="14"/>
        <v>0</v>
      </c>
      <c r="CT141" s="171">
        <f t="shared" si="15"/>
        <v>0</v>
      </c>
      <c r="CU141" s="171">
        <f t="shared" si="16"/>
        <v>0</v>
      </c>
      <c r="CV141" s="149">
        <v>7200</v>
      </c>
      <c r="CW141" s="149">
        <v>7200</v>
      </c>
      <c r="CX141" s="130">
        <v>3</v>
      </c>
      <c r="CY141" s="130">
        <v>3</v>
      </c>
      <c r="CZ141" s="130"/>
      <c r="DA141" s="130"/>
      <c r="DB141" s="130"/>
      <c r="DC141" s="130"/>
      <c r="DD141" s="130"/>
      <c r="DE141" s="131">
        <v>46316</v>
      </c>
      <c r="DF141" s="131">
        <v>46316</v>
      </c>
      <c r="DG141" s="132">
        <v>3</v>
      </c>
      <c r="DH141" s="131">
        <v>46317</v>
      </c>
      <c r="DI141" s="131">
        <v>46317</v>
      </c>
      <c r="DJ141" s="131">
        <v>46317</v>
      </c>
      <c r="DK141" s="131">
        <v>46318</v>
      </c>
      <c r="DL141" s="131">
        <v>46321</v>
      </c>
      <c r="DM141" s="131">
        <v>46322</v>
      </c>
      <c r="DN141" s="131">
        <v>46323</v>
      </c>
      <c r="DO141" s="131">
        <v>46324</v>
      </c>
      <c r="DP141" s="131">
        <v>46325</v>
      </c>
      <c r="DQ141" s="131">
        <v>46325</v>
      </c>
      <c r="DR141" s="132">
        <v>3</v>
      </c>
      <c r="DS141" s="131">
        <v>46328</v>
      </c>
      <c r="DT141" s="131">
        <v>46329</v>
      </c>
      <c r="DU141" s="131">
        <v>46330</v>
      </c>
      <c r="DV141" s="131">
        <v>46331</v>
      </c>
      <c r="DW141" s="131">
        <v>46331</v>
      </c>
      <c r="DX141" s="131">
        <v>46332</v>
      </c>
      <c r="DY141" s="131">
        <v>46332</v>
      </c>
      <c r="DZ141" s="132"/>
      <c r="EA141" s="132"/>
      <c r="EB141" s="132"/>
      <c r="EC141" s="132"/>
      <c r="ED141" s="131">
        <v>46335</v>
      </c>
      <c r="EE141" s="131">
        <v>46336</v>
      </c>
      <c r="EF141" s="131">
        <v>46336</v>
      </c>
      <c r="EG141" s="131"/>
      <c r="EH141" s="131"/>
      <c r="EI141" s="131"/>
      <c r="EJ141" s="131">
        <v>46336</v>
      </c>
      <c r="EK141" s="131">
        <v>46341</v>
      </c>
      <c r="EL141" s="132">
        <v>18</v>
      </c>
      <c r="EM141" s="133"/>
      <c r="EN141" s="133"/>
      <c r="EO141" s="133"/>
      <c r="EP141" s="133"/>
      <c r="EQ141" s="133"/>
      <c r="ER141" s="133"/>
      <c r="ES141" s="133"/>
      <c r="ET141" s="133"/>
      <c r="EU141" s="133"/>
      <c r="EV141" s="134"/>
      <c r="EW141" s="133">
        <v>46341</v>
      </c>
      <c r="EX141" s="133"/>
      <c r="EY141" s="135" t="s">
        <v>854</v>
      </c>
      <c r="EZ141" s="132" t="s">
        <v>855</v>
      </c>
      <c r="FA141" s="130"/>
      <c r="FB141" s="203">
        <v>46316</v>
      </c>
      <c r="FC141" s="203">
        <v>46316</v>
      </c>
      <c r="FD141" s="203">
        <v>46317</v>
      </c>
      <c r="FE141" s="203">
        <v>46317</v>
      </c>
      <c r="FF141" s="203">
        <v>46317</v>
      </c>
      <c r="FG141" s="203">
        <v>46318</v>
      </c>
      <c r="FH141" s="203">
        <v>46321</v>
      </c>
      <c r="FI141" s="203">
        <v>46322</v>
      </c>
      <c r="FJ141" s="203">
        <v>46323</v>
      </c>
      <c r="FK141" s="203">
        <v>46324</v>
      </c>
      <c r="FL141" s="203">
        <v>46325</v>
      </c>
      <c r="FM141" s="203">
        <v>46325</v>
      </c>
      <c r="FN141" s="203">
        <v>46328</v>
      </c>
      <c r="FO141" s="203">
        <v>46329</v>
      </c>
      <c r="FP141" s="203">
        <v>46330</v>
      </c>
      <c r="FQ141" s="203">
        <v>46331</v>
      </c>
      <c r="FR141" s="203">
        <v>46331</v>
      </c>
      <c r="FS141" s="203">
        <v>46332</v>
      </c>
      <c r="FT141" s="203">
        <v>46332</v>
      </c>
      <c r="FU141" s="203"/>
      <c r="FV141" s="203"/>
      <c r="FW141" s="203"/>
      <c r="FX141" s="203"/>
      <c r="FY141" s="203">
        <v>46335</v>
      </c>
      <c r="FZ141" s="203">
        <v>46336</v>
      </c>
      <c r="GA141" s="203">
        <v>46336</v>
      </c>
      <c r="GB141" s="203"/>
      <c r="GC141" s="203"/>
      <c r="GD141" s="203"/>
      <c r="GE141" s="203">
        <v>46336</v>
      </c>
      <c r="GF141" s="203">
        <v>46341</v>
      </c>
      <c r="GG141" s="203">
        <v>18</v>
      </c>
      <c r="GH141" s="203"/>
      <c r="GI141" s="203"/>
      <c r="GJ141" s="203"/>
      <c r="GK141" s="203"/>
      <c r="GL141" s="203"/>
      <c r="GM141" s="203"/>
      <c r="GN141" s="203"/>
      <c r="GO141" s="203"/>
      <c r="GP141" s="203"/>
      <c r="GQ141" s="203">
        <v>46341</v>
      </c>
      <c r="GR141" s="187"/>
      <c r="GS141" s="187" t="s">
        <v>1181</v>
      </c>
      <c r="GT141" s="187" t="s">
        <v>854</v>
      </c>
      <c r="GU141" s="187" t="s">
        <v>855</v>
      </c>
      <c r="GV141" s="187"/>
    </row>
    <row r="142" spans="1:204" s="68" customFormat="1" ht="14.45" customHeight="1" x14ac:dyDescent="0.25">
      <c r="A142" s="68" t="s">
        <v>693</v>
      </c>
      <c r="B142" s="82" t="s">
        <v>154</v>
      </c>
      <c r="C142" s="82" t="s">
        <v>172</v>
      </c>
      <c r="D142" s="82" t="s">
        <v>196</v>
      </c>
      <c r="E142" s="82" t="s">
        <v>309</v>
      </c>
      <c r="F142" s="82" t="s">
        <v>549</v>
      </c>
      <c r="G142" s="82" t="s">
        <v>137</v>
      </c>
      <c r="H142" s="82" t="s">
        <v>137</v>
      </c>
      <c r="I142" s="82" t="s">
        <v>66</v>
      </c>
      <c r="J142" s="82" t="s">
        <v>29</v>
      </c>
      <c r="K142" s="92" t="s">
        <v>137</v>
      </c>
      <c r="L142" s="92" t="s">
        <v>137</v>
      </c>
      <c r="M142" s="92" t="s">
        <v>137</v>
      </c>
      <c r="N142" s="92" t="s">
        <v>137</v>
      </c>
      <c r="O142" s="92" t="s">
        <v>137</v>
      </c>
      <c r="P142" s="92" t="s">
        <v>137</v>
      </c>
      <c r="Q142" s="82" t="s">
        <v>87</v>
      </c>
      <c r="R142" s="82" t="s">
        <v>714</v>
      </c>
      <c r="S142" s="82" t="s">
        <v>40</v>
      </c>
      <c r="T142" s="82" t="s">
        <v>2</v>
      </c>
      <c r="U142" s="83"/>
      <c r="V142" s="83">
        <v>0.05</v>
      </c>
      <c r="W142" s="83">
        <v>0.08</v>
      </c>
      <c r="X142" s="83">
        <v>0.15</v>
      </c>
      <c r="Y142" s="83">
        <v>0.2</v>
      </c>
      <c r="Z142" s="83">
        <v>0.25</v>
      </c>
      <c r="AA142" s="83">
        <v>0.37</v>
      </c>
      <c r="AB142" s="83">
        <v>0.42</v>
      </c>
      <c r="AC142" s="83">
        <v>0.57999999999999996</v>
      </c>
      <c r="AD142" s="83">
        <v>0.67</v>
      </c>
      <c r="AE142" s="83">
        <v>0.83</v>
      </c>
      <c r="AF142" s="83">
        <v>1</v>
      </c>
      <c r="AG142" s="82" t="s">
        <v>532</v>
      </c>
      <c r="AH142" s="82" t="s">
        <v>529</v>
      </c>
      <c r="AI142" s="88" t="s">
        <v>538</v>
      </c>
      <c r="AJ142" s="89" t="s">
        <v>538</v>
      </c>
      <c r="AK142" s="90">
        <v>46023</v>
      </c>
      <c r="AL142" s="90">
        <v>46387</v>
      </c>
      <c r="AM142" s="89"/>
      <c r="AN142" s="89"/>
      <c r="AO142" s="89"/>
      <c r="AP142" s="91" t="s">
        <v>539</v>
      </c>
      <c r="AQ142" s="90" cm="1">
        <f t="array" ref="AQ142">IFERROR(DATE(2026, _xlfn.AGGREGATE(15, 6, (COLUMN(BY142:CJ142)-COLUMN(BY142)+1)/(BY142:CJ142&lt;&gt;0), 1), 1),"N/A")</f>
        <v>46174</v>
      </c>
      <c r="AR142" s="90" cm="1">
        <f t="array" ref="AR142">IFERROR(EOMONTH(DATE(2026, _xlfn.AGGREGATE(14, 6, (COLUMN(BY142:CJ142)-COLUMN(BY142)+1)/(BY142:CJ142&lt;&gt;0), 1), 1), 0),"N/A")</f>
        <v>46203</v>
      </c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2" t="s">
        <v>636</v>
      </c>
      <c r="BF142" s="82" t="s">
        <v>974</v>
      </c>
      <c r="BG142" s="82" t="str">
        <f t="shared" si="12"/>
        <v>000</v>
      </c>
      <c r="BH142" s="88">
        <v>530702</v>
      </c>
      <c r="BI142" s="92" t="s">
        <v>74</v>
      </c>
      <c r="BJ142" s="93">
        <v>8000</v>
      </c>
      <c r="BK142" s="74">
        <v>0</v>
      </c>
      <c r="BL142" s="74">
        <v>0</v>
      </c>
      <c r="BM142" s="74">
        <v>0</v>
      </c>
      <c r="BN142" s="74">
        <v>0</v>
      </c>
      <c r="BO142" s="74">
        <v>0</v>
      </c>
      <c r="BP142" s="94">
        <v>8000</v>
      </c>
      <c r="BQ142" s="74">
        <v>0</v>
      </c>
      <c r="BR142" s="74">
        <v>0</v>
      </c>
      <c r="BS142" s="74">
        <v>0</v>
      </c>
      <c r="BT142" s="74">
        <v>0</v>
      </c>
      <c r="BU142" s="74">
        <v>0</v>
      </c>
      <c r="BV142" s="143">
        <v>0</v>
      </c>
      <c r="BW142" s="143"/>
      <c r="BX142" s="143">
        <f t="shared" si="17"/>
        <v>8000</v>
      </c>
      <c r="BY142" s="74">
        <v>0</v>
      </c>
      <c r="BZ142" s="74">
        <v>0</v>
      </c>
      <c r="CA142" s="74">
        <v>0</v>
      </c>
      <c r="CB142" s="74">
        <v>0</v>
      </c>
      <c r="CC142" s="74">
        <v>0</v>
      </c>
      <c r="CD142" s="94">
        <v>8000</v>
      </c>
      <c r="CE142" s="74">
        <v>0</v>
      </c>
      <c r="CF142" s="74">
        <v>0</v>
      </c>
      <c r="CG142" s="74">
        <v>0</v>
      </c>
      <c r="CH142" s="74">
        <v>0</v>
      </c>
      <c r="CI142" s="74">
        <v>0</v>
      </c>
      <c r="CJ142" s="143">
        <v>0</v>
      </c>
      <c r="CK142" s="143"/>
      <c r="CL142" s="142">
        <f t="shared" si="13"/>
        <v>0</v>
      </c>
      <c r="CM142" s="171">
        <v>0</v>
      </c>
      <c r="CN142" s="171">
        <v>0</v>
      </c>
      <c r="CO142" s="171">
        <v>0</v>
      </c>
      <c r="CP142" s="171">
        <v>0</v>
      </c>
      <c r="CQ142" s="171">
        <v>0</v>
      </c>
      <c r="CR142" s="171">
        <v>0</v>
      </c>
      <c r="CS142" s="171">
        <f t="shared" si="14"/>
        <v>0</v>
      </c>
      <c r="CT142" s="171">
        <f t="shared" si="15"/>
        <v>0</v>
      </c>
      <c r="CU142" s="171">
        <f t="shared" si="16"/>
        <v>0</v>
      </c>
      <c r="CV142" s="149">
        <v>8000</v>
      </c>
      <c r="CW142" s="149">
        <v>8000</v>
      </c>
      <c r="CX142" s="130">
        <v>2</v>
      </c>
      <c r="CY142" s="130">
        <v>2</v>
      </c>
      <c r="CZ142" s="130"/>
      <c r="DA142" s="130"/>
      <c r="DB142" s="130"/>
      <c r="DC142" s="130"/>
      <c r="DD142" s="130"/>
      <c r="DE142" s="131">
        <v>46120</v>
      </c>
      <c r="DF142" s="131">
        <v>46120</v>
      </c>
      <c r="DG142" s="132">
        <v>1</v>
      </c>
      <c r="DH142" s="131">
        <v>46121</v>
      </c>
      <c r="DI142" s="131">
        <v>46121</v>
      </c>
      <c r="DJ142" s="131">
        <v>46121</v>
      </c>
      <c r="DK142" s="131">
        <v>46122</v>
      </c>
      <c r="DL142" s="131">
        <v>46125</v>
      </c>
      <c r="DM142" s="131">
        <v>46126</v>
      </c>
      <c r="DN142" s="131">
        <v>46127</v>
      </c>
      <c r="DO142" s="131">
        <v>46128</v>
      </c>
      <c r="DP142" s="131">
        <v>46129</v>
      </c>
      <c r="DQ142" s="131">
        <v>46129</v>
      </c>
      <c r="DR142" s="132">
        <v>1</v>
      </c>
      <c r="DS142" s="131">
        <v>46132</v>
      </c>
      <c r="DT142" s="131">
        <v>46133</v>
      </c>
      <c r="DU142" s="131">
        <v>46134</v>
      </c>
      <c r="DV142" s="131">
        <v>46135</v>
      </c>
      <c r="DW142" s="131">
        <v>46135</v>
      </c>
      <c r="DX142" s="131">
        <v>46136</v>
      </c>
      <c r="DY142" s="131">
        <v>46136</v>
      </c>
      <c r="DZ142" s="132"/>
      <c r="EA142" s="132"/>
      <c r="EB142" s="132"/>
      <c r="EC142" s="132"/>
      <c r="ED142" s="131">
        <v>46139</v>
      </c>
      <c r="EE142" s="131">
        <v>46140</v>
      </c>
      <c r="EF142" s="131">
        <v>46140</v>
      </c>
      <c r="EG142" s="131"/>
      <c r="EH142" s="131"/>
      <c r="EI142" s="131"/>
      <c r="EJ142" s="131">
        <v>46140</v>
      </c>
      <c r="EK142" s="131">
        <v>46146</v>
      </c>
      <c r="EL142" s="132">
        <v>18</v>
      </c>
      <c r="EM142" s="133"/>
      <c r="EN142" s="133"/>
      <c r="EO142" s="133"/>
      <c r="EP142" s="133"/>
      <c r="EQ142" s="133"/>
      <c r="ER142" s="133"/>
      <c r="ES142" s="133"/>
      <c r="ET142" s="133"/>
      <c r="EU142" s="133"/>
      <c r="EV142" s="134"/>
      <c r="EW142" s="133">
        <v>46146</v>
      </c>
      <c r="EX142" s="133"/>
      <c r="EY142" s="135" t="s">
        <v>854</v>
      </c>
      <c r="EZ142" s="132" t="s">
        <v>855</v>
      </c>
      <c r="FA142" s="130"/>
      <c r="FB142" s="203">
        <v>46120</v>
      </c>
      <c r="FC142" s="203">
        <v>46120</v>
      </c>
      <c r="FD142" s="203">
        <v>46121</v>
      </c>
      <c r="FE142" s="203">
        <v>46121</v>
      </c>
      <c r="FF142" s="203">
        <v>46121</v>
      </c>
      <c r="FG142" s="203">
        <v>46122</v>
      </c>
      <c r="FH142" s="203">
        <v>46125</v>
      </c>
      <c r="FI142" s="203">
        <v>46126</v>
      </c>
      <c r="FJ142" s="203">
        <v>46127</v>
      </c>
      <c r="FK142" s="203">
        <v>46128</v>
      </c>
      <c r="FL142" s="203">
        <v>46129</v>
      </c>
      <c r="FM142" s="203">
        <v>46129</v>
      </c>
      <c r="FN142" s="203">
        <v>46132</v>
      </c>
      <c r="FO142" s="203">
        <v>46133</v>
      </c>
      <c r="FP142" s="203">
        <v>46134</v>
      </c>
      <c r="FQ142" s="203">
        <v>46135</v>
      </c>
      <c r="FR142" s="203">
        <v>46135</v>
      </c>
      <c r="FS142" s="203">
        <v>46136</v>
      </c>
      <c r="FT142" s="203">
        <v>46136</v>
      </c>
      <c r="FU142" s="203"/>
      <c r="FV142" s="203"/>
      <c r="FW142" s="203"/>
      <c r="FX142" s="203"/>
      <c r="FY142" s="203">
        <v>46139</v>
      </c>
      <c r="FZ142" s="203">
        <v>46140</v>
      </c>
      <c r="GA142" s="203">
        <v>46140</v>
      </c>
      <c r="GB142" s="203"/>
      <c r="GC142" s="203"/>
      <c r="GD142" s="203"/>
      <c r="GE142" s="203">
        <v>46140</v>
      </c>
      <c r="GF142" s="203">
        <v>46146</v>
      </c>
      <c r="GG142" s="203">
        <v>18</v>
      </c>
      <c r="GH142" s="203"/>
      <c r="GI142" s="203"/>
      <c r="GJ142" s="203"/>
      <c r="GK142" s="203"/>
      <c r="GL142" s="203"/>
      <c r="GM142" s="203"/>
      <c r="GN142" s="203"/>
      <c r="GO142" s="203"/>
      <c r="GP142" s="203"/>
      <c r="GQ142" s="203">
        <v>46146</v>
      </c>
      <c r="GR142" s="187"/>
      <c r="GS142" s="187" t="s">
        <v>1181</v>
      </c>
      <c r="GT142" s="187" t="s">
        <v>854</v>
      </c>
      <c r="GU142" s="187" t="s">
        <v>855</v>
      </c>
      <c r="GV142" s="187"/>
    </row>
    <row r="143" spans="1:204" s="68" customFormat="1" ht="14.45" customHeight="1" x14ac:dyDescent="0.25">
      <c r="A143" s="68" t="s">
        <v>693</v>
      </c>
      <c r="B143" s="82" t="s">
        <v>154</v>
      </c>
      <c r="C143" s="82" t="s">
        <v>172</v>
      </c>
      <c r="D143" s="82" t="s">
        <v>196</v>
      </c>
      <c r="E143" s="82" t="s">
        <v>309</v>
      </c>
      <c r="F143" s="82" t="s">
        <v>549</v>
      </c>
      <c r="G143" s="82" t="s">
        <v>137</v>
      </c>
      <c r="H143" s="82" t="s">
        <v>137</v>
      </c>
      <c r="I143" s="82" t="s">
        <v>66</v>
      </c>
      <c r="J143" s="82" t="s">
        <v>29</v>
      </c>
      <c r="K143" s="92" t="s">
        <v>137</v>
      </c>
      <c r="L143" s="92" t="s">
        <v>137</v>
      </c>
      <c r="M143" s="92" t="s">
        <v>137</v>
      </c>
      <c r="N143" s="92" t="s">
        <v>137</v>
      </c>
      <c r="O143" s="92" t="s">
        <v>137</v>
      </c>
      <c r="P143" s="92" t="s">
        <v>137</v>
      </c>
      <c r="Q143" s="82" t="s">
        <v>87</v>
      </c>
      <c r="R143" s="82" t="s">
        <v>714</v>
      </c>
      <c r="S143" s="82" t="s">
        <v>40</v>
      </c>
      <c r="T143" s="82" t="s">
        <v>2</v>
      </c>
      <c r="U143" s="83"/>
      <c r="V143" s="83">
        <v>0.05</v>
      </c>
      <c r="W143" s="83">
        <v>0.08</v>
      </c>
      <c r="X143" s="83">
        <v>0.15</v>
      </c>
      <c r="Y143" s="83">
        <v>0.2</v>
      </c>
      <c r="Z143" s="83">
        <v>0.25</v>
      </c>
      <c r="AA143" s="83">
        <v>0.37</v>
      </c>
      <c r="AB143" s="83">
        <v>0.42</v>
      </c>
      <c r="AC143" s="83">
        <v>0.57999999999999996</v>
      </c>
      <c r="AD143" s="83">
        <v>0.67</v>
      </c>
      <c r="AE143" s="83">
        <v>0.83</v>
      </c>
      <c r="AF143" s="83">
        <v>1</v>
      </c>
      <c r="AG143" s="82" t="s">
        <v>532</v>
      </c>
      <c r="AH143" s="82" t="s">
        <v>529</v>
      </c>
      <c r="AI143" s="88" t="s">
        <v>538</v>
      </c>
      <c r="AJ143" s="89" t="s">
        <v>538</v>
      </c>
      <c r="AK143" s="90">
        <v>46023</v>
      </c>
      <c r="AL143" s="90">
        <v>46387</v>
      </c>
      <c r="AM143" s="89"/>
      <c r="AN143" s="89"/>
      <c r="AO143" s="89"/>
      <c r="AP143" s="91" t="s">
        <v>539</v>
      </c>
      <c r="AQ143" s="90" cm="1">
        <f t="array" ref="AQ143">IFERROR(DATE(2026, _xlfn.AGGREGATE(15, 6, (COLUMN(BY143:CJ143)-COLUMN(BY143)+1)/(BY143:CJ143&lt;&gt;0), 1), 1),"N/A")</f>
        <v>46266</v>
      </c>
      <c r="AR143" s="90" cm="1">
        <f t="array" ref="AR143">IFERROR(EOMONTH(DATE(2026, _xlfn.AGGREGATE(14, 6, (COLUMN(BY143:CJ143)-COLUMN(BY143)+1)/(BY143:CJ143&lt;&gt;0), 1), 1), 0),"N/A")</f>
        <v>46295</v>
      </c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2" t="s">
        <v>632</v>
      </c>
      <c r="BF143" s="82" t="s">
        <v>763</v>
      </c>
      <c r="BG143" s="82" t="str">
        <f t="shared" si="12"/>
        <v>000</v>
      </c>
      <c r="BH143" s="88">
        <v>530702</v>
      </c>
      <c r="BI143" s="92" t="s">
        <v>74</v>
      </c>
      <c r="BJ143" s="93">
        <v>7000</v>
      </c>
      <c r="BK143" s="74">
        <v>0</v>
      </c>
      <c r="BL143" s="74">
        <v>0</v>
      </c>
      <c r="BM143" s="74">
        <v>0</v>
      </c>
      <c r="BN143" s="74">
        <v>0</v>
      </c>
      <c r="BO143" s="74">
        <v>0</v>
      </c>
      <c r="BP143" s="74">
        <v>0</v>
      </c>
      <c r="BQ143" s="74">
        <v>0</v>
      </c>
      <c r="BR143" s="74">
        <v>0</v>
      </c>
      <c r="BS143" s="94">
        <v>7000</v>
      </c>
      <c r="BT143" s="74">
        <v>0</v>
      </c>
      <c r="BU143" s="74">
        <v>0</v>
      </c>
      <c r="BV143" s="143">
        <v>0</v>
      </c>
      <c r="BW143" s="143"/>
      <c r="BX143" s="143">
        <f t="shared" si="17"/>
        <v>7000</v>
      </c>
      <c r="BY143" s="74">
        <v>0</v>
      </c>
      <c r="BZ143" s="74">
        <v>0</v>
      </c>
      <c r="CA143" s="74">
        <v>0</v>
      </c>
      <c r="CB143" s="74">
        <v>0</v>
      </c>
      <c r="CC143" s="74">
        <v>0</v>
      </c>
      <c r="CD143" s="74">
        <v>0</v>
      </c>
      <c r="CE143" s="74">
        <v>0</v>
      </c>
      <c r="CF143" s="74">
        <v>0</v>
      </c>
      <c r="CG143" s="94">
        <v>7000</v>
      </c>
      <c r="CH143" s="74">
        <v>0</v>
      </c>
      <c r="CI143" s="74">
        <v>0</v>
      </c>
      <c r="CJ143" s="143">
        <v>0</v>
      </c>
      <c r="CK143" s="143"/>
      <c r="CL143" s="142">
        <f t="shared" si="13"/>
        <v>0</v>
      </c>
      <c r="CM143" s="171">
        <v>0</v>
      </c>
      <c r="CN143" s="171">
        <v>0</v>
      </c>
      <c r="CO143" s="171">
        <v>0</v>
      </c>
      <c r="CP143" s="171">
        <v>0</v>
      </c>
      <c r="CQ143" s="171">
        <v>0</v>
      </c>
      <c r="CR143" s="171">
        <v>0</v>
      </c>
      <c r="CS143" s="171">
        <f t="shared" si="14"/>
        <v>0</v>
      </c>
      <c r="CT143" s="171">
        <f t="shared" si="15"/>
        <v>0</v>
      </c>
      <c r="CU143" s="171">
        <f t="shared" si="16"/>
        <v>0</v>
      </c>
      <c r="CV143" s="149">
        <v>7000</v>
      </c>
      <c r="CW143" s="149">
        <v>7000</v>
      </c>
      <c r="CX143" s="130">
        <v>2</v>
      </c>
      <c r="CY143" s="130">
        <v>2</v>
      </c>
      <c r="CZ143" s="130"/>
      <c r="DA143" s="130"/>
      <c r="DB143" s="130"/>
      <c r="DC143" s="130"/>
      <c r="DD143" s="130"/>
      <c r="DE143" s="131">
        <v>46211</v>
      </c>
      <c r="DF143" s="131">
        <v>46211</v>
      </c>
      <c r="DG143" s="132">
        <v>2</v>
      </c>
      <c r="DH143" s="131">
        <v>46212</v>
      </c>
      <c r="DI143" s="131">
        <v>46212</v>
      </c>
      <c r="DJ143" s="131">
        <v>46212</v>
      </c>
      <c r="DK143" s="131">
        <v>46213</v>
      </c>
      <c r="DL143" s="131">
        <v>46216</v>
      </c>
      <c r="DM143" s="131">
        <v>46217</v>
      </c>
      <c r="DN143" s="131">
        <v>46218</v>
      </c>
      <c r="DO143" s="131">
        <v>46219</v>
      </c>
      <c r="DP143" s="131">
        <v>46220</v>
      </c>
      <c r="DQ143" s="131">
        <v>46220</v>
      </c>
      <c r="DR143" s="132">
        <v>2</v>
      </c>
      <c r="DS143" s="131">
        <v>46223</v>
      </c>
      <c r="DT143" s="131">
        <v>46224</v>
      </c>
      <c r="DU143" s="131">
        <v>46225</v>
      </c>
      <c r="DV143" s="131">
        <v>46226</v>
      </c>
      <c r="DW143" s="131">
        <v>46226</v>
      </c>
      <c r="DX143" s="131">
        <v>46227</v>
      </c>
      <c r="DY143" s="131">
        <v>46227</v>
      </c>
      <c r="DZ143" s="132"/>
      <c r="EA143" s="132"/>
      <c r="EB143" s="132"/>
      <c r="EC143" s="132"/>
      <c r="ED143" s="131">
        <v>46230</v>
      </c>
      <c r="EE143" s="131">
        <v>46231</v>
      </c>
      <c r="EF143" s="131">
        <v>46231</v>
      </c>
      <c r="EG143" s="131"/>
      <c r="EH143" s="131"/>
      <c r="EI143" s="131"/>
      <c r="EJ143" s="131">
        <v>46231</v>
      </c>
      <c r="EK143" s="131">
        <v>46237</v>
      </c>
      <c r="EL143" s="132">
        <v>18</v>
      </c>
      <c r="EM143" s="133"/>
      <c r="EN143" s="133"/>
      <c r="EO143" s="133"/>
      <c r="EP143" s="133"/>
      <c r="EQ143" s="133"/>
      <c r="ER143" s="133"/>
      <c r="ES143" s="133"/>
      <c r="ET143" s="133"/>
      <c r="EU143" s="133"/>
      <c r="EV143" s="134"/>
      <c r="EW143" s="133">
        <v>46237</v>
      </c>
      <c r="EX143" s="133"/>
      <c r="EY143" s="135" t="s">
        <v>854</v>
      </c>
      <c r="EZ143" s="132" t="s">
        <v>855</v>
      </c>
      <c r="FA143" s="130"/>
      <c r="FB143" s="203">
        <v>46211</v>
      </c>
      <c r="FC143" s="203">
        <v>46211</v>
      </c>
      <c r="FD143" s="203">
        <v>46212</v>
      </c>
      <c r="FE143" s="203">
        <v>46212</v>
      </c>
      <c r="FF143" s="203">
        <v>46212</v>
      </c>
      <c r="FG143" s="203">
        <v>46213</v>
      </c>
      <c r="FH143" s="203">
        <v>46216</v>
      </c>
      <c r="FI143" s="203">
        <v>46217</v>
      </c>
      <c r="FJ143" s="203">
        <v>46218</v>
      </c>
      <c r="FK143" s="203">
        <v>46219</v>
      </c>
      <c r="FL143" s="203">
        <v>46220</v>
      </c>
      <c r="FM143" s="203">
        <v>46220</v>
      </c>
      <c r="FN143" s="203">
        <v>46223</v>
      </c>
      <c r="FO143" s="203">
        <v>46224</v>
      </c>
      <c r="FP143" s="203">
        <v>46225</v>
      </c>
      <c r="FQ143" s="203">
        <v>46226</v>
      </c>
      <c r="FR143" s="203">
        <v>46226</v>
      </c>
      <c r="FS143" s="203">
        <v>46227</v>
      </c>
      <c r="FT143" s="203">
        <v>46227</v>
      </c>
      <c r="FU143" s="203"/>
      <c r="FV143" s="203"/>
      <c r="FW143" s="203"/>
      <c r="FX143" s="203"/>
      <c r="FY143" s="203">
        <v>46230</v>
      </c>
      <c r="FZ143" s="203">
        <v>46231</v>
      </c>
      <c r="GA143" s="203">
        <v>46231</v>
      </c>
      <c r="GB143" s="203"/>
      <c r="GC143" s="203"/>
      <c r="GD143" s="203"/>
      <c r="GE143" s="203">
        <v>46231</v>
      </c>
      <c r="GF143" s="203">
        <v>46237</v>
      </c>
      <c r="GG143" s="203">
        <v>18</v>
      </c>
      <c r="GH143" s="203"/>
      <c r="GI143" s="203"/>
      <c r="GJ143" s="203"/>
      <c r="GK143" s="203"/>
      <c r="GL143" s="203"/>
      <c r="GM143" s="203"/>
      <c r="GN143" s="203"/>
      <c r="GO143" s="203"/>
      <c r="GP143" s="203"/>
      <c r="GQ143" s="203">
        <v>46237</v>
      </c>
      <c r="GR143" s="187"/>
      <c r="GS143" s="187" t="s">
        <v>1181</v>
      </c>
      <c r="GT143" s="187" t="s">
        <v>854</v>
      </c>
      <c r="GU143" s="187" t="s">
        <v>855</v>
      </c>
      <c r="GV143" s="187"/>
    </row>
    <row r="144" spans="1:204" s="68" customFormat="1" ht="14.45" customHeight="1" x14ac:dyDescent="0.25">
      <c r="A144" s="68" t="s">
        <v>693</v>
      </c>
      <c r="B144" s="82" t="s">
        <v>154</v>
      </c>
      <c r="C144" s="82" t="s">
        <v>172</v>
      </c>
      <c r="D144" s="82" t="s">
        <v>196</v>
      </c>
      <c r="E144" s="82" t="s">
        <v>309</v>
      </c>
      <c r="F144" s="82" t="s">
        <v>549</v>
      </c>
      <c r="G144" s="82" t="s">
        <v>137</v>
      </c>
      <c r="H144" s="82" t="s">
        <v>137</v>
      </c>
      <c r="I144" s="82" t="s">
        <v>66</v>
      </c>
      <c r="J144" s="82" t="s">
        <v>29</v>
      </c>
      <c r="K144" s="92" t="s">
        <v>137</v>
      </c>
      <c r="L144" s="92" t="s">
        <v>137</v>
      </c>
      <c r="M144" s="92" t="s">
        <v>137</v>
      </c>
      <c r="N144" s="92" t="s">
        <v>137</v>
      </c>
      <c r="O144" s="92" t="s">
        <v>137</v>
      </c>
      <c r="P144" s="92" t="s">
        <v>137</v>
      </c>
      <c r="Q144" s="82" t="s">
        <v>87</v>
      </c>
      <c r="R144" s="82" t="s">
        <v>714</v>
      </c>
      <c r="S144" s="82" t="s">
        <v>40</v>
      </c>
      <c r="T144" s="82" t="s">
        <v>2</v>
      </c>
      <c r="U144" s="83"/>
      <c r="V144" s="83">
        <v>0.05</v>
      </c>
      <c r="W144" s="83">
        <v>0.08</v>
      </c>
      <c r="X144" s="83">
        <v>0.15</v>
      </c>
      <c r="Y144" s="83">
        <v>0.2</v>
      </c>
      <c r="Z144" s="83">
        <v>0.25</v>
      </c>
      <c r="AA144" s="83">
        <v>0.37</v>
      </c>
      <c r="AB144" s="83">
        <v>0.42</v>
      </c>
      <c r="AC144" s="83">
        <v>0.57999999999999996</v>
      </c>
      <c r="AD144" s="83">
        <v>0.67</v>
      </c>
      <c r="AE144" s="83">
        <v>0.83</v>
      </c>
      <c r="AF144" s="83">
        <v>1</v>
      </c>
      <c r="AG144" s="82" t="s">
        <v>532</v>
      </c>
      <c r="AH144" s="82" t="s">
        <v>529</v>
      </c>
      <c r="AI144" s="88" t="s">
        <v>538</v>
      </c>
      <c r="AJ144" s="89" t="s">
        <v>538</v>
      </c>
      <c r="AK144" s="90">
        <v>46023</v>
      </c>
      <c r="AL144" s="90">
        <v>46387</v>
      </c>
      <c r="AM144" s="89"/>
      <c r="AN144" s="89"/>
      <c r="AO144" s="89"/>
      <c r="AP144" s="91" t="s">
        <v>539</v>
      </c>
      <c r="AQ144" s="90" cm="1">
        <f t="array" ref="AQ144">IFERROR(DATE(2026, _xlfn.AGGREGATE(15, 6, (COLUMN(BY144:CJ144)-COLUMN(BY144)+1)/(BY144:CJ144&lt;&gt;0), 1), 1),"N/A")</f>
        <v>46327</v>
      </c>
      <c r="AR144" s="90" cm="1">
        <f t="array" ref="AR144">IFERROR(EOMONTH(DATE(2026, _xlfn.AGGREGATE(14, 6, (COLUMN(BY144:CJ144)-COLUMN(BY144)+1)/(BY144:CJ144&lt;&gt;0), 1), 1), 0),"N/A")</f>
        <v>46356</v>
      </c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2" t="s">
        <v>633</v>
      </c>
      <c r="BF144" s="82" t="s">
        <v>765</v>
      </c>
      <c r="BG144" s="82" t="str">
        <f t="shared" si="12"/>
        <v>000</v>
      </c>
      <c r="BH144" s="88">
        <v>530702</v>
      </c>
      <c r="BI144" s="92" t="s">
        <v>74</v>
      </c>
      <c r="BJ144" s="93">
        <v>7000</v>
      </c>
      <c r="BK144" s="74">
        <v>0</v>
      </c>
      <c r="BL144" s="74">
        <v>0</v>
      </c>
      <c r="BM144" s="74">
        <v>0</v>
      </c>
      <c r="BN144" s="74">
        <v>0</v>
      </c>
      <c r="BO144" s="74">
        <v>0</v>
      </c>
      <c r="BP144" s="74">
        <v>0</v>
      </c>
      <c r="BQ144" s="74">
        <v>0</v>
      </c>
      <c r="BR144" s="74">
        <v>0</v>
      </c>
      <c r="BS144" s="74">
        <v>0</v>
      </c>
      <c r="BT144" s="74">
        <v>0</v>
      </c>
      <c r="BU144" s="94">
        <v>7000</v>
      </c>
      <c r="BV144" s="143">
        <v>0</v>
      </c>
      <c r="BW144" s="143"/>
      <c r="BX144" s="143">
        <f t="shared" si="17"/>
        <v>7000</v>
      </c>
      <c r="BY144" s="74">
        <v>0</v>
      </c>
      <c r="BZ144" s="74">
        <v>0</v>
      </c>
      <c r="CA144" s="74">
        <v>0</v>
      </c>
      <c r="CB144" s="74">
        <v>0</v>
      </c>
      <c r="CC144" s="74">
        <v>0</v>
      </c>
      <c r="CD144" s="74">
        <v>0</v>
      </c>
      <c r="CE144" s="74">
        <v>0</v>
      </c>
      <c r="CF144" s="74">
        <v>0</v>
      </c>
      <c r="CG144" s="74">
        <v>0</v>
      </c>
      <c r="CH144" s="74">
        <v>0</v>
      </c>
      <c r="CI144" s="94">
        <v>7000</v>
      </c>
      <c r="CJ144" s="143">
        <v>0</v>
      </c>
      <c r="CK144" s="143"/>
      <c r="CL144" s="142">
        <f t="shared" si="13"/>
        <v>0</v>
      </c>
      <c r="CM144" s="171">
        <v>0</v>
      </c>
      <c r="CN144" s="171">
        <v>0</v>
      </c>
      <c r="CO144" s="171">
        <v>0</v>
      </c>
      <c r="CP144" s="171">
        <v>0</v>
      </c>
      <c r="CQ144" s="171">
        <v>0</v>
      </c>
      <c r="CR144" s="171">
        <v>0</v>
      </c>
      <c r="CS144" s="171">
        <f t="shared" si="14"/>
        <v>0</v>
      </c>
      <c r="CT144" s="171">
        <f t="shared" si="15"/>
        <v>0</v>
      </c>
      <c r="CU144" s="171">
        <f t="shared" si="16"/>
        <v>0</v>
      </c>
      <c r="CV144" s="150">
        <v>7000</v>
      </c>
      <c r="CW144" s="150">
        <v>7000</v>
      </c>
      <c r="CX144" s="130">
        <v>3</v>
      </c>
      <c r="CY144" s="130">
        <v>3</v>
      </c>
      <c r="CZ144" s="130"/>
      <c r="DA144" s="130"/>
      <c r="DB144" s="130"/>
      <c r="DC144" s="130"/>
      <c r="DD144" s="130"/>
      <c r="DE144" s="131">
        <v>46274</v>
      </c>
      <c r="DF144" s="131">
        <v>46274</v>
      </c>
      <c r="DG144" s="132">
        <v>3</v>
      </c>
      <c r="DH144" s="131">
        <v>46275</v>
      </c>
      <c r="DI144" s="131">
        <v>46275</v>
      </c>
      <c r="DJ144" s="131">
        <v>46275</v>
      </c>
      <c r="DK144" s="131">
        <v>46276</v>
      </c>
      <c r="DL144" s="131">
        <v>46279</v>
      </c>
      <c r="DM144" s="131">
        <v>46280</v>
      </c>
      <c r="DN144" s="131">
        <v>46281</v>
      </c>
      <c r="DO144" s="131">
        <v>46282</v>
      </c>
      <c r="DP144" s="131">
        <v>46283</v>
      </c>
      <c r="DQ144" s="131">
        <v>46283</v>
      </c>
      <c r="DR144" s="132">
        <v>3</v>
      </c>
      <c r="DS144" s="131">
        <v>46286</v>
      </c>
      <c r="DT144" s="131">
        <v>46287</v>
      </c>
      <c r="DU144" s="131">
        <v>46288</v>
      </c>
      <c r="DV144" s="131">
        <v>46289</v>
      </c>
      <c r="DW144" s="131">
        <v>46289</v>
      </c>
      <c r="DX144" s="131">
        <v>46290</v>
      </c>
      <c r="DY144" s="131">
        <v>46290</v>
      </c>
      <c r="DZ144" s="132"/>
      <c r="EA144" s="132"/>
      <c r="EB144" s="132"/>
      <c r="EC144" s="132"/>
      <c r="ED144" s="131">
        <v>46293</v>
      </c>
      <c r="EE144" s="131">
        <v>46294</v>
      </c>
      <c r="EF144" s="131">
        <v>46294</v>
      </c>
      <c r="EG144" s="131"/>
      <c r="EH144" s="131"/>
      <c r="EI144" s="131"/>
      <c r="EJ144" s="131">
        <v>46294</v>
      </c>
      <c r="EK144" s="131">
        <v>46300</v>
      </c>
      <c r="EL144" s="132">
        <v>18</v>
      </c>
      <c r="EM144" s="133"/>
      <c r="EN144" s="133"/>
      <c r="EO144" s="133"/>
      <c r="EP144" s="133"/>
      <c r="EQ144" s="133"/>
      <c r="ER144" s="133"/>
      <c r="ES144" s="133"/>
      <c r="ET144" s="133"/>
      <c r="EU144" s="133"/>
      <c r="EV144" s="134"/>
      <c r="EW144" s="133">
        <v>46300</v>
      </c>
      <c r="EX144" s="133"/>
      <c r="EY144" s="135" t="s">
        <v>854</v>
      </c>
      <c r="EZ144" s="132" t="s">
        <v>855</v>
      </c>
      <c r="FA144" s="136"/>
      <c r="FB144" s="203">
        <v>46274</v>
      </c>
      <c r="FC144" s="203">
        <v>46274</v>
      </c>
      <c r="FD144" s="203">
        <v>46275</v>
      </c>
      <c r="FE144" s="203">
        <v>46275</v>
      </c>
      <c r="FF144" s="203">
        <v>46275</v>
      </c>
      <c r="FG144" s="203">
        <v>46276</v>
      </c>
      <c r="FH144" s="203">
        <v>46279</v>
      </c>
      <c r="FI144" s="203">
        <v>46280</v>
      </c>
      <c r="FJ144" s="203">
        <v>46281</v>
      </c>
      <c r="FK144" s="203">
        <v>46282</v>
      </c>
      <c r="FL144" s="203">
        <v>46283</v>
      </c>
      <c r="FM144" s="203">
        <v>46283</v>
      </c>
      <c r="FN144" s="203">
        <v>46286</v>
      </c>
      <c r="FO144" s="203">
        <v>46287</v>
      </c>
      <c r="FP144" s="203">
        <v>46288</v>
      </c>
      <c r="FQ144" s="203">
        <v>46289</v>
      </c>
      <c r="FR144" s="203">
        <v>46289</v>
      </c>
      <c r="FS144" s="203">
        <v>46290</v>
      </c>
      <c r="FT144" s="203">
        <v>46290</v>
      </c>
      <c r="FU144" s="203"/>
      <c r="FV144" s="203"/>
      <c r="FW144" s="203"/>
      <c r="FX144" s="203"/>
      <c r="FY144" s="203">
        <v>46293</v>
      </c>
      <c r="FZ144" s="203">
        <v>46294</v>
      </c>
      <c r="GA144" s="203">
        <v>46294</v>
      </c>
      <c r="GB144" s="203"/>
      <c r="GC144" s="203"/>
      <c r="GD144" s="203"/>
      <c r="GE144" s="203">
        <v>46294</v>
      </c>
      <c r="GF144" s="203">
        <v>46300</v>
      </c>
      <c r="GG144" s="203">
        <v>18</v>
      </c>
      <c r="GH144" s="203"/>
      <c r="GI144" s="203"/>
      <c r="GJ144" s="203"/>
      <c r="GK144" s="203"/>
      <c r="GL144" s="203"/>
      <c r="GM144" s="203"/>
      <c r="GN144" s="203"/>
      <c r="GO144" s="203"/>
      <c r="GP144" s="203"/>
      <c r="GQ144" s="203">
        <v>46300</v>
      </c>
      <c r="GR144" s="187"/>
      <c r="GS144" s="187" t="s">
        <v>1181</v>
      </c>
      <c r="GT144" s="187" t="s">
        <v>854</v>
      </c>
      <c r="GU144" s="187" t="s">
        <v>855</v>
      </c>
      <c r="GV144" s="187"/>
    </row>
    <row r="145" spans="1:204" s="68" customFormat="1" ht="14.45" customHeight="1" x14ac:dyDescent="0.25">
      <c r="A145" s="68" t="s">
        <v>692</v>
      </c>
      <c r="B145" s="82" t="s">
        <v>154</v>
      </c>
      <c r="C145" s="82" t="s">
        <v>172</v>
      </c>
      <c r="D145" s="82" t="s">
        <v>196</v>
      </c>
      <c r="E145" s="82" t="s">
        <v>309</v>
      </c>
      <c r="F145" s="82" t="s">
        <v>549</v>
      </c>
      <c r="G145" s="82" t="s">
        <v>137</v>
      </c>
      <c r="H145" s="82" t="s">
        <v>137</v>
      </c>
      <c r="I145" s="82" t="s">
        <v>66</v>
      </c>
      <c r="J145" s="82" t="s">
        <v>29</v>
      </c>
      <c r="K145" s="92" t="s">
        <v>137</v>
      </c>
      <c r="L145" s="92" t="s">
        <v>137</v>
      </c>
      <c r="M145" s="92" t="s">
        <v>137</v>
      </c>
      <c r="N145" s="92" t="s">
        <v>137</v>
      </c>
      <c r="O145" s="92" t="s">
        <v>137</v>
      </c>
      <c r="P145" s="92" t="s">
        <v>137</v>
      </c>
      <c r="Q145" s="82" t="s">
        <v>87</v>
      </c>
      <c r="R145" s="82" t="s">
        <v>714</v>
      </c>
      <c r="S145" s="82" t="s">
        <v>40</v>
      </c>
      <c r="T145" s="82" t="s">
        <v>2</v>
      </c>
      <c r="U145" s="83"/>
      <c r="V145" s="83">
        <v>0.05</v>
      </c>
      <c r="W145" s="83">
        <v>0.08</v>
      </c>
      <c r="X145" s="83">
        <v>0.15</v>
      </c>
      <c r="Y145" s="83">
        <v>0.2</v>
      </c>
      <c r="Z145" s="83">
        <v>0.25</v>
      </c>
      <c r="AA145" s="83">
        <v>0.37</v>
      </c>
      <c r="AB145" s="83">
        <v>0.42</v>
      </c>
      <c r="AC145" s="83">
        <v>0.57999999999999996</v>
      </c>
      <c r="AD145" s="83">
        <v>0.67</v>
      </c>
      <c r="AE145" s="83">
        <v>0.83</v>
      </c>
      <c r="AF145" s="83">
        <v>1</v>
      </c>
      <c r="AG145" s="82" t="s">
        <v>532</v>
      </c>
      <c r="AH145" s="82" t="s">
        <v>529</v>
      </c>
      <c r="AI145" s="88" t="s">
        <v>538</v>
      </c>
      <c r="AJ145" s="89" t="s">
        <v>538</v>
      </c>
      <c r="AK145" s="90">
        <v>46023</v>
      </c>
      <c r="AL145" s="90">
        <v>46387</v>
      </c>
      <c r="AM145" s="89"/>
      <c r="AN145" s="89"/>
      <c r="AO145" s="89"/>
      <c r="AP145" s="91" t="s">
        <v>539</v>
      </c>
      <c r="AQ145" s="90" cm="1">
        <f t="array" ref="AQ145">IFERROR(DATE(2026, _xlfn.AGGREGATE(15, 6, (COLUMN(BY145:CJ145)-COLUMN(BY145)+1)/(BY145:CJ145&lt;&gt;0), 1), 1),"N/A")</f>
        <v>46357</v>
      </c>
      <c r="AR145" s="90" cm="1">
        <f t="array" ref="AR145">IFERROR(EOMONTH(DATE(2026, _xlfn.AGGREGATE(14, 6, (COLUMN(BY145:CJ145)-COLUMN(BY145)+1)/(BY145:CJ145&lt;&gt;0), 1), 1), 0),"N/A")</f>
        <v>46387</v>
      </c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2" t="s">
        <v>597</v>
      </c>
      <c r="BF145" s="82" t="s">
        <v>970</v>
      </c>
      <c r="BG145" s="82" t="str">
        <f t="shared" si="12"/>
        <v>000</v>
      </c>
      <c r="BH145" s="88">
        <v>570102</v>
      </c>
      <c r="BI145" s="92" t="s">
        <v>74</v>
      </c>
      <c r="BJ145" s="93">
        <v>2000</v>
      </c>
      <c r="BK145" s="74">
        <v>0</v>
      </c>
      <c r="BL145" s="74">
        <v>0</v>
      </c>
      <c r="BM145" s="74">
        <v>0</v>
      </c>
      <c r="BN145" s="74">
        <v>0</v>
      </c>
      <c r="BO145" s="74">
        <v>0</v>
      </c>
      <c r="BP145" s="74">
        <v>0</v>
      </c>
      <c r="BQ145" s="74">
        <v>0</v>
      </c>
      <c r="BR145" s="74">
        <v>0</v>
      </c>
      <c r="BS145" s="74">
        <v>0</v>
      </c>
      <c r="BT145" s="74">
        <v>0</v>
      </c>
      <c r="BU145" s="74">
        <v>0</v>
      </c>
      <c r="BV145" s="142">
        <v>2000</v>
      </c>
      <c r="BW145" s="142"/>
      <c r="BX145" s="143">
        <f t="shared" si="17"/>
        <v>2000</v>
      </c>
      <c r="BY145" s="74">
        <v>0</v>
      </c>
      <c r="BZ145" s="74">
        <v>0</v>
      </c>
      <c r="CA145" s="74">
        <v>0</v>
      </c>
      <c r="CB145" s="74">
        <v>0</v>
      </c>
      <c r="CC145" s="74">
        <v>0</v>
      </c>
      <c r="CD145" s="74">
        <v>0</v>
      </c>
      <c r="CE145" s="74">
        <v>0</v>
      </c>
      <c r="CF145" s="74">
        <v>0</v>
      </c>
      <c r="CG145" s="74">
        <v>0</v>
      </c>
      <c r="CH145" s="74">
        <v>0</v>
      </c>
      <c r="CI145" s="74">
        <v>0</v>
      </c>
      <c r="CJ145" s="142">
        <v>2000</v>
      </c>
      <c r="CK145" s="142"/>
      <c r="CL145" s="142">
        <f t="shared" si="13"/>
        <v>0</v>
      </c>
      <c r="CM145" s="171">
        <v>0</v>
      </c>
      <c r="CN145" s="171">
        <v>0</v>
      </c>
      <c r="CO145" s="171">
        <v>0</v>
      </c>
      <c r="CP145" s="171">
        <v>0</v>
      </c>
      <c r="CQ145" s="171">
        <v>0</v>
      </c>
      <c r="CR145" s="171">
        <v>0</v>
      </c>
      <c r="CS145" s="171">
        <f t="shared" si="14"/>
        <v>0</v>
      </c>
      <c r="CT145" s="171">
        <f t="shared" si="15"/>
        <v>0</v>
      </c>
      <c r="CU145" s="171">
        <f t="shared" si="16"/>
        <v>0</v>
      </c>
      <c r="CV145" s="149"/>
      <c r="CW145" s="149"/>
      <c r="CX145" s="130"/>
      <c r="CY145" s="130"/>
      <c r="CZ145" s="130"/>
      <c r="DA145" s="130"/>
      <c r="DB145" s="130"/>
      <c r="DC145" s="130"/>
      <c r="DD145" s="130"/>
      <c r="DE145" s="130"/>
      <c r="DF145" s="130"/>
      <c r="DG145" s="130"/>
      <c r="DH145" s="130"/>
      <c r="DI145" s="130"/>
      <c r="DJ145" s="130"/>
      <c r="DK145" s="130"/>
      <c r="DL145" s="130"/>
      <c r="DM145" s="130"/>
      <c r="DN145" s="130"/>
      <c r="DO145" s="130"/>
      <c r="DP145" s="130"/>
      <c r="DQ145" s="130"/>
      <c r="DR145" s="130"/>
      <c r="DS145" s="130"/>
      <c r="DT145" s="130"/>
      <c r="DU145" s="130"/>
      <c r="DV145" s="130"/>
      <c r="DW145" s="130"/>
      <c r="DX145" s="130"/>
      <c r="DY145" s="130"/>
      <c r="DZ145" s="130"/>
      <c r="EA145" s="130"/>
      <c r="EB145" s="130"/>
      <c r="EC145" s="130"/>
      <c r="ED145" s="130"/>
      <c r="EE145" s="130"/>
      <c r="EF145" s="130"/>
      <c r="EG145" s="130"/>
      <c r="EH145" s="130"/>
      <c r="EI145" s="130"/>
      <c r="EJ145" s="130"/>
      <c r="EK145" s="130"/>
      <c r="EL145" s="130"/>
      <c r="EM145" s="130"/>
      <c r="EN145" s="130"/>
      <c r="EO145" s="130"/>
      <c r="EP145" s="130"/>
      <c r="EQ145" s="130"/>
      <c r="ER145" s="130"/>
      <c r="ES145" s="130"/>
      <c r="ET145" s="130"/>
      <c r="EU145" s="130"/>
      <c r="EV145" s="130"/>
      <c r="EW145" s="130"/>
      <c r="EX145" s="130"/>
      <c r="EY145" s="130"/>
      <c r="EZ145" s="130"/>
      <c r="FA145" s="130"/>
      <c r="FB145" s="201"/>
      <c r="FC145" s="201"/>
      <c r="FD145" s="201"/>
      <c r="FE145" s="201"/>
      <c r="FF145" s="201"/>
      <c r="FG145" s="201"/>
      <c r="FH145" s="201"/>
      <c r="FI145" s="201"/>
      <c r="FJ145" s="201"/>
      <c r="FK145" s="201"/>
      <c r="FL145" s="201"/>
      <c r="FM145" s="201"/>
      <c r="FN145" s="201"/>
      <c r="FO145" s="201"/>
      <c r="FP145" s="201"/>
      <c r="FQ145" s="201"/>
      <c r="FR145" s="201"/>
      <c r="FS145" s="201"/>
      <c r="FT145" s="201"/>
      <c r="FU145" s="201"/>
      <c r="FV145" s="201"/>
      <c r="FW145" s="201"/>
      <c r="FX145" s="201"/>
      <c r="FY145" s="201"/>
      <c r="FZ145" s="201"/>
      <c r="GA145" s="201"/>
      <c r="GB145" s="201"/>
      <c r="GC145" s="201"/>
      <c r="GD145" s="201"/>
      <c r="GE145" s="201"/>
      <c r="GF145" s="201"/>
      <c r="GG145" s="201"/>
      <c r="GH145" s="201"/>
      <c r="GI145" s="201"/>
      <c r="GJ145" s="201"/>
      <c r="GK145" s="201"/>
      <c r="GL145" s="201"/>
      <c r="GM145" s="201"/>
      <c r="GN145" s="201"/>
      <c r="GO145" s="201"/>
      <c r="GP145" s="201"/>
      <c r="GQ145" s="201"/>
    </row>
    <row r="146" spans="1:204" s="68" customFormat="1" ht="14.45" customHeight="1" x14ac:dyDescent="0.25">
      <c r="A146" s="68" t="s">
        <v>697</v>
      </c>
      <c r="B146" s="82" t="s">
        <v>154</v>
      </c>
      <c r="C146" s="82" t="s">
        <v>172</v>
      </c>
      <c r="D146" s="95" t="s">
        <v>196</v>
      </c>
      <c r="E146" s="82" t="s">
        <v>309</v>
      </c>
      <c r="F146" s="82" t="s">
        <v>549</v>
      </c>
      <c r="G146" s="82" t="s">
        <v>137</v>
      </c>
      <c r="H146" s="82" t="s">
        <v>137</v>
      </c>
      <c r="I146" s="82" t="s">
        <v>66</v>
      </c>
      <c r="J146" s="82" t="s">
        <v>531</v>
      </c>
      <c r="K146" s="92" t="s">
        <v>137</v>
      </c>
      <c r="L146" s="92" t="s">
        <v>137</v>
      </c>
      <c r="M146" s="92" t="s">
        <v>137</v>
      </c>
      <c r="N146" s="92" t="s">
        <v>137</v>
      </c>
      <c r="O146" s="92" t="s">
        <v>137</v>
      </c>
      <c r="P146" s="92" t="s">
        <v>137</v>
      </c>
      <c r="Q146" s="82" t="s">
        <v>552</v>
      </c>
      <c r="R146" s="82" t="s">
        <v>715</v>
      </c>
      <c r="S146" s="82" t="s">
        <v>555</v>
      </c>
      <c r="T146" s="82" t="s">
        <v>320</v>
      </c>
      <c r="U146" s="83">
        <v>0.95</v>
      </c>
      <c r="V146" s="83">
        <v>0.95</v>
      </c>
      <c r="W146" s="83">
        <v>0.95</v>
      </c>
      <c r="X146" s="83">
        <v>0.95</v>
      </c>
      <c r="Y146" s="83">
        <v>0.95</v>
      </c>
      <c r="Z146" s="83">
        <v>0.95</v>
      </c>
      <c r="AA146" s="83">
        <v>0.95</v>
      </c>
      <c r="AB146" s="83">
        <v>0.95</v>
      </c>
      <c r="AC146" s="83">
        <v>0.95</v>
      </c>
      <c r="AD146" s="83">
        <v>0.95</v>
      </c>
      <c r="AE146" s="83">
        <v>0.95</v>
      </c>
      <c r="AF146" s="83">
        <v>0.95</v>
      </c>
      <c r="AG146" s="82" t="s">
        <v>779</v>
      </c>
      <c r="AH146" s="82" t="s">
        <v>530</v>
      </c>
      <c r="AI146" s="88" t="s">
        <v>538</v>
      </c>
      <c r="AJ146" s="89" t="s">
        <v>538</v>
      </c>
      <c r="AK146" s="90">
        <v>46023</v>
      </c>
      <c r="AL146" s="90">
        <v>46387</v>
      </c>
      <c r="AM146" s="89"/>
      <c r="AN146" s="89"/>
      <c r="AO146" s="89"/>
      <c r="AP146" s="91" t="s">
        <v>542</v>
      </c>
      <c r="AQ146" s="90" cm="1">
        <f t="array" ref="AQ146">IFERROR(DATE(2026, _xlfn.AGGREGATE(15, 6, (COLUMN(BY146:CJ146)-COLUMN(BY146)+1)/(BY146:CJ146&lt;&gt;0), 1), 1),"N/A")</f>
        <v>46082</v>
      </c>
      <c r="AR146" s="90" cm="1">
        <f t="array" ref="AR146">IFERROR(EOMONTH(DATE(2026, _xlfn.AGGREGATE(14, 6, (COLUMN(BY146:CJ146)-COLUMN(BY146)+1)/(BY146:CJ146&lt;&gt;0), 1), 1), 0),"N/A")</f>
        <v>46203</v>
      </c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2" t="s">
        <v>642</v>
      </c>
      <c r="BF146" s="82" t="s">
        <v>740</v>
      </c>
      <c r="BG146" s="82" t="str">
        <f t="shared" si="12"/>
        <v>000</v>
      </c>
      <c r="BH146" s="88">
        <v>530207</v>
      </c>
      <c r="BI146" s="92" t="s">
        <v>74</v>
      </c>
      <c r="BJ146" s="93">
        <v>100000</v>
      </c>
      <c r="BK146" s="74">
        <v>0</v>
      </c>
      <c r="BL146" s="74">
        <v>0</v>
      </c>
      <c r="BM146" s="94">
        <v>20000</v>
      </c>
      <c r="BN146" s="74">
        <v>0</v>
      </c>
      <c r="BO146" s="94">
        <v>50000</v>
      </c>
      <c r="BP146" s="94">
        <v>30000</v>
      </c>
      <c r="BQ146" s="74">
        <v>0</v>
      </c>
      <c r="BR146" s="74">
        <v>0</v>
      </c>
      <c r="BS146" s="74">
        <v>0</v>
      </c>
      <c r="BT146" s="74">
        <v>0</v>
      </c>
      <c r="BU146" s="74">
        <v>0</v>
      </c>
      <c r="BV146" s="143">
        <v>0</v>
      </c>
      <c r="BW146" s="143"/>
      <c r="BX146" s="143">
        <f t="shared" si="17"/>
        <v>100000</v>
      </c>
      <c r="BY146" s="74">
        <v>0</v>
      </c>
      <c r="BZ146" s="74">
        <v>0</v>
      </c>
      <c r="CA146" s="94">
        <v>20000</v>
      </c>
      <c r="CB146" s="74">
        <v>0</v>
      </c>
      <c r="CC146" s="94">
        <v>50000</v>
      </c>
      <c r="CD146" s="94">
        <v>30000</v>
      </c>
      <c r="CE146" s="74">
        <v>0</v>
      </c>
      <c r="CF146" s="74">
        <v>0</v>
      </c>
      <c r="CG146" s="74">
        <v>0</v>
      </c>
      <c r="CH146" s="74">
        <v>0</v>
      </c>
      <c r="CI146" s="74">
        <v>0</v>
      </c>
      <c r="CJ146" s="143">
        <v>0</v>
      </c>
      <c r="CK146" s="143"/>
      <c r="CL146" s="142">
        <f t="shared" si="13"/>
        <v>0</v>
      </c>
      <c r="CM146" s="171">
        <v>0</v>
      </c>
      <c r="CN146" s="171">
        <v>100000</v>
      </c>
      <c r="CO146" s="171">
        <v>0</v>
      </c>
      <c r="CP146" s="171">
        <v>0</v>
      </c>
      <c r="CQ146" s="171">
        <v>100000</v>
      </c>
      <c r="CR146" s="171">
        <v>0</v>
      </c>
      <c r="CS146" s="171">
        <f t="shared" si="14"/>
        <v>0</v>
      </c>
      <c r="CT146" s="171">
        <f t="shared" si="15"/>
        <v>200000</v>
      </c>
      <c r="CU146" s="171">
        <f t="shared" si="16"/>
        <v>0</v>
      </c>
      <c r="CV146" s="149"/>
      <c r="CW146" s="149"/>
      <c r="CX146" s="130"/>
      <c r="CY146" s="130"/>
      <c r="CZ146" s="130"/>
      <c r="DA146" s="130"/>
      <c r="DB146" s="130"/>
      <c r="DC146" s="130"/>
      <c r="DD146" s="130" t="s">
        <v>848</v>
      </c>
      <c r="DE146" s="130"/>
      <c r="DF146" s="130"/>
      <c r="DG146" s="130"/>
      <c r="DH146" s="130"/>
      <c r="DI146" s="130"/>
      <c r="DJ146" s="130"/>
      <c r="DK146" s="130"/>
      <c r="DL146" s="130"/>
      <c r="DM146" s="130"/>
      <c r="DN146" s="130"/>
      <c r="DO146" s="130"/>
      <c r="DP146" s="130"/>
      <c r="DQ146" s="130"/>
      <c r="DR146" s="130"/>
      <c r="DS146" s="130"/>
      <c r="DT146" s="130"/>
      <c r="DU146" s="130"/>
      <c r="DV146" s="130"/>
      <c r="DW146" s="130"/>
      <c r="DX146" s="130"/>
      <c r="DY146" s="130"/>
      <c r="DZ146" s="130"/>
      <c r="EA146" s="130"/>
      <c r="EB146" s="130"/>
      <c r="EC146" s="130"/>
      <c r="ED146" s="130"/>
      <c r="EE146" s="130"/>
      <c r="EF146" s="130"/>
      <c r="EG146" s="130"/>
      <c r="EH146" s="130"/>
      <c r="EI146" s="130"/>
      <c r="EJ146" s="130"/>
      <c r="EK146" s="130"/>
      <c r="EL146" s="130"/>
      <c r="EM146" s="130"/>
      <c r="EN146" s="130"/>
      <c r="EO146" s="130"/>
      <c r="EP146" s="130"/>
      <c r="EQ146" s="130"/>
      <c r="ER146" s="130"/>
      <c r="ES146" s="130"/>
      <c r="ET146" s="130"/>
      <c r="EU146" s="130"/>
      <c r="EV146" s="130"/>
      <c r="EW146" s="130"/>
      <c r="EX146" s="130"/>
      <c r="EY146" s="130"/>
      <c r="EZ146" s="130"/>
      <c r="FA146" s="130"/>
      <c r="FB146" s="201"/>
      <c r="FC146" s="201"/>
      <c r="FD146" s="201"/>
      <c r="FE146" s="201"/>
      <c r="FF146" s="201"/>
      <c r="FG146" s="201"/>
      <c r="FH146" s="201"/>
      <c r="FI146" s="201"/>
      <c r="FJ146" s="201"/>
      <c r="FK146" s="201"/>
      <c r="FL146" s="201"/>
      <c r="FM146" s="201"/>
      <c r="FN146" s="201"/>
      <c r="FO146" s="201"/>
      <c r="FP146" s="201"/>
      <c r="FQ146" s="201"/>
      <c r="FR146" s="201"/>
      <c r="FS146" s="201"/>
      <c r="FT146" s="201"/>
      <c r="FU146" s="201"/>
      <c r="FV146" s="201"/>
      <c r="FW146" s="201"/>
      <c r="FX146" s="201"/>
      <c r="FY146" s="201"/>
      <c r="FZ146" s="201"/>
      <c r="GA146" s="201"/>
      <c r="GB146" s="201"/>
      <c r="GC146" s="201"/>
      <c r="GD146" s="201"/>
      <c r="GE146" s="201"/>
      <c r="GF146" s="201"/>
      <c r="GG146" s="201"/>
      <c r="GH146" s="201"/>
      <c r="GI146" s="201"/>
      <c r="GJ146" s="201"/>
      <c r="GK146" s="201"/>
      <c r="GL146" s="201"/>
      <c r="GM146" s="201"/>
      <c r="GN146" s="201"/>
      <c r="GO146" s="201"/>
      <c r="GP146" s="201"/>
      <c r="GQ146" s="201"/>
    </row>
    <row r="147" spans="1:204" s="68" customFormat="1" ht="14.45" customHeight="1" x14ac:dyDescent="0.25">
      <c r="A147" s="68" t="s">
        <v>695</v>
      </c>
      <c r="B147" s="82" t="s">
        <v>154</v>
      </c>
      <c r="C147" s="82" t="s">
        <v>172</v>
      </c>
      <c r="D147" s="95" t="s">
        <v>196</v>
      </c>
      <c r="E147" s="82" t="s">
        <v>309</v>
      </c>
      <c r="F147" s="82" t="s">
        <v>549</v>
      </c>
      <c r="G147" s="82" t="s">
        <v>137</v>
      </c>
      <c r="H147" s="82" t="s">
        <v>137</v>
      </c>
      <c r="I147" s="82" t="s">
        <v>66</v>
      </c>
      <c r="J147" s="82" t="s">
        <v>531</v>
      </c>
      <c r="K147" s="92" t="s">
        <v>137</v>
      </c>
      <c r="L147" s="92" t="s">
        <v>137</v>
      </c>
      <c r="M147" s="92" t="s">
        <v>137</v>
      </c>
      <c r="N147" s="92" t="s">
        <v>137</v>
      </c>
      <c r="O147" s="92" t="s">
        <v>137</v>
      </c>
      <c r="P147" s="92" t="s">
        <v>137</v>
      </c>
      <c r="Q147" s="82" t="s">
        <v>552</v>
      </c>
      <c r="R147" s="82" t="s">
        <v>715</v>
      </c>
      <c r="S147" s="82" t="s">
        <v>555</v>
      </c>
      <c r="T147" s="82" t="s">
        <v>320</v>
      </c>
      <c r="U147" s="83">
        <v>0.95</v>
      </c>
      <c r="V147" s="83">
        <v>0.95</v>
      </c>
      <c r="W147" s="83">
        <v>0.95</v>
      </c>
      <c r="X147" s="83">
        <v>0.95</v>
      </c>
      <c r="Y147" s="83">
        <v>0.95</v>
      </c>
      <c r="Z147" s="83">
        <v>0.95</v>
      </c>
      <c r="AA147" s="83">
        <v>0.95</v>
      </c>
      <c r="AB147" s="83">
        <v>0.95</v>
      </c>
      <c r="AC147" s="83">
        <v>0.95</v>
      </c>
      <c r="AD147" s="83">
        <v>0.95</v>
      </c>
      <c r="AE147" s="83">
        <v>0.95</v>
      </c>
      <c r="AF147" s="83">
        <v>0.95</v>
      </c>
      <c r="AG147" s="82" t="s">
        <v>779</v>
      </c>
      <c r="AH147" s="82" t="s">
        <v>530</v>
      </c>
      <c r="AI147" s="88" t="s">
        <v>538</v>
      </c>
      <c r="AJ147" s="89" t="s">
        <v>538</v>
      </c>
      <c r="AK147" s="90">
        <v>46023</v>
      </c>
      <c r="AL147" s="90">
        <v>46387</v>
      </c>
      <c r="AM147" s="89"/>
      <c r="AN147" s="89"/>
      <c r="AO147" s="89"/>
      <c r="AP147" s="91" t="s">
        <v>542</v>
      </c>
      <c r="AQ147" s="90" cm="1">
        <f t="array" ref="AQ147">IFERROR(DATE(2026, _xlfn.AGGREGATE(15, 6, (COLUMN(BY147:CJ147)-COLUMN(BY147)+1)/(BY147:CJ147&lt;&gt;0), 1), 1),"N/A")</f>
        <v>46082</v>
      </c>
      <c r="AR147" s="90" cm="1">
        <f t="array" ref="AR147">IFERROR(EOMONTH(DATE(2026, _xlfn.AGGREGATE(14, 6, (COLUMN(BY147:CJ147)-COLUMN(BY147)+1)/(BY147:CJ147&lt;&gt;0), 1), 1), 0),"N/A")</f>
        <v>46142</v>
      </c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2" t="s">
        <v>642</v>
      </c>
      <c r="BF147" s="82" t="s">
        <v>741</v>
      </c>
      <c r="BG147" s="82" t="str">
        <f t="shared" si="12"/>
        <v>000</v>
      </c>
      <c r="BH147" s="88">
        <v>530207</v>
      </c>
      <c r="BI147" s="92" t="s">
        <v>74</v>
      </c>
      <c r="BJ147" s="93">
        <v>10000</v>
      </c>
      <c r="BK147" s="74">
        <v>0</v>
      </c>
      <c r="BL147" s="74">
        <v>0</v>
      </c>
      <c r="BM147" s="94">
        <v>5000</v>
      </c>
      <c r="BN147" s="72">
        <v>5000</v>
      </c>
      <c r="BO147" s="74">
        <v>0</v>
      </c>
      <c r="BP147" s="74">
        <v>0</v>
      </c>
      <c r="BQ147" s="74">
        <v>0</v>
      </c>
      <c r="BR147" s="74">
        <v>0</v>
      </c>
      <c r="BS147" s="74">
        <v>0</v>
      </c>
      <c r="BT147" s="74">
        <v>0</v>
      </c>
      <c r="BU147" s="74">
        <v>0</v>
      </c>
      <c r="BV147" s="143">
        <v>0</v>
      </c>
      <c r="BW147" s="143"/>
      <c r="BX147" s="143">
        <f t="shared" si="17"/>
        <v>10000</v>
      </c>
      <c r="BY147" s="74">
        <v>0</v>
      </c>
      <c r="BZ147" s="74">
        <v>0</v>
      </c>
      <c r="CA147" s="94">
        <v>5000</v>
      </c>
      <c r="CB147" s="72">
        <v>5000</v>
      </c>
      <c r="CC147" s="74">
        <v>0</v>
      </c>
      <c r="CD147" s="74">
        <v>0</v>
      </c>
      <c r="CE147" s="74">
        <v>0</v>
      </c>
      <c r="CF147" s="74">
        <v>0</v>
      </c>
      <c r="CG147" s="74">
        <v>0</v>
      </c>
      <c r="CH147" s="74">
        <v>0</v>
      </c>
      <c r="CI147" s="74">
        <v>0</v>
      </c>
      <c r="CJ147" s="143">
        <v>0</v>
      </c>
      <c r="CK147" s="143"/>
      <c r="CL147" s="142">
        <f t="shared" si="13"/>
        <v>0</v>
      </c>
      <c r="CM147" s="171">
        <v>0</v>
      </c>
      <c r="CN147" s="171">
        <v>10000</v>
      </c>
      <c r="CO147" s="171">
        <v>0</v>
      </c>
      <c r="CP147" s="171">
        <v>0</v>
      </c>
      <c r="CQ147" s="171">
        <v>10000</v>
      </c>
      <c r="CR147" s="171">
        <v>0</v>
      </c>
      <c r="CS147" s="171">
        <f t="shared" si="14"/>
        <v>0</v>
      </c>
      <c r="CT147" s="171">
        <f t="shared" si="15"/>
        <v>20000</v>
      </c>
      <c r="CU147" s="171">
        <f t="shared" si="16"/>
        <v>0</v>
      </c>
      <c r="CV147" s="149"/>
      <c r="CW147" s="149"/>
      <c r="CX147" s="130"/>
      <c r="CY147" s="130"/>
      <c r="CZ147" s="130"/>
      <c r="DA147" s="130"/>
      <c r="DB147" s="130"/>
      <c r="DC147" s="130"/>
      <c r="DD147" s="130" t="s">
        <v>848</v>
      </c>
      <c r="DE147" s="130"/>
      <c r="DF147" s="130"/>
      <c r="DG147" s="130"/>
      <c r="DH147" s="130"/>
      <c r="DI147" s="130"/>
      <c r="DJ147" s="130"/>
      <c r="DK147" s="130"/>
      <c r="DL147" s="130"/>
      <c r="DM147" s="130"/>
      <c r="DN147" s="130"/>
      <c r="DO147" s="130"/>
      <c r="DP147" s="130"/>
      <c r="DQ147" s="130"/>
      <c r="DR147" s="130"/>
      <c r="DS147" s="130"/>
      <c r="DT147" s="130"/>
      <c r="DU147" s="130"/>
      <c r="DV147" s="130"/>
      <c r="DW147" s="130"/>
      <c r="DX147" s="130"/>
      <c r="DY147" s="130"/>
      <c r="DZ147" s="130"/>
      <c r="EA147" s="130"/>
      <c r="EB147" s="130"/>
      <c r="EC147" s="130"/>
      <c r="ED147" s="130"/>
      <c r="EE147" s="130"/>
      <c r="EF147" s="130"/>
      <c r="EG147" s="130"/>
      <c r="EH147" s="130"/>
      <c r="EI147" s="130"/>
      <c r="EJ147" s="130"/>
      <c r="EK147" s="130"/>
      <c r="EL147" s="130"/>
      <c r="EM147" s="130"/>
      <c r="EN147" s="130"/>
      <c r="EO147" s="130"/>
      <c r="EP147" s="130"/>
      <c r="EQ147" s="130"/>
      <c r="ER147" s="130"/>
      <c r="ES147" s="130"/>
      <c r="ET147" s="130"/>
      <c r="EU147" s="130"/>
      <c r="EV147" s="130"/>
      <c r="EW147" s="130"/>
      <c r="EX147" s="130"/>
      <c r="EY147" s="130"/>
      <c r="EZ147" s="130"/>
      <c r="FA147" s="130"/>
      <c r="FB147" s="201"/>
      <c r="FC147" s="201"/>
      <c r="FD147" s="201"/>
      <c r="FE147" s="201"/>
      <c r="FF147" s="201"/>
      <c r="FG147" s="201"/>
      <c r="FH147" s="201"/>
      <c r="FI147" s="201"/>
      <c r="FJ147" s="201"/>
      <c r="FK147" s="201"/>
      <c r="FL147" s="201"/>
      <c r="FM147" s="201"/>
      <c r="FN147" s="201"/>
      <c r="FO147" s="201"/>
      <c r="FP147" s="201"/>
      <c r="FQ147" s="201"/>
      <c r="FR147" s="201"/>
      <c r="FS147" s="201"/>
      <c r="FT147" s="201"/>
      <c r="FU147" s="201"/>
      <c r="FV147" s="201"/>
      <c r="FW147" s="201"/>
      <c r="FX147" s="201"/>
      <c r="FY147" s="201"/>
      <c r="FZ147" s="201"/>
      <c r="GA147" s="201"/>
      <c r="GB147" s="201"/>
      <c r="GC147" s="201"/>
      <c r="GD147" s="201"/>
      <c r="GE147" s="201"/>
      <c r="GF147" s="201"/>
      <c r="GG147" s="201"/>
      <c r="GH147" s="201"/>
      <c r="GI147" s="201"/>
      <c r="GJ147" s="201"/>
      <c r="GK147" s="201"/>
      <c r="GL147" s="201"/>
      <c r="GM147" s="201"/>
      <c r="GN147" s="201"/>
      <c r="GO147" s="201"/>
      <c r="GP147" s="201"/>
      <c r="GQ147" s="201"/>
    </row>
    <row r="148" spans="1:204" s="68" customFormat="1" ht="15" customHeight="1" x14ac:dyDescent="0.25">
      <c r="A148" s="68" t="s">
        <v>697</v>
      </c>
      <c r="B148" s="82" t="s">
        <v>154</v>
      </c>
      <c r="C148" s="82" t="s">
        <v>172</v>
      </c>
      <c r="D148" s="95" t="s">
        <v>196</v>
      </c>
      <c r="E148" s="82" t="s">
        <v>309</v>
      </c>
      <c r="F148" s="82" t="s">
        <v>549</v>
      </c>
      <c r="G148" s="82" t="s">
        <v>137</v>
      </c>
      <c r="H148" s="82" t="s">
        <v>137</v>
      </c>
      <c r="I148" s="82" t="s">
        <v>66</v>
      </c>
      <c r="J148" s="82" t="s">
        <v>531</v>
      </c>
      <c r="K148" s="92" t="s">
        <v>137</v>
      </c>
      <c r="L148" s="92" t="s">
        <v>137</v>
      </c>
      <c r="M148" s="92" t="s">
        <v>137</v>
      </c>
      <c r="N148" s="92" t="s">
        <v>137</v>
      </c>
      <c r="O148" s="92" t="s">
        <v>137</v>
      </c>
      <c r="P148" s="92" t="s">
        <v>137</v>
      </c>
      <c r="Q148" s="82" t="s">
        <v>552</v>
      </c>
      <c r="R148" s="82" t="s">
        <v>715</v>
      </c>
      <c r="S148" s="82" t="s">
        <v>555</v>
      </c>
      <c r="T148" s="82" t="s">
        <v>320</v>
      </c>
      <c r="U148" s="83">
        <v>0.95</v>
      </c>
      <c r="V148" s="83">
        <v>0.95</v>
      </c>
      <c r="W148" s="83">
        <v>0.95</v>
      </c>
      <c r="X148" s="83">
        <v>0.95</v>
      </c>
      <c r="Y148" s="83">
        <v>0.95</v>
      </c>
      <c r="Z148" s="83">
        <v>0.95</v>
      </c>
      <c r="AA148" s="83">
        <v>0.95</v>
      </c>
      <c r="AB148" s="83">
        <v>0.95</v>
      </c>
      <c r="AC148" s="83">
        <v>0.95</v>
      </c>
      <c r="AD148" s="83">
        <v>0.95</v>
      </c>
      <c r="AE148" s="83">
        <v>0.95</v>
      </c>
      <c r="AF148" s="83">
        <v>0.95</v>
      </c>
      <c r="AG148" s="82" t="s">
        <v>533</v>
      </c>
      <c r="AH148" s="82" t="s">
        <v>529</v>
      </c>
      <c r="AI148" s="88" t="s">
        <v>538</v>
      </c>
      <c r="AJ148" s="89" t="s">
        <v>538</v>
      </c>
      <c r="AK148" s="90">
        <v>46023</v>
      </c>
      <c r="AL148" s="90">
        <v>46387</v>
      </c>
      <c r="AM148" s="89"/>
      <c r="AN148" s="89"/>
      <c r="AO148" s="89"/>
      <c r="AP148" s="91" t="s">
        <v>542</v>
      </c>
      <c r="AQ148" s="90" t="str" cm="1">
        <f t="array" ref="AQ148">IFERROR(DATE(2026, _xlfn.AGGREGATE(15, 6, (COLUMN(BY148:CJ148)-COLUMN(BY148)+1)/(BY148:CJ148&lt;&gt;0), 1), 1),"N/A")</f>
        <v>N/A</v>
      </c>
      <c r="AR148" s="90" t="str" cm="1">
        <f t="array" ref="AR148">IFERROR(EOMONTH(DATE(2026, _xlfn.AGGREGATE(14, 6, (COLUMN(BY148:CJ148)-COLUMN(BY148)+1)/(BY148:CJ148&lt;&gt;0), 1), 1), 0),"N/A")</f>
        <v>N/A</v>
      </c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2" t="s">
        <v>677</v>
      </c>
      <c r="BF148" s="82" t="s">
        <v>1046</v>
      </c>
      <c r="BG148" s="82" t="str">
        <f t="shared" si="12"/>
        <v>002</v>
      </c>
      <c r="BH148" s="88">
        <v>630207</v>
      </c>
      <c r="BI148" s="92" t="s">
        <v>74</v>
      </c>
      <c r="BJ148" s="93">
        <f>80000-12500</f>
        <v>67500</v>
      </c>
      <c r="BK148" s="74">
        <v>0</v>
      </c>
      <c r="BL148" s="74">
        <v>0</v>
      </c>
      <c r="BM148" s="74">
        <v>0</v>
      </c>
      <c r="BN148" s="74">
        <v>0</v>
      </c>
      <c r="BO148" s="74">
        <v>0</v>
      </c>
      <c r="BP148" s="74">
        <v>0</v>
      </c>
      <c r="BQ148" s="74">
        <v>0</v>
      </c>
      <c r="BR148" s="94">
        <v>0</v>
      </c>
      <c r="BS148" s="94">
        <v>27500</v>
      </c>
      <c r="BT148" s="74">
        <v>0</v>
      </c>
      <c r="BU148" s="74">
        <v>0</v>
      </c>
      <c r="BV148" s="142">
        <v>40000</v>
      </c>
      <c r="BW148" s="142">
        <v>-67500</v>
      </c>
      <c r="BX148" s="143">
        <f t="shared" si="17"/>
        <v>0</v>
      </c>
      <c r="BY148" s="74">
        <v>0</v>
      </c>
      <c r="BZ148" s="74">
        <v>0</v>
      </c>
      <c r="CA148" s="74">
        <v>0</v>
      </c>
      <c r="CB148" s="74">
        <v>0</v>
      </c>
      <c r="CC148" s="74">
        <v>0</v>
      </c>
      <c r="CD148" s="74">
        <v>0</v>
      </c>
      <c r="CE148" s="74">
        <v>0</v>
      </c>
      <c r="CF148" s="94"/>
      <c r="CG148" s="94"/>
      <c r="CH148" s="74"/>
      <c r="CI148" s="74"/>
      <c r="CJ148" s="142"/>
      <c r="CK148" s="142"/>
      <c r="CL148" s="142">
        <f t="shared" si="13"/>
        <v>0</v>
      </c>
      <c r="CM148" s="171">
        <v>0</v>
      </c>
      <c r="CN148" s="171">
        <v>0</v>
      </c>
      <c r="CO148" s="171">
        <v>0</v>
      </c>
      <c r="CP148" s="171">
        <v>0</v>
      </c>
      <c r="CQ148" s="171">
        <v>0</v>
      </c>
      <c r="CR148" s="171">
        <v>0</v>
      </c>
      <c r="CS148" s="171">
        <f t="shared" si="14"/>
        <v>0</v>
      </c>
      <c r="CT148" s="171">
        <f t="shared" si="15"/>
        <v>0</v>
      </c>
      <c r="CU148" s="171">
        <f t="shared" si="16"/>
        <v>0</v>
      </c>
      <c r="CV148" s="149"/>
      <c r="CW148" s="149"/>
      <c r="CX148" s="130"/>
      <c r="CY148" s="130"/>
      <c r="CZ148" s="130"/>
      <c r="DA148" s="130"/>
      <c r="DB148" s="130"/>
      <c r="DC148" s="130"/>
      <c r="DD148" s="130"/>
      <c r="DE148" s="130"/>
      <c r="DF148" s="130"/>
      <c r="DG148" s="130"/>
      <c r="DH148" s="130"/>
      <c r="DI148" s="130"/>
      <c r="DJ148" s="130"/>
      <c r="DK148" s="130"/>
      <c r="DL148" s="130"/>
      <c r="DM148" s="130"/>
      <c r="DN148" s="130"/>
      <c r="DO148" s="130"/>
      <c r="DP148" s="130"/>
      <c r="DQ148" s="130"/>
      <c r="DR148" s="130"/>
      <c r="DS148" s="130"/>
      <c r="DT148" s="130"/>
      <c r="DU148" s="130"/>
      <c r="DV148" s="130"/>
      <c r="DW148" s="130"/>
      <c r="DX148" s="130"/>
      <c r="DY148" s="130"/>
      <c r="DZ148" s="130"/>
      <c r="EA148" s="130"/>
      <c r="EB148" s="130"/>
      <c r="EC148" s="130"/>
      <c r="ED148" s="130"/>
      <c r="EE148" s="130"/>
      <c r="EF148" s="130"/>
      <c r="EG148" s="130"/>
      <c r="EH148" s="130"/>
      <c r="EI148" s="130"/>
      <c r="EJ148" s="130"/>
      <c r="EK148" s="130"/>
      <c r="EL148" s="130"/>
      <c r="EM148" s="130"/>
      <c r="EN148" s="130"/>
      <c r="EO148" s="130"/>
      <c r="EP148" s="130"/>
      <c r="EQ148" s="130"/>
      <c r="ER148" s="130"/>
      <c r="ES148" s="130"/>
      <c r="ET148" s="130"/>
      <c r="EU148" s="130"/>
      <c r="EV148" s="130"/>
      <c r="EW148" s="130"/>
      <c r="EX148" s="130"/>
      <c r="EY148" s="130"/>
      <c r="EZ148" s="130"/>
      <c r="FA148" s="130"/>
      <c r="FB148" s="201"/>
      <c r="FC148" s="201"/>
      <c r="FD148" s="201"/>
      <c r="FE148" s="201"/>
      <c r="FF148" s="201"/>
      <c r="FG148" s="201"/>
      <c r="FH148" s="201"/>
      <c r="FI148" s="201"/>
      <c r="FJ148" s="201"/>
      <c r="FK148" s="201"/>
      <c r="FL148" s="201"/>
      <c r="FM148" s="201"/>
      <c r="FN148" s="201"/>
      <c r="FO148" s="201"/>
      <c r="FP148" s="201"/>
      <c r="FQ148" s="201"/>
      <c r="FR148" s="201"/>
      <c r="FS148" s="201"/>
      <c r="FT148" s="201"/>
      <c r="FU148" s="201"/>
      <c r="FV148" s="201"/>
      <c r="FW148" s="201"/>
      <c r="FX148" s="201"/>
      <c r="FY148" s="201"/>
      <c r="FZ148" s="201"/>
      <c r="GA148" s="201"/>
      <c r="GB148" s="201"/>
      <c r="GC148" s="201"/>
      <c r="GD148" s="201"/>
      <c r="GE148" s="201"/>
      <c r="GF148" s="201"/>
      <c r="GG148" s="201"/>
      <c r="GH148" s="201"/>
      <c r="GI148" s="201"/>
      <c r="GJ148" s="201"/>
      <c r="GK148" s="201"/>
      <c r="GL148" s="201"/>
      <c r="GM148" s="201"/>
      <c r="GN148" s="201"/>
      <c r="GO148" s="201"/>
      <c r="GP148" s="201"/>
      <c r="GQ148" s="201"/>
    </row>
    <row r="149" spans="1:204" s="68" customFormat="1" ht="15" customHeight="1" x14ac:dyDescent="0.25">
      <c r="A149" s="68" t="s">
        <v>699</v>
      </c>
      <c r="B149" s="82" t="s">
        <v>154</v>
      </c>
      <c r="C149" s="82" t="s">
        <v>172</v>
      </c>
      <c r="D149" s="95" t="s">
        <v>196</v>
      </c>
      <c r="E149" s="82" t="s">
        <v>309</v>
      </c>
      <c r="F149" s="82" t="s">
        <v>549</v>
      </c>
      <c r="G149" s="82" t="s">
        <v>137</v>
      </c>
      <c r="H149" s="82" t="s">
        <v>137</v>
      </c>
      <c r="I149" s="82" t="s">
        <v>66</v>
      </c>
      <c r="J149" s="82" t="s">
        <v>531</v>
      </c>
      <c r="K149" s="92" t="s">
        <v>137</v>
      </c>
      <c r="L149" s="92" t="s">
        <v>137</v>
      </c>
      <c r="M149" s="92" t="s">
        <v>137</v>
      </c>
      <c r="N149" s="92" t="s">
        <v>137</v>
      </c>
      <c r="O149" s="92" t="s">
        <v>137</v>
      </c>
      <c r="P149" s="92" t="s">
        <v>137</v>
      </c>
      <c r="Q149" s="82" t="s">
        <v>552</v>
      </c>
      <c r="R149" s="82" t="s">
        <v>715</v>
      </c>
      <c r="S149" s="82" t="s">
        <v>555</v>
      </c>
      <c r="T149" s="82" t="s">
        <v>320</v>
      </c>
      <c r="U149" s="83">
        <v>0.95</v>
      </c>
      <c r="V149" s="83">
        <v>0.95</v>
      </c>
      <c r="W149" s="83">
        <v>0.95</v>
      </c>
      <c r="X149" s="83">
        <v>0.95</v>
      </c>
      <c r="Y149" s="83">
        <v>0.95</v>
      </c>
      <c r="Z149" s="83">
        <v>0.95</v>
      </c>
      <c r="AA149" s="83">
        <v>0.95</v>
      </c>
      <c r="AB149" s="83">
        <v>0.95</v>
      </c>
      <c r="AC149" s="83">
        <v>0.95</v>
      </c>
      <c r="AD149" s="83">
        <v>0.95</v>
      </c>
      <c r="AE149" s="83">
        <v>0.95</v>
      </c>
      <c r="AF149" s="83">
        <v>0.95</v>
      </c>
      <c r="AG149" s="82" t="s">
        <v>533</v>
      </c>
      <c r="AH149" s="82" t="s">
        <v>529</v>
      </c>
      <c r="AI149" s="88" t="s">
        <v>538</v>
      </c>
      <c r="AJ149" s="89" t="s">
        <v>538</v>
      </c>
      <c r="AK149" s="90">
        <v>46023</v>
      </c>
      <c r="AL149" s="90">
        <v>46387</v>
      </c>
      <c r="AM149" s="89"/>
      <c r="AN149" s="89"/>
      <c r="AO149" s="89"/>
      <c r="AP149" s="91" t="s">
        <v>542</v>
      </c>
      <c r="AQ149" s="90" t="str" cm="1">
        <f t="array" ref="AQ149">IFERROR(DATE(2026, _xlfn.AGGREGATE(15, 6, (COLUMN(BY149:CJ149)-COLUMN(BY149)+1)/(BY149:CJ149&lt;&gt;0), 1), 1),"N/A")</f>
        <v>N/A</v>
      </c>
      <c r="AR149" s="90" t="str" cm="1">
        <f t="array" ref="AR149">IFERROR(EOMONTH(DATE(2026, _xlfn.AGGREGATE(14, 6, (COLUMN(BY149:CJ149)-COLUMN(BY149)+1)/(BY149:CJ149&lt;&gt;0), 1), 1), 0),"N/A")</f>
        <v>N/A</v>
      </c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2" t="s">
        <v>677</v>
      </c>
      <c r="BF149" s="82" t="s">
        <v>1045</v>
      </c>
      <c r="BG149" s="82" t="str">
        <f t="shared" si="12"/>
        <v>001</v>
      </c>
      <c r="BH149" s="88">
        <v>630207</v>
      </c>
      <c r="BI149" s="92" t="s">
        <v>74</v>
      </c>
      <c r="BJ149" s="93">
        <v>20000</v>
      </c>
      <c r="BK149" s="74">
        <v>0</v>
      </c>
      <c r="BL149" s="74">
        <v>0</v>
      </c>
      <c r="BM149" s="74">
        <v>0</v>
      </c>
      <c r="BN149" s="74">
        <v>0</v>
      </c>
      <c r="BO149" s="74">
        <v>0</v>
      </c>
      <c r="BP149" s="74">
        <v>0</v>
      </c>
      <c r="BQ149" s="74">
        <v>0</v>
      </c>
      <c r="BR149" s="74">
        <v>0</v>
      </c>
      <c r="BS149" s="74">
        <v>0</v>
      </c>
      <c r="BT149" s="74">
        <v>0</v>
      </c>
      <c r="BU149" s="74">
        <v>20000</v>
      </c>
      <c r="BV149" s="143">
        <v>0</v>
      </c>
      <c r="BW149" s="143">
        <v>-20000</v>
      </c>
      <c r="BX149" s="143">
        <f t="shared" si="17"/>
        <v>0</v>
      </c>
      <c r="BY149" s="74">
        <v>0</v>
      </c>
      <c r="BZ149" s="74">
        <v>0</v>
      </c>
      <c r="CA149" s="74">
        <v>0</v>
      </c>
      <c r="CB149" s="74">
        <v>0</v>
      </c>
      <c r="CC149" s="74">
        <v>0</v>
      </c>
      <c r="CD149" s="74">
        <v>0</v>
      </c>
      <c r="CE149" s="74">
        <v>0</v>
      </c>
      <c r="CF149" s="74">
        <v>0</v>
      </c>
      <c r="CG149" s="74">
        <v>0</v>
      </c>
      <c r="CH149" s="74">
        <v>0</v>
      </c>
      <c r="CI149" s="74"/>
      <c r="CJ149" s="143">
        <v>0</v>
      </c>
      <c r="CK149" s="143"/>
      <c r="CL149" s="142">
        <f t="shared" si="13"/>
        <v>0</v>
      </c>
      <c r="CM149" s="171">
        <v>0</v>
      </c>
      <c r="CN149" s="171">
        <v>0</v>
      </c>
      <c r="CO149" s="171">
        <v>0</v>
      </c>
      <c r="CP149" s="171">
        <v>0</v>
      </c>
      <c r="CQ149" s="171">
        <v>0</v>
      </c>
      <c r="CR149" s="171">
        <v>0</v>
      </c>
      <c r="CS149" s="171">
        <f t="shared" si="14"/>
        <v>0</v>
      </c>
      <c r="CT149" s="171">
        <f t="shared" si="15"/>
        <v>0</v>
      </c>
      <c r="CU149" s="171">
        <f t="shared" si="16"/>
        <v>0</v>
      </c>
      <c r="CV149" s="149"/>
      <c r="CW149" s="149"/>
      <c r="CX149" s="130"/>
      <c r="CY149" s="130"/>
      <c r="CZ149" s="130"/>
      <c r="DA149" s="130"/>
      <c r="DB149" s="130"/>
      <c r="DC149" s="130"/>
      <c r="DD149" s="130"/>
      <c r="DE149" s="130"/>
      <c r="DF149" s="130"/>
      <c r="DG149" s="130"/>
      <c r="DH149" s="130"/>
      <c r="DI149" s="130"/>
      <c r="DJ149" s="130"/>
      <c r="DK149" s="130"/>
      <c r="DL149" s="130"/>
      <c r="DM149" s="130"/>
      <c r="DN149" s="130"/>
      <c r="DO149" s="130"/>
      <c r="DP149" s="130"/>
      <c r="DQ149" s="130"/>
      <c r="DR149" s="130"/>
      <c r="DS149" s="130"/>
      <c r="DT149" s="130"/>
      <c r="DU149" s="130"/>
      <c r="DV149" s="130"/>
      <c r="DW149" s="130"/>
      <c r="DX149" s="130"/>
      <c r="DY149" s="130"/>
      <c r="DZ149" s="130"/>
      <c r="EA149" s="130"/>
      <c r="EB149" s="130"/>
      <c r="EC149" s="130"/>
      <c r="ED149" s="130"/>
      <c r="EE149" s="130"/>
      <c r="EF149" s="130"/>
      <c r="EG149" s="130"/>
      <c r="EH149" s="130"/>
      <c r="EI149" s="130"/>
      <c r="EJ149" s="130"/>
      <c r="EK149" s="130"/>
      <c r="EL149" s="130"/>
      <c r="EM149" s="130"/>
      <c r="EN149" s="130"/>
      <c r="EO149" s="130"/>
      <c r="EP149" s="130"/>
      <c r="EQ149" s="130"/>
      <c r="ER149" s="130"/>
      <c r="ES149" s="130"/>
      <c r="ET149" s="130"/>
      <c r="EU149" s="130"/>
      <c r="EV149" s="130"/>
      <c r="EW149" s="130"/>
      <c r="EX149" s="130"/>
      <c r="EY149" s="130"/>
      <c r="EZ149" s="130"/>
      <c r="FA149" s="130"/>
      <c r="FB149" s="201"/>
      <c r="FC149" s="201"/>
      <c r="FD149" s="201"/>
      <c r="FE149" s="201"/>
      <c r="FF149" s="201"/>
      <c r="FG149" s="201"/>
      <c r="FH149" s="201"/>
      <c r="FI149" s="201"/>
      <c r="FJ149" s="201"/>
      <c r="FK149" s="201"/>
      <c r="FL149" s="201"/>
      <c r="FM149" s="201"/>
      <c r="FN149" s="201"/>
      <c r="FO149" s="201"/>
      <c r="FP149" s="201"/>
      <c r="FQ149" s="201"/>
      <c r="FR149" s="201"/>
      <c r="FS149" s="201"/>
      <c r="FT149" s="201"/>
      <c r="FU149" s="201"/>
      <c r="FV149" s="201"/>
      <c r="FW149" s="201"/>
      <c r="FX149" s="201"/>
      <c r="FY149" s="201"/>
      <c r="FZ149" s="201"/>
      <c r="GA149" s="201"/>
      <c r="GB149" s="201"/>
      <c r="GC149" s="201"/>
      <c r="GD149" s="201"/>
      <c r="GE149" s="201"/>
      <c r="GF149" s="201"/>
      <c r="GG149" s="201"/>
      <c r="GH149" s="201"/>
      <c r="GI149" s="201"/>
      <c r="GJ149" s="201"/>
      <c r="GK149" s="201"/>
      <c r="GL149" s="201"/>
      <c r="GM149" s="201"/>
      <c r="GN149" s="201"/>
      <c r="GO149" s="201"/>
      <c r="GP149" s="201"/>
      <c r="GQ149" s="201"/>
    </row>
    <row r="150" spans="1:204" s="68" customFormat="1" ht="15" customHeight="1" x14ac:dyDescent="0.25">
      <c r="A150" s="68" t="s">
        <v>695</v>
      </c>
      <c r="B150" s="82" t="s">
        <v>154</v>
      </c>
      <c r="C150" s="82" t="s">
        <v>172</v>
      </c>
      <c r="D150" s="95" t="s">
        <v>196</v>
      </c>
      <c r="E150" s="82" t="s">
        <v>309</v>
      </c>
      <c r="F150" s="82" t="s">
        <v>549</v>
      </c>
      <c r="G150" s="82" t="s">
        <v>137</v>
      </c>
      <c r="H150" s="82" t="s">
        <v>137</v>
      </c>
      <c r="I150" s="82" t="s">
        <v>66</v>
      </c>
      <c r="J150" s="82" t="s">
        <v>531</v>
      </c>
      <c r="K150" s="92" t="s">
        <v>137</v>
      </c>
      <c r="L150" s="92" t="s">
        <v>137</v>
      </c>
      <c r="M150" s="92" t="s">
        <v>137</v>
      </c>
      <c r="N150" s="92" t="s">
        <v>137</v>
      </c>
      <c r="O150" s="92" t="s">
        <v>137</v>
      </c>
      <c r="P150" s="92" t="s">
        <v>137</v>
      </c>
      <c r="Q150" s="82" t="s">
        <v>552</v>
      </c>
      <c r="R150" s="82" t="s">
        <v>715</v>
      </c>
      <c r="S150" s="82" t="s">
        <v>555</v>
      </c>
      <c r="T150" s="82" t="s">
        <v>320</v>
      </c>
      <c r="U150" s="83">
        <v>0.95</v>
      </c>
      <c r="V150" s="83">
        <v>0.95</v>
      </c>
      <c r="W150" s="83">
        <v>0.95</v>
      </c>
      <c r="X150" s="83">
        <v>0.95</v>
      </c>
      <c r="Y150" s="83">
        <v>0.95</v>
      </c>
      <c r="Z150" s="83">
        <v>0.95</v>
      </c>
      <c r="AA150" s="83">
        <v>0.95</v>
      </c>
      <c r="AB150" s="83">
        <v>0.95</v>
      </c>
      <c r="AC150" s="83">
        <v>0.95</v>
      </c>
      <c r="AD150" s="83">
        <v>0.95</v>
      </c>
      <c r="AE150" s="83">
        <v>0.95</v>
      </c>
      <c r="AF150" s="83">
        <v>0.95</v>
      </c>
      <c r="AG150" s="82" t="s">
        <v>779</v>
      </c>
      <c r="AH150" s="157" t="s">
        <v>529</v>
      </c>
      <c r="AI150" s="88" t="s">
        <v>538</v>
      </c>
      <c r="AJ150" s="89" t="s">
        <v>538</v>
      </c>
      <c r="AK150" s="90">
        <v>46023</v>
      </c>
      <c r="AL150" s="90">
        <v>46387</v>
      </c>
      <c r="AM150" s="89"/>
      <c r="AN150" s="89"/>
      <c r="AO150" s="89"/>
      <c r="AP150" s="91" t="s">
        <v>542</v>
      </c>
      <c r="AQ150" s="90" t="str" cm="1">
        <f t="array" ref="AQ150">IFERROR(DATE(2026, _xlfn.AGGREGATE(15, 6, (COLUMN(BY150:CJ150)-COLUMN(BY150)+1)/(BY150:CJ150&lt;&gt;0), 1), 1),"N/A")</f>
        <v>N/A</v>
      </c>
      <c r="AR150" s="90" t="str" cm="1">
        <f t="array" ref="AR150">IFERROR(EOMONTH(DATE(2026, _xlfn.AGGREGATE(14, 6, (COLUMN(BY150:CJ150)-COLUMN(BY150)+1)/(BY150:CJ150&lt;&gt;0), 1), 1), 0),"N/A")</f>
        <v>N/A</v>
      </c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2" t="s">
        <v>677</v>
      </c>
      <c r="BF150" s="82" t="s">
        <v>1044</v>
      </c>
      <c r="BG150" s="82" t="str">
        <f t="shared" si="12"/>
        <v>000</v>
      </c>
      <c r="BH150" s="88">
        <v>630207</v>
      </c>
      <c r="BI150" s="92" t="s">
        <v>74</v>
      </c>
      <c r="BJ150" s="93">
        <v>50000</v>
      </c>
      <c r="BK150" s="74">
        <v>0</v>
      </c>
      <c r="BL150" s="74">
        <v>0</v>
      </c>
      <c r="BM150" s="94">
        <v>5000</v>
      </c>
      <c r="BN150" s="72">
        <v>5000</v>
      </c>
      <c r="BO150" s="74">
        <v>5000</v>
      </c>
      <c r="BP150" s="74">
        <v>5000</v>
      </c>
      <c r="BQ150" s="74">
        <v>5000</v>
      </c>
      <c r="BR150" s="74">
        <v>5000</v>
      </c>
      <c r="BS150" s="74">
        <v>5000</v>
      </c>
      <c r="BT150" s="74">
        <v>5000</v>
      </c>
      <c r="BU150" s="74">
        <v>5000</v>
      </c>
      <c r="BV150" s="143">
        <v>5000</v>
      </c>
      <c r="BW150" s="143">
        <v>-50000</v>
      </c>
      <c r="BX150" s="143">
        <f t="shared" si="17"/>
        <v>0</v>
      </c>
      <c r="BY150" s="74">
        <v>0</v>
      </c>
      <c r="BZ150" s="74">
        <v>0</v>
      </c>
      <c r="CA150" s="94"/>
      <c r="CB150" s="72"/>
      <c r="CC150" s="74"/>
      <c r="CD150" s="74"/>
      <c r="CE150" s="74"/>
      <c r="CF150" s="74"/>
      <c r="CG150" s="74"/>
      <c r="CH150" s="74"/>
      <c r="CI150" s="74"/>
      <c r="CJ150" s="143"/>
      <c r="CK150" s="143"/>
      <c r="CL150" s="142">
        <f t="shared" si="13"/>
        <v>0</v>
      </c>
      <c r="CM150" s="171">
        <v>0</v>
      </c>
      <c r="CN150" s="171">
        <v>0</v>
      </c>
      <c r="CO150" s="171">
        <v>0</v>
      </c>
      <c r="CP150" s="171">
        <v>0</v>
      </c>
      <c r="CQ150" s="171">
        <v>0</v>
      </c>
      <c r="CR150" s="171">
        <v>0</v>
      </c>
      <c r="CS150" s="171">
        <f t="shared" si="14"/>
        <v>0</v>
      </c>
      <c r="CT150" s="171">
        <f t="shared" si="15"/>
        <v>0</v>
      </c>
      <c r="CU150" s="171">
        <f t="shared" si="16"/>
        <v>0</v>
      </c>
      <c r="CV150" s="152">
        <v>137500</v>
      </c>
      <c r="CW150" s="149">
        <v>0</v>
      </c>
      <c r="CX150" s="130">
        <v>2</v>
      </c>
      <c r="CY150" s="130">
        <v>0</v>
      </c>
      <c r="CZ150" s="130" t="s">
        <v>321</v>
      </c>
      <c r="DA150" s="130" t="s">
        <v>863</v>
      </c>
      <c r="DB150" s="130" t="s">
        <v>850</v>
      </c>
      <c r="DC150" s="130" t="s">
        <v>851</v>
      </c>
      <c r="DD150" s="130"/>
      <c r="DE150" s="131">
        <v>46148</v>
      </c>
      <c r="DF150" s="131">
        <v>46148</v>
      </c>
      <c r="DG150" s="132">
        <v>2</v>
      </c>
      <c r="DH150" s="131">
        <v>46149</v>
      </c>
      <c r="DI150" s="131">
        <v>46149</v>
      </c>
      <c r="DJ150" s="131">
        <v>46149</v>
      </c>
      <c r="DK150" s="131">
        <v>46150</v>
      </c>
      <c r="DL150" s="131">
        <v>46153</v>
      </c>
      <c r="DM150" s="131">
        <v>46154</v>
      </c>
      <c r="DN150" s="131">
        <v>46155</v>
      </c>
      <c r="DO150" s="131">
        <v>46156</v>
      </c>
      <c r="DP150" s="131">
        <v>46157</v>
      </c>
      <c r="DQ150" s="131">
        <v>46157</v>
      </c>
      <c r="DR150" s="132">
        <v>2</v>
      </c>
      <c r="DS150" s="131">
        <v>46160</v>
      </c>
      <c r="DT150" s="131">
        <v>46161</v>
      </c>
      <c r="DU150" s="131">
        <v>46162</v>
      </c>
      <c r="DV150" s="131">
        <v>46163</v>
      </c>
      <c r="DW150" s="131">
        <v>46163</v>
      </c>
      <c r="DX150" s="131">
        <v>46164</v>
      </c>
      <c r="DY150" s="131">
        <v>46164</v>
      </c>
      <c r="DZ150" s="132"/>
      <c r="EA150" s="132"/>
      <c r="EB150" s="132"/>
      <c r="EC150" s="132"/>
      <c r="ED150" s="131">
        <v>46167</v>
      </c>
      <c r="EE150" s="131">
        <v>46168</v>
      </c>
      <c r="EF150" s="131">
        <v>46168</v>
      </c>
      <c r="EG150" s="131">
        <v>46169</v>
      </c>
      <c r="EH150" s="131">
        <v>46170</v>
      </c>
      <c r="EI150" s="131">
        <v>46171</v>
      </c>
      <c r="EJ150" s="131">
        <v>46174</v>
      </c>
      <c r="EK150" s="131">
        <v>46174</v>
      </c>
      <c r="EL150" s="132">
        <v>18</v>
      </c>
      <c r="EM150" s="133">
        <v>46178</v>
      </c>
      <c r="EN150" s="131">
        <v>46182</v>
      </c>
      <c r="EO150" s="133">
        <v>46188</v>
      </c>
      <c r="EP150" s="133">
        <v>46189</v>
      </c>
      <c r="EQ150" s="133">
        <v>46190</v>
      </c>
      <c r="ER150" s="133">
        <v>46192</v>
      </c>
      <c r="ES150" s="133">
        <v>46195</v>
      </c>
      <c r="ET150" s="133">
        <v>46195</v>
      </c>
      <c r="EU150" s="133">
        <v>46198</v>
      </c>
      <c r="EV150" s="134">
        <v>2</v>
      </c>
      <c r="EW150" s="133">
        <v>46203</v>
      </c>
      <c r="EX150" s="133"/>
      <c r="EY150" s="154" t="s">
        <v>863</v>
      </c>
      <c r="EZ150" s="132" t="s">
        <v>861</v>
      </c>
      <c r="FA150" s="136" t="s">
        <v>864</v>
      </c>
      <c r="FB150" s="202" t="e">
        <v>#NUM!</v>
      </c>
      <c r="FC150" s="202" t="e">
        <v>#NUM!</v>
      </c>
      <c r="FD150" s="202" t="e">
        <v>#NUM!</v>
      </c>
      <c r="FE150" s="202" t="e">
        <v>#NUM!</v>
      </c>
      <c r="FF150" s="202" t="e">
        <v>#NUM!</v>
      </c>
      <c r="FG150" s="202" t="e">
        <v>#NUM!</v>
      </c>
      <c r="FH150" s="202" t="e">
        <v>#NUM!</v>
      </c>
      <c r="FI150" s="202" t="e">
        <v>#NUM!</v>
      </c>
      <c r="FJ150" s="202" t="e">
        <v>#NUM!</v>
      </c>
      <c r="FK150" s="202" t="e">
        <v>#NUM!</v>
      </c>
      <c r="FL150" s="202" t="e">
        <v>#NUM!</v>
      </c>
      <c r="FM150" s="202" t="e">
        <v>#NUM!</v>
      </c>
      <c r="FN150" s="202" t="e">
        <v>#NUM!</v>
      </c>
      <c r="FO150" s="202" t="e">
        <v>#NUM!</v>
      </c>
      <c r="FP150" s="202" t="e">
        <v>#NUM!</v>
      </c>
      <c r="FQ150" s="202" t="e">
        <v>#NUM!</v>
      </c>
      <c r="FR150" s="202" t="e">
        <v>#NUM!</v>
      </c>
      <c r="FS150" s="202" t="e">
        <v>#NUM!</v>
      </c>
      <c r="FT150" s="202" t="e">
        <v>#NUM!</v>
      </c>
      <c r="FU150" s="202"/>
      <c r="FV150" s="202"/>
      <c r="FW150" s="202"/>
      <c r="FX150" s="202"/>
      <c r="FY150" s="202" t="e">
        <v>#NUM!</v>
      </c>
      <c r="FZ150" s="202" t="e">
        <v>#NUM!</v>
      </c>
      <c r="GA150" s="202" t="e">
        <v>#NUM!</v>
      </c>
      <c r="GB150" s="202" t="e">
        <v>#NUM!</v>
      </c>
      <c r="GC150" s="202" t="e">
        <v>#NUM!</v>
      </c>
      <c r="GD150" s="202" t="e">
        <v>#NUM!</v>
      </c>
      <c r="GE150" s="202" t="e">
        <v>#NUM!</v>
      </c>
      <c r="GF150" s="202"/>
      <c r="GG150" s="202">
        <v>18</v>
      </c>
      <c r="GH150" s="202">
        <v>5</v>
      </c>
      <c r="GI150" s="202">
        <v>9</v>
      </c>
      <c r="GJ150" s="202">
        <v>13</v>
      </c>
      <c r="GK150" s="202">
        <v>16</v>
      </c>
      <c r="GL150" s="202">
        <v>17</v>
      </c>
      <c r="GM150" s="202">
        <v>19</v>
      </c>
      <c r="GN150" s="202">
        <v>20</v>
      </c>
      <c r="GO150" s="202">
        <v>20</v>
      </c>
      <c r="GP150" s="202">
        <v>25</v>
      </c>
      <c r="GQ150" s="202"/>
      <c r="GR150" s="189"/>
      <c r="GS150" s="189"/>
      <c r="GT150" s="189"/>
      <c r="GU150" s="189"/>
      <c r="GV150" s="193" t="s">
        <v>1172</v>
      </c>
    </row>
    <row r="151" spans="1:204" s="68" customFormat="1" ht="15" customHeight="1" x14ac:dyDescent="0.25">
      <c r="A151" s="68" t="s">
        <v>696</v>
      </c>
      <c r="B151" s="82" t="s">
        <v>154</v>
      </c>
      <c r="C151" s="82" t="s">
        <v>172</v>
      </c>
      <c r="D151" s="82" t="s">
        <v>196</v>
      </c>
      <c r="E151" s="82" t="s">
        <v>309</v>
      </c>
      <c r="F151" s="82" t="s">
        <v>549</v>
      </c>
      <c r="G151" s="82" t="s">
        <v>137</v>
      </c>
      <c r="H151" s="82" t="s">
        <v>137</v>
      </c>
      <c r="I151" s="82" t="s">
        <v>66</v>
      </c>
      <c r="J151" s="82" t="s">
        <v>29</v>
      </c>
      <c r="K151" s="92" t="s">
        <v>137</v>
      </c>
      <c r="L151" s="92" t="s">
        <v>137</v>
      </c>
      <c r="M151" s="92" t="s">
        <v>137</v>
      </c>
      <c r="N151" s="92" t="s">
        <v>137</v>
      </c>
      <c r="O151" s="92" t="s">
        <v>137</v>
      </c>
      <c r="P151" s="92" t="s">
        <v>137</v>
      </c>
      <c r="Q151" s="82" t="s">
        <v>87</v>
      </c>
      <c r="R151" s="82" t="s">
        <v>714</v>
      </c>
      <c r="S151" s="82" t="s">
        <v>40</v>
      </c>
      <c r="T151" s="82" t="s">
        <v>2</v>
      </c>
      <c r="U151" s="83"/>
      <c r="V151" s="83">
        <v>0.05</v>
      </c>
      <c r="W151" s="83">
        <v>0.08</v>
      </c>
      <c r="X151" s="83">
        <v>0.15</v>
      </c>
      <c r="Y151" s="83">
        <v>0.2</v>
      </c>
      <c r="Z151" s="83">
        <v>0.25</v>
      </c>
      <c r="AA151" s="83">
        <v>0.37</v>
      </c>
      <c r="AB151" s="83">
        <v>0.42</v>
      </c>
      <c r="AC151" s="83">
        <v>0.57999999999999996</v>
      </c>
      <c r="AD151" s="83">
        <v>0.67</v>
      </c>
      <c r="AE151" s="83">
        <v>0.83</v>
      </c>
      <c r="AF151" s="83">
        <v>1</v>
      </c>
      <c r="AG151" s="82" t="s">
        <v>778</v>
      </c>
      <c r="AH151" s="82" t="s">
        <v>530</v>
      </c>
      <c r="AI151" s="88" t="s">
        <v>538</v>
      </c>
      <c r="AJ151" s="89" t="s">
        <v>538</v>
      </c>
      <c r="AK151" s="90">
        <v>46023</v>
      </c>
      <c r="AL151" s="90">
        <v>46387</v>
      </c>
      <c r="AM151" s="89"/>
      <c r="AN151" s="89"/>
      <c r="AO151" s="89"/>
      <c r="AP151" s="91" t="s">
        <v>539</v>
      </c>
      <c r="AQ151" s="90" cm="1">
        <f t="array" ref="AQ151">IFERROR(DATE(2026, _xlfn.AGGREGATE(15, 6, (COLUMN(BY151:CJ151)-COLUMN(BY151)+1)/(BY151:CJ151&lt;&gt;0), 1), 1),"N/A")</f>
        <v>46023</v>
      </c>
      <c r="AR151" s="90" cm="1">
        <f t="array" ref="AR151">IFERROR(EOMONTH(DATE(2026, _xlfn.AGGREGATE(14, 6, (COLUMN(BY151:CJ151)-COLUMN(BY151)+1)/(BY151:CJ151&lt;&gt;0), 1), 1), 0),"N/A")</f>
        <v>46112</v>
      </c>
      <c r="AS151" s="89"/>
      <c r="AT151" s="89"/>
      <c r="AU151" s="89"/>
      <c r="AV151" s="89"/>
      <c r="AW151" s="89"/>
      <c r="AX151" s="89"/>
      <c r="AY151" s="89"/>
      <c r="AZ151" s="89"/>
      <c r="BA151" s="89"/>
      <c r="BB151" s="89"/>
      <c r="BC151" s="89"/>
      <c r="BD151" s="89"/>
      <c r="BE151" s="82" t="s">
        <v>669</v>
      </c>
      <c r="BF151" s="82" t="s">
        <v>747</v>
      </c>
      <c r="BG151" s="82" t="str">
        <f t="shared" si="12"/>
        <v>000</v>
      </c>
      <c r="BH151" s="88">
        <v>530207</v>
      </c>
      <c r="BI151" s="92" t="s">
        <v>74</v>
      </c>
      <c r="BJ151" s="93">
        <v>47050</v>
      </c>
      <c r="BK151" s="94">
        <v>15000</v>
      </c>
      <c r="BL151" s="94">
        <v>15000</v>
      </c>
      <c r="BM151" s="94">
        <v>17050</v>
      </c>
      <c r="BN151" s="74">
        <v>0</v>
      </c>
      <c r="BO151" s="74">
        <v>0</v>
      </c>
      <c r="BP151" s="74">
        <v>0</v>
      </c>
      <c r="BQ151" s="74">
        <v>0</v>
      </c>
      <c r="BR151" s="74">
        <v>0</v>
      </c>
      <c r="BS151" s="74">
        <v>0</v>
      </c>
      <c r="BT151" s="74">
        <v>0</v>
      </c>
      <c r="BU151" s="74">
        <v>0</v>
      </c>
      <c r="BV151" s="143">
        <v>0</v>
      </c>
      <c r="BW151" s="143"/>
      <c r="BX151" s="143">
        <f t="shared" si="17"/>
        <v>47050</v>
      </c>
      <c r="BY151" s="94">
        <v>15000</v>
      </c>
      <c r="BZ151" s="94">
        <v>15000</v>
      </c>
      <c r="CA151" s="94">
        <v>17050</v>
      </c>
      <c r="CB151" s="74">
        <v>0</v>
      </c>
      <c r="CC151" s="74">
        <v>0</v>
      </c>
      <c r="CD151" s="74">
        <v>0</v>
      </c>
      <c r="CE151" s="74">
        <v>0</v>
      </c>
      <c r="CF151" s="74">
        <v>0</v>
      </c>
      <c r="CG151" s="74">
        <v>0</v>
      </c>
      <c r="CH151" s="74">
        <v>0</v>
      </c>
      <c r="CI151" s="74">
        <v>0</v>
      </c>
      <c r="CJ151" s="143">
        <v>0</v>
      </c>
      <c r="CK151" s="143"/>
      <c r="CL151" s="142">
        <f t="shared" si="13"/>
        <v>0</v>
      </c>
      <c r="CM151" s="171">
        <v>0</v>
      </c>
      <c r="CN151" s="171">
        <v>0</v>
      </c>
      <c r="CO151" s="171">
        <v>47050</v>
      </c>
      <c r="CP151" s="171">
        <v>0</v>
      </c>
      <c r="CQ151" s="171">
        <v>0</v>
      </c>
      <c r="CR151" s="171">
        <v>0</v>
      </c>
      <c r="CS151" s="171">
        <f t="shared" si="14"/>
        <v>0</v>
      </c>
      <c r="CT151" s="171">
        <f t="shared" si="15"/>
        <v>0</v>
      </c>
      <c r="CU151" s="171">
        <f t="shared" si="16"/>
        <v>47050</v>
      </c>
      <c r="CV151" s="149"/>
      <c r="CW151" s="149"/>
      <c r="CX151" s="130"/>
      <c r="CY151" s="130"/>
      <c r="CZ151" s="130"/>
      <c r="DA151" s="130"/>
      <c r="DB151" s="130"/>
      <c r="DC151" s="130"/>
      <c r="DD151" s="130" t="s">
        <v>884</v>
      </c>
      <c r="DE151" s="130"/>
      <c r="DF151" s="130"/>
      <c r="DG151" s="130"/>
      <c r="DH151" s="130"/>
      <c r="DI151" s="130"/>
      <c r="DJ151" s="130"/>
      <c r="DK151" s="130"/>
      <c r="DL151" s="130"/>
      <c r="DM151" s="130"/>
      <c r="DN151" s="130"/>
      <c r="DO151" s="130"/>
      <c r="DP151" s="130"/>
      <c r="DQ151" s="130"/>
      <c r="DR151" s="130"/>
      <c r="DS151" s="130"/>
      <c r="DT151" s="130"/>
      <c r="DU151" s="130"/>
      <c r="DV151" s="130"/>
      <c r="DW151" s="130"/>
      <c r="DX151" s="130"/>
      <c r="DY151" s="130"/>
      <c r="DZ151" s="130"/>
      <c r="EA151" s="130"/>
      <c r="EB151" s="130"/>
      <c r="EC151" s="130"/>
      <c r="ED151" s="130"/>
      <c r="EE151" s="130"/>
      <c r="EF151" s="130"/>
      <c r="EG151" s="130"/>
      <c r="EH151" s="130"/>
      <c r="EI151" s="130"/>
      <c r="EJ151" s="130"/>
      <c r="EK151" s="130"/>
      <c r="EL151" s="130"/>
      <c r="EM151" s="130"/>
      <c r="EN151" s="130"/>
      <c r="EO151" s="130"/>
      <c r="EP151" s="130"/>
      <c r="EQ151" s="130"/>
      <c r="ER151" s="130"/>
      <c r="ES151" s="130"/>
      <c r="ET151" s="130"/>
      <c r="EU151" s="130"/>
      <c r="EV151" s="130"/>
      <c r="EW151" s="130"/>
      <c r="EX151" s="130"/>
      <c r="EY151" s="130"/>
      <c r="EZ151" s="130"/>
      <c r="FA151" s="130"/>
      <c r="FB151" s="201"/>
      <c r="FC151" s="201"/>
      <c r="FD151" s="201"/>
      <c r="FE151" s="201"/>
      <c r="FF151" s="201"/>
      <c r="FG151" s="201"/>
      <c r="FH151" s="201"/>
      <c r="FI151" s="201"/>
      <c r="FJ151" s="201"/>
      <c r="FK151" s="201"/>
      <c r="FL151" s="201"/>
      <c r="FM151" s="201"/>
      <c r="FN151" s="201"/>
      <c r="FO151" s="201"/>
      <c r="FP151" s="201"/>
      <c r="FQ151" s="201"/>
      <c r="FR151" s="201"/>
      <c r="FS151" s="201"/>
      <c r="FT151" s="201"/>
      <c r="FU151" s="201"/>
      <c r="FV151" s="201"/>
      <c r="FW151" s="201"/>
      <c r="FX151" s="201"/>
      <c r="FY151" s="201"/>
      <c r="FZ151" s="201"/>
      <c r="GA151" s="201"/>
      <c r="GB151" s="201"/>
      <c r="GC151" s="201"/>
      <c r="GD151" s="201"/>
      <c r="GE151" s="201"/>
      <c r="GF151" s="201"/>
      <c r="GG151" s="201"/>
      <c r="GH151" s="201"/>
      <c r="GI151" s="201"/>
      <c r="GJ151" s="201"/>
      <c r="GK151" s="201"/>
      <c r="GL151" s="201"/>
      <c r="GM151" s="201"/>
      <c r="GN151" s="201"/>
      <c r="GO151" s="201"/>
      <c r="GP151" s="201"/>
      <c r="GQ151" s="201"/>
    </row>
    <row r="152" spans="1:204" s="68" customFormat="1" ht="15" customHeight="1" x14ac:dyDescent="0.25">
      <c r="A152" s="68" t="s">
        <v>696</v>
      </c>
      <c r="B152" s="82" t="s">
        <v>154</v>
      </c>
      <c r="C152" s="82" t="s">
        <v>172</v>
      </c>
      <c r="D152" s="82" t="s">
        <v>196</v>
      </c>
      <c r="E152" s="82" t="s">
        <v>309</v>
      </c>
      <c r="F152" s="82" t="s">
        <v>549</v>
      </c>
      <c r="G152" s="82" t="s">
        <v>137</v>
      </c>
      <c r="H152" s="82" t="s">
        <v>137</v>
      </c>
      <c r="I152" s="82" t="s">
        <v>66</v>
      </c>
      <c r="J152" s="82" t="s">
        <v>29</v>
      </c>
      <c r="K152" s="92" t="s">
        <v>137</v>
      </c>
      <c r="L152" s="92" t="s">
        <v>137</v>
      </c>
      <c r="M152" s="92" t="s">
        <v>137</v>
      </c>
      <c r="N152" s="92" t="s">
        <v>137</v>
      </c>
      <c r="O152" s="92" t="s">
        <v>137</v>
      </c>
      <c r="P152" s="92" t="s">
        <v>137</v>
      </c>
      <c r="Q152" s="82" t="s">
        <v>87</v>
      </c>
      <c r="R152" s="82" t="s">
        <v>714</v>
      </c>
      <c r="S152" s="82" t="s">
        <v>40</v>
      </c>
      <c r="T152" s="82" t="s">
        <v>2</v>
      </c>
      <c r="U152" s="83"/>
      <c r="V152" s="83">
        <v>0.05</v>
      </c>
      <c r="W152" s="83">
        <v>0.08</v>
      </c>
      <c r="X152" s="83">
        <v>0.15</v>
      </c>
      <c r="Y152" s="83">
        <v>0.2</v>
      </c>
      <c r="Z152" s="83">
        <v>0.25</v>
      </c>
      <c r="AA152" s="83">
        <v>0.37</v>
      </c>
      <c r="AB152" s="83">
        <v>0.42</v>
      </c>
      <c r="AC152" s="83">
        <v>0.57999999999999996</v>
      </c>
      <c r="AD152" s="83">
        <v>0.67</v>
      </c>
      <c r="AE152" s="83">
        <v>0.83</v>
      </c>
      <c r="AF152" s="83">
        <v>1</v>
      </c>
      <c r="AG152" s="82" t="s">
        <v>532</v>
      </c>
      <c r="AH152" s="82" t="s">
        <v>529</v>
      </c>
      <c r="AI152" s="88" t="s">
        <v>538</v>
      </c>
      <c r="AJ152" s="89" t="s">
        <v>538</v>
      </c>
      <c r="AK152" s="90">
        <v>46023</v>
      </c>
      <c r="AL152" s="90">
        <v>46387</v>
      </c>
      <c r="AM152" s="89"/>
      <c r="AN152" s="89"/>
      <c r="AO152" s="89"/>
      <c r="AP152" s="91" t="s">
        <v>539</v>
      </c>
      <c r="AQ152" s="90" cm="1">
        <f t="array" ref="AQ152">IFERROR(DATE(2026, _xlfn.AGGREGATE(15, 6, (COLUMN(BY152:CJ152)-COLUMN(BY152)+1)/(BY152:CJ152&lt;&gt;0), 1), 1),"N/A")</f>
        <v>46143</v>
      </c>
      <c r="AR152" s="90" cm="1">
        <f t="array" ref="AR152">IFERROR(EOMONTH(DATE(2026, _xlfn.AGGREGATE(14, 6, (COLUMN(BY152:CJ152)-COLUMN(BY152)+1)/(BY152:CJ152&lt;&gt;0), 1), 1), 0),"N/A")</f>
        <v>46387</v>
      </c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2" t="s">
        <v>682</v>
      </c>
      <c r="BF152" s="82" t="s">
        <v>1004</v>
      </c>
      <c r="BG152" s="82" t="str">
        <f t="shared" si="12"/>
        <v>000</v>
      </c>
      <c r="BH152" s="88">
        <v>530207</v>
      </c>
      <c r="BI152" s="92" t="s">
        <v>74</v>
      </c>
      <c r="BJ152" s="93">
        <v>120000</v>
      </c>
      <c r="BK152" s="74">
        <v>0</v>
      </c>
      <c r="BL152" s="74">
        <v>0</v>
      </c>
      <c r="BM152" s="74">
        <v>0</v>
      </c>
      <c r="BN152" s="72">
        <v>10000</v>
      </c>
      <c r="BO152" s="94">
        <v>13000</v>
      </c>
      <c r="BP152" s="94">
        <v>10000</v>
      </c>
      <c r="BQ152" s="94">
        <v>12000</v>
      </c>
      <c r="BR152" s="94">
        <v>15000</v>
      </c>
      <c r="BS152" s="94">
        <v>10000</v>
      </c>
      <c r="BT152" s="94">
        <v>18000</v>
      </c>
      <c r="BU152" s="94">
        <v>14000</v>
      </c>
      <c r="BV152" s="142">
        <v>18000</v>
      </c>
      <c r="BW152" s="142">
        <v>75000</v>
      </c>
      <c r="BX152" s="143">
        <f t="shared" si="17"/>
        <v>195000</v>
      </c>
      <c r="BY152" s="74">
        <v>0</v>
      </c>
      <c r="BZ152" s="74">
        <v>0</v>
      </c>
      <c r="CA152" s="74">
        <v>0</v>
      </c>
      <c r="CB152" s="72"/>
      <c r="CC152" s="94">
        <v>15000</v>
      </c>
      <c r="CD152" s="94">
        <v>20000</v>
      </c>
      <c r="CE152" s="94">
        <v>25000</v>
      </c>
      <c r="CF152" s="94">
        <v>15000</v>
      </c>
      <c r="CG152" s="94">
        <v>35000</v>
      </c>
      <c r="CH152" s="94">
        <v>25000</v>
      </c>
      <c r="CI152" s="94">
        <v>25000</v>
      </c>
      <c r="CJ152" s="142">
        <v>35000</v>
      </c>
      <c r="CK152" s="142"/>
      <c r="CL152" s="142">
        <f t="shared" si="13"/>
        <v>0</v>
      </c>
      <c r="CM152" s="171">
        <v>0</v>
      </c>
      <c r="CN152" s="171">
        <v>0</v>
      </c>
      <c r="CO152" s="171">
        <v>0</v>
      </c>
      <c r="CP152" s="171">
        <v>0</v>
      </c>
      <c r="CQ152" s="171">
        <v>0</v>
      </c>
      <c r="CR152" s="171">
        <v>0</v>
      </c>
      <c r="CS152" s="171">
        <f t="shared" si="14"/>
        <v>0</v>
      </c>
      <c r="CT152" s="171">
        <f t="shared" si="15"/>
        <v>0</v>
      </c>
      <c r="CU152" s="171">
        <f t="shared" si="16"/>
        <v>0</v>
      </c>
      <c r="CV152" s="152">
        <v>240000</v>
      </c>
      <c r="CW152" s="149">
        <v>315000</v>
      </c>
      <c r="CX152" s="130">
        <v>1</v>
      </c>
      <c r="CY152" s="130">
        <v>1</v>
      </c>
      <c r="CZ152" s="130" t="s">
        <v>321</v>
      </c>
      <c r="DA152" s="130" t="s">
        <v>858</v>
      </c>
      <c r="DB152" s="130" t="s">
        <v>859</v>
      </c>
      <c r="DC152" s="130" t="s">
        <v>851</v>
      </c>
      <c r="DD152" s="130"/>
      <c r="DE152" s="131">
        <v>46042</v>
      </c>
      <c r="DF152" s="131">
        <v>46042</v>
      </c>
      <c r="DG152" s="132">
        <v>1</v>
      </c>
      <c r="DH152" s="131">
        <v>46043</v>
      </c>
      <c r="DI152" s="131">
        <v>46043</v>
      </c>
      <c r="DJ152" s="131">
        <v>46043</v>
      </c>
      <c r="DK152" s="131">
        <v>46044</v>
      </c>
      <c r="DL152" s="131">
        <v>46045</v>
      </c>
      <c r="DM152" s="131">
        <v>46048</v>
      </c>
      <c r="DN152" s="131">
        <v>46049</v>
      </c>
      <c r="DO152" s="131">
        <v>46050</v>
      </c>
      <c r="DP152" s="131">
        <v>46051</v>
      </c>
      <c r="DQ152" s="131">
        <v>46051</v>
      </c>
      <c r="DR152" s="132">
        <v>1</v>
      </c>
      <c r="DS152" s="131">
        <v>46052</v>
      </c>
      <c r="DT152" s="131">
        <v>46055</v>
      </c>
      <c r="DU152" s="131">
        <v>46056</v>
      </c>
      <c r="DV152" s="131">
        <v>46057</v>
      </c>
      <c r="DW152" s="131">
        <v>46057</v>
      </c>
      <c r="DX152" s="131">
        <v>46058</v>
      </c>
      <c r="DY152" s="131">
        <v>46058</v>
      </c>
      <c r="DZ152" s="132"/>
      <c r="EA152" s="132"/>
      <c r="EB152" s="132"/>
      <c r="EC152" s="132"/>
      <c r="ED152" s="131">
        <v>46059</v>
      </c>
      <c r="EE152" s="131">
        <v>46062</v>
      </c>
      <c r="EF152" s="131">
        <v>46062</v>
      </c>
      <c r="EG152" s="131">
        <v>46063</v>
      </c>
      <c r="EH152" s="131">
        <v>46064</v>
      </c>
      <c r="EI152" s="131">
        <v>46065</v>
      </c>
      <c r="EJ152" s="131">
        <v>46066</v>
      </c>
      <c r="EK152" s="131">
        <v>46066</v>
      </c>
      <c r="EL152" s="132">
        <v>18</v>
      </c>
      <c r="EM152" s="133">
        <v>46072</v>
      </c>
      <c r="EN152" s="131">
        <v>46076</v>
      </c>
      <c r="EO152" s="133">
        <v>46080</v>
      </c>
      <c r="EP152" s="133">
        <v>46083</v>
      </c>
      <c r="EQ152" s="133">
        <v>46084</v>
      </c>
      <c r="ER152" s="133">
        <v>46086</v>
      </c>
      <c r="ES152" s="133">
        <v>46087</v>
      </c>
      <c r="ET152" s="133">
        <v>46087</v>
      </c>
      <c r="EU152" s="133">
        <v>46092</v>
      </c>
      <c r="EV152" s="134">
        <v>1</v>
      </c>
      <c r="EW152" s="133">
        <v>46097</v>
      </c>
      <c r="EX152" s="133"/>
      <c r="EY152" s="154" t="s">
        <v>858</v>
      </c>
      <c r="EZ152" s="132" t="s">
        <v>860</v>
      </c>
      <c r="FA152" s="136"/>
      <c r="FB152" s="203">
        <v>46042</v>
      </c>
      <c r="FC152" s="203">
        <v>46042</v>
      </c>
      <c r="FD152" s="203">
        <v>46043</v>
      </c>
      <c r="FE152" s="203">
        <v>46043</v>
      </c>
      <c r="FF152" s="203">
        <v>46043</v>
      </c>
      <c r="FG152" s="203">
        <v>46044</v>
      </c>
      <c r="FH152" s="203">
        <v>46045</v>
      </c>
      <c r="FI152" s="203">
        <v>46048</v>
      </c>
      <c r="FJ152" s="203">
        <v>46049</v>
      </c>
      <c r="FK152" s="203">
        <v>46050</v>
      </c>
      <c r="FL152" s="203">
        <v>46051</v>
      </c>
      <c r="FM152" s="203">
        <v>46051</v>
      </c>
      <c r="FN152" s="203">
        <v>46052</v>
      </c>
      <c r="FO152" s="203">
        <v>46055</v>
      </c>
      <c r="FP152" s="203">
        <v>46056</v>
      </c>
      <c r="FQ152" s="203">
        <v>46057</v>
      </c>
      <c r="FR152" s="203">
        <v>46057</v>
      </c>
      <c r="FS152" s="203">
        <v>46058</v>
      </c>
      <c r="FT152" s="203">
        <v>46058</v>
      </c>
      <c r="FU152" s="203"/>
      <c r="FV152" s="203"/>
      <c r="FW152" s="203"/>
      <c r="FX152" s="203"/>
      <c r="FY152" s="203">
        <v>46059</v>
      </c>
      <c r="FZ152" s="203">
        <v>46062</v>
      </c>
      <c r="GA152" s="203">
        <v>46062</v>
      </c>
      <c r="GB152" s="203">
        <v>46063</v>
      </c>
      <c r="GC152" s="203">
        <v>46064</v>
      </c>
      <c r="GD152" s="203">
        <v>46065</v>
      </c>
      <c r="GE152" s="203">
        <v>46066</v>
      </c>
      <c r="GF152" s="203">
        <v>46066</v>
      </c>
      <c r="GG152" s="203">
        <v>18</v>
      </c>
      <c r="GH152" s="203">
        <v>46072</v>
      </c>
      <c r="GI152" s="203">
        <v>46076</v>
      </c>
      <c r="GJ152" s="203">
        <v>46080</v>
      </c>
      <c r="GK152" s="203">
        <v>46083</v>
      </c>
      <c r="GL152" s="203">
        <v>46084</v>
      </c>
      <c r="GM152" s="203">
        <v>46086</v>
      </c>
      <c r="GN152" s="203">
        <v>46087</v>
      </c>
      <c r="GO152" s="203">
        <v>46087</v>
      </c>
      <c r="GP152" s="203">
        <v>46092</v>
      </c>
      <c r="GQ152" s="203">
        <v>46097</v>
      </c>
      <c r="GR152" s="187"/>
      <c r="GS152" s="187" t="s">
        <v>1180</v>
      </c>
      <c r="GT152" s="187" t="s">
        <v>858</v>
      </c>
      <c r="GU152" s="187" t="s">
        <v>860</v>
      </c>
      <c r="GV152" s="187" t="s">
        <v>1164</v>
      </c>
    </row>
    <row r="153" spans="1:204" s="68" customFormat="1" ht="15" customHeight="1" x14ac:dyDescent="0.25">
      <c r="A153" s="68" t="s">
        <v>692</v>
      </c>
      <c r="B153" s="82" t="s">
        <v>154</v>
      </c>
      <c r="C153" s="82" t="s">
        <v>172</v>
      </c>
      <c r="D153" s="82" t="s">
        <v>196</v>
      </c>
      <c r="E153" s="82" t="s">
        <v>309</v>
      </c>
      <c r="F153" s="82" t="s">
        <v>549</v>
      </c>
      <c r="G153" s="82" t="s">
        <v>137</v>
      </c>
      <c r="H153" s="82" t="s">
        <v>137</v>
      </c>
      <c r="I153" s="82" t="s">
        <v>66</v>
      </c>
      <c r="J153" s="82" t="s">
        <v>29</v>
      </c>
      <c r="K153" s="92" t="s">
        <v>137</v>
      </c>
      <c r="L153" s="92" t="s">
        <v>137</v>
      </c>
      <c r="M153" s="92" t="s">
        <v>137</v>
      </c>
      <c r="N153" s="92" t="s">
        <v>137</v>
      </c>
      <c r="O153" s="92" t="s">
        <v>137</v>
      </c>
      <c r="P153" s="92" t="s">
        <v>137</v>
      </c>
      <c r="Q153" s="82" t="s">
        <v>87</v>
      </c>
      <c r="R153" s="82" t="s">
        <v>714</v>
      </c>
      <c r="S153" s="82" t="s">
        <v>40</v>
      </c>
      <c r="T153" s="82" t="s">
        <v>2</v>
      </c>
      <c r="U153" s="83"/>
      <c r="V153" s="83">
        <v>0.05</v>
      </c>
      <c r="W153" s="83">
        <v>0.08</v>
      </c>
      <c r="X153" s="83">
        <v>0.15</v>
      </c>
      <c r="Y153" s="83">
        <v>0.2</v>
      </c>
      <c r="Z153" s="83">
        <v>0.25</v>
      </c>
      <c r="AA153" s="83">
        <v>0.37</v>
      </c>
      <c r="AB153" s="83">
        <v>0.42</v>
      </c>
      <c r="AC153" s="83">
        <v>0.57999999999999996</v>
      </c>
      <c r="AD153" s="83">
        <v>0.67</v>
      </c>
      <c r="AE153" s="83">
        <v>0.83</v>
      </c>
      <c r="AF153" s="83">
        <v>1</v>
      </c>
      <c r="AG153" s="82" t="s">
        <v>532</v>
      </c>
      <c r="AH153" s="82" t="s">
        <v>529</v>
      </c>
      <c r="AI153" s="88" t="s">
        <v>538</v>
      </c>
      <c r="AJ153" s="89" t="s">
        <v>538</v>
      </c>
      <c r="AK153" s="90">
        <v>46023</v>
      </c>
      <c r="AL153" s="90">
        <v>46387</v>
      </c>
      <c r="AM153" s="89"/>
      <c r="AN153" s="89"/>
      <c r="AO153" s="89"/>
      <c r="AP153" s="91" t="s">
        <v>539</v>
      </c>
      <c r="AQ153" s="90" cm="1">
        <f t="array" ref="AQ153">IFERROR(DATE(2026, _xlfn.AGGREGATE(15, 6, (COLUMN(BY153:CJ153)-COLUMN(BY153)+1)/(BY153:CJ153&lt;&gt;0), 1), 1),"N/A")</f>
        <v>46023</v>
      </c>
      <c r="AR153" s="90" cm="1">
        <f t="array" ref="AR153">IFERROR(EOMONTH(DATE(2026, _xlfn.AGGREGATE(14, 6, (COLUMN(BY153:CJ153)-COLUMN(BY153)+1)/(BY153:CJ153&lt;&gt;0), 1), 1), 0),"N/A")</f>
        <v>46387</v>
      </c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2" t="s">
        <v>717</v>
      </c>
      <c r="BF153" s="82" t="s">
        <v>993</v>
      </c>
      <c r="BG153" s="82" t="str">
        <f t="shared" si="12"/>
        <v>000</v>
      </c>
      <c r="BH153" s="88">
        <v>530209</v>
      </c>
      <c r="BI153" s="92" t="s">
        <v>74</v>
      </c>
      <c r="BJ153" s="93">
        <v>65000</v>
      </c>
      <c r="BK153" s="94">
        <v>5416.66</v>
      </c>
      <c r="BL153" s="94">
        <v>5416.66</v>
      </c>
      <c r="BM153" s="94">
        <v>5416.66</v>
      </c>
      <c r="BN153" s="72">
        <v>5416.66</v>
      </c>
      <c r="BO153" s="94">
        <v>5416.67</v>
      </c>
      <c r="BP153" s="94">
        <v>5416.67</v>
      </c>
      <c r="BQ153" s="94">
        <v>5416.67</v>
      </c>
      <c r="BR153" s="94">
        <v>5416.67</v>
      </c>
      <c r="BS153" s="94">
        <v>5416.67</v>
      </c>
      <c r="BT153" s="94">
        <v>5416.67</v>
      </c>
      <c r="BU153" s="94">
        <v>5416.67</v>
      </c>
      <c r="BV153" s="142">
        <v>5416.67</v>
      </c>
      <c r="BW153" s="142"/>
      <c r="BX153" s="143">
        <f t="shared" si="17"/>
        <v>65000</v>
      </c>
      <c r="BY153" s="94">
        <v>5416.66</v>
      </c>
      <c r="BZ153" s="94">
        <v>5416.66</v>
      </c>
      <c r="CA153" s="94">
        <v>5416.66</v>
      </c>
      <c r="CB153" s="72">
        <v>5416.66</v>
      </c>
      <c r="CC153" s="94">
        <v>5416.67</v>
      </c>
      <c r="CD153" s="94">
        <v>5416.67</v>
      </c>
      <c r="CE153" s="94">
        <v>5416.67</v>
      </c>
      <c r="CF153" s="94">
        <v>5416.67</v>
      </c>
      <c r="CG153" s="94">
        <v>5416.67</v>
      </c>
      <c r="CH153" s="94">
        <v>5416.67</v>
      </c>
      <c r="CI153" s="94">
        <v>5416.67</v>
      </c>
      <c r="CJ153" s="142">
        <v>5416.67</v>
      </c>
      <c r="CK153" s="142"/>
      <c r="CL153" s="142">
        <f t="shared" si="13"/>
        <v>0</v>
      </c>
      <c r="CM153" s="171">
        <v>0</v>
      </c>
      <c r="CN153" s="171">
        <v>0</v>
      </c>
      <c r="CO153" s="171">
        <v>63855</v>
      </c>
      <c r="CP153" s="171">
        <v>0</v>
      </c>
      <c r="CQ153" s="171">
        <v>0</v>
      </c>
      <c r="CR153" s="171">
        <v>0</v>
      </c>
      <c r="CS153" s="171">
        <f t="shared" si="14"/>
        <v>0</v>
      </c>
      <c r="CT153" s="171">
        <f t="shared" si="15"/>
        <v>0</v>
      </c>
      <c r="CU153" s="171">
        <f t="shared" si="16"/>
        <v>63855</v>
      </c>
      <c r="CV153" s="149"/>
      <c r="CW153" s="149"/>
      <c r="CX153" s="130"/>
      <c r="CY153" s="130"/>
      <c r="CZ153" s="130"/>
      <c r="DA153" s="130"/>
      <c r="DB153" s="130"/>
      <c r="DC153" s="130"/>
      <c r="DD153" s="130"/>
      <c r="DE153" s="130"/>
      <c r="DF153" s="130"/>
      <c r="DG153" s="130"/>
      <c r="DH153" s="130"/>
      <c r="DI153" s="130"/>
      <c r="DJ153" s="130"/>
      <c r="DK153" s="130"/>
      <c r="DL153" s="130"/>
      <c r="DM153" s="130"/>
      <c r="DN153" s="130"/>
      <c r="DO153" s="130"/>
      <c r="DP153" s="130"/>
      <c r="DQ153" s="130"/>
      <c r="DR153" s="130"/>
      <c r="DS153" s="130"/>
      <c r="DT153" s="130"/>
      <c r="DU153" s="130"/>
      <c r="DV153" s="130"/>
      <c r="DW153" s="130"/>
      <c r="DX153" s="130"/>
      <c r="DY153" s="130"/>
      <c r="DZ153" s="130"/>
      <c r="EA153" s="130"/>
      <c r="EB153" s="130"/>
      <c r="EC153" s="130"/>
      <c r="ED153" s="130"/>
      <c r="EE153" s="130"/>
      <c r="EF153" s="130"/>
      <c r="EG153" s="130"/>
      <c r="EH153" s="130"/>
      <c r="EI153" s="130"/>
      <c r="EJ153" s="130"/>
      <c r="EK153" s="130"/>
      <c r="EL153" s="130"/>
      <c r="EM153" s="130"/>
      <c r="EN153" s="130"/>
      <c r="EO153" s="130"/>
      <c r="EP153" s="130"/>
      <c r="EQ153" s="130"/>
      <c r="ER153" s="130"/>
      <c r="ES153" s="130"/>
      <c r="ET153" s="130"/>
      <c r="EU153" s="130"/>
      <c r="EV153" s="130"/>
      <c r="EW153" s="130"/>
      <c r="EX153" s="130"/>
      <c r="EY153" s="130"/>
      <c r="EZ153" s="130"/>
      <c r="FA153" s="130"/>
      <c r="FB153" s="201"/>
      <c r="FC153" s="201"/>
      <c r="FD153" s="201"/>
      <c r="FE153" s="201"/>
      <c r="FF153" s="201"/>
      <c r="FG153" s="201"/>
      <c r="FH153" s="201"/>
      <c r="FI153" s="201"/>
      <c r="FJ153" s="201"/>
      <c r="FK153" s="201"/>
      <c r="FL153" s="201"/>
      <c r="FM153" s="201"/>
      <c r="FN153" s="201"/>
      <c r="FO153" s="201"/>
      <c r="FP153" s="201"/>
      <c r="FQ153" s="201"/>
      <c r="FR153" s="201"/>
      <c r="FS153" s="201"/>
      <c r="FT153" s="201"/>
      <c r="FU153" s="201"/>
      <c r="FV153" s="201"/>
      <c r="FW153" s="201"/>
      <c r="FX153" s="201"/>
      <c r="FY153" s="201"/>
      <c r="FZ153" s="201"/>
      <c r="GA153" s="201"/>
      <c r="GB153" s="201"/>
      <c r="GC153" s="201"/>
      <c r="GD153" s="201"/>
      <c r="GE153" s="201"/>
      <c r="GF153" s="201"/>
      <c r="GG153" s="201"/>
      <c r="GH153" s="201"/>
      <c r="GI153" s="201"/>
      <c r="GJ153" s="201"/>
      <c r="GK153" s="201"/>
      <c r="GL153" s="201"/>
      <c r="GM153" s="201"/>
      <c r="GN153" s="201"/>
      <c r="GO153" s="201"/>
      <c r="GP153" s="201"/>
      <c r="GQ153" s="201"/>
    </row>
    <row r="154" spans="1:204" s="68" customFormat="1" ht="15" customHeight="1" x14ac:dyDescent="0.25">
      <c r="A154" s="68" t="s">
        <v>699</v>
      </c>
      <c r="B154" s="82" t="s">
        <v>154</v>
      </c>
      <c r="C154" s="82" t="s">
        <v>172</v>
      </c>
      <c r="D154" s="95" t="s">
        <v>196</v>
      </c>
      <c r="E154" s="82" t="s">
        <v>309</v>
      </c>
      <c r="F154" s="82" t="s">
        <v>549</v>
      </c>
      <c r="G154" s="82" t="s">
        <v>137</v>
      </c>
      <c r="H154" s="82" t="s">
        <v>137</v>
      </c>
      <c r="I154" s="82" t="s">
        <v>66</v>
      </c>
      <c r="J154" s="82" t="s">
        <v>531</v>
      </c>
      <c r="K154" s="92" t="s">
        <v>137</v>
      </c>
      <c r="L154" s="92" t="s">
        <v>137</v>
      </c>
      <c r="M154" s="92" t="s">
        <v>137</v>
      </c>
      <c r="N154" s="92" t="s">
        <v>137</v>
      </c>
      <c r="O154" s="92" t="s">
        <v>137</v>
      </c>
      <c r="P154" s="92" t="s">
        <v>137</v>
      </c>
      <c r="Q154" s="82" t="s">
        <v>552</v>
      </c>
      <c r="R154" s="82" t="s">
        <v>715</v>
      </c>
      <c r="S154" s="82" t="s">
        <v>555</v>
      </c>
      <c r="T154" s="82" t="s">
        <v>320</v>
      </c>
      <c r="U154" s="83">
        <v>0.95</v>
      </c>
      <c r="V154" s="83">
        <v>0.95</v>
      </c>
      <c r="W154" s="83">
        <v>0.95</v>
      </c>
      <c r="X154" s="83">
        <v>0.95</v>
      </c>
      <c r="Y154" s="83">
        <v>0.95</v>
      </c>
      <c r="Z154" s="83">
        <v>0.95</v>
      </c>
      <c r="AA154" s="83">
        <v>0.95</v>
      </c>
      <c r="AB154" s="83">
        <v>0.95</v>
      </c>
      <c r="AC154" s="83">
        <v>0.95</v>
      </c>
      <c r="AD154" s="83">
        <v>0.95</v>
      </c>
      <c r="AE154" s="83">
        <v>0.95</v>
      </c>
      <c r="AF154" s="83">
        <v>0.95</v>
      </c>
      <c r="AG154" s="82" t="s">
        <v>533</v>
      </c>
      <c r="AH154" s="82" t="s">
        <v>529</v>
      </c>
      <c r="AI154" s="88" t="s">
        <v>538</v>
      </c>
      <c r="AJ154" s="89" t="s">
        <v>538</v>
      </c>
      <c r="AK154" s="90">
        <v>46023</v>
      </c>
      <c r="AL154" s="90">
        <v>46387</v>
      </c>
      <c r="AM154" s="89"/>
      <c r="AN154" s="89"/>
      <c r="AO154" s="89"/>
      <c r="AP154" s="91" t="s">
        <v>540</v>
      </c>
      <c r="AQ154" s="90" cm="1">
        <f t="array" ref="AQ154">IFERROR(DATE(2026, _xlfn.AGGREGATE(15, 6, (COLUMN(BY154:CJ154)-COLUMN(BY154)+1)/(BY154:CJ154&lt;&gt;0), 1), 1),"N/A")</f>
        <v>46357</v>
      </c>
      <c r="AR154" s="90" cm="1">
        <f t="array" ref="AR154">IFERROR(EOMONTH(DATE(2026, _xlfn.AGGREGATE(14, 6, (COLUMN(BY154:CJ154)-COLUMN(BY154)+1)/(BY154:CJ154&lt;&gt;0), 1), 1), 0),"N/A")</f>
        <v>46387</v>
      </c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2" t="s">
        <v>710</v>
      </c>
      <c r="BF154" s="82" t="s">
        <v>1024</v>
      </c>
      <c r="BG154" s="82" t="str">
        <f t="shared" si="12"/>
        <v>000</v>
      </c>
      <c r="BH154" s="88">
        <v>630601</v>
      </c>
      <c r="BI154" s="92" t="s">
        <v>74</v>
      </c>
      <c r="BJ154" s="93">
        <v>85000</v>
      </c>
      <c r="BK154" s="74"/>
      <c r="BL154" s="74"/>
      <c r="BM154" s="74"/>
      <c r="BN154" s="74"/>
      <c r="BO154" s="74"/>
      <c r="BP154" s="94"/>
      <c r="BQ154" s="74"/>
      <c r="BR154" s="74"/>
      <c r="BS154" s="74"/>
      <c r="BT154" s="74"/>
      <c r="BU154" s="74"/>
      <c r="BV154" s="143">
        <v>85000</v>
      </c>
      <c r="BW154" s="143"/>
      <c r="BX154" s="143">
        <f t="shared" si="17"/>
        <v>85000</v>
      </c>
      <c r="BY154" s="74"/>
      <c r="BZ154" s="74"/>
      <c r="CA154" s="74"/>
      <c r="CB154" s="74"/>
      <c r="CC154" s="74"/>
      <c r="CD154" s="94"/>
      <c r="CE154" s="74"/>
      <c r="CF154" s="74"/>
      <c r="CG154" s="74"/>
      <c r="CH154" s="74"/>
      <c r="CI154" s="74"/>
      <c r="CJ154" s="143">
        <v>85000</v>
      </c>
      <c r="CK154" s="143"/>
      <c r="CL154" s="142">
        <f t="shared" si="13"/>
        <v>0</v>
      </c>
      <c r="CM154" s="171">
        <v>0</v>
      </c>
      <c r="CN154" s="171">
        <v>0</v>
      </c>
      <c r="CO154" s="171">
        <v>0</v>
      </c>
      <c r="CP154" s="171">
        <v>0</v>
      </c>
      <c r="CQ154" s="171">
        <v>0</v>
      </c>
      <c r="CR154" s="171">
        <v>0</v>
      </c>
      <c r="CS154" s="171">
        <f t="shared" si="14"/>
        <v>0</v>
      </c>
      <c r="CT154" s="171">
        <f t="shared" si="15"/>
        <v>0</v>
      </c>
      <c r="CU154" s="171">
        <f t="shared" si="16"/>
        <v>0</v>
      </c>
      <c r="CV154" s="152">
        <v>85000</v>
      </c>
      <c r="CW154" s="149">
        <v>85000</v>
      </c>
      <c r="CX154" s="130">
        <v>1</v>
      </c>
      <c r="CY154" s="130">
        <v>1</v>
      </c>
      <c r="CZ154" s="130" t="s">
        <v>321</v>
      </c>
      <c r="DA154" s="130" t="s">
        <v>880</v>
      </c>
      <c r="DB154" s="130" t="s">
        <v>850</v>
      </c>
      <c r="DC154" s="130" t="s">
        <v>851</v>
      </c>
      <c r="DD154" s="130"/>
      <c r="DE154" s="131">
        <v>46098</v>
      </c>
      <c r="DF154" s="131">
        <v>46098</v>
      </c>
      <c r="DG154" s="132">
        <v>1</v>
      </c>
      <c r="DH154" s="131">
        <v>46099</v>
      </c>
      <c r="DI154" s="131">
        <v>46099</v>
      </c>
      <c r="DJ154" s="131">
        <v>46099</v>
      </c>
      <c r="DK154" s="131">
        <v>46100</v>
      </c>
      <c r="DL154" s="131">
        <v>46101</v>
      </c>
      <c r="DM154" s="131">
        <v>46104</v>
      </c>
      <c r="DN154" s="131">
        <v>46105</v>
      </c>
      <c r="DO154" s="131">
        <v>46106</v>
      </c>
      <c r="DP154" s="131">
        <v>46107</v>
      </c>
      <c r="DQ154" s="131">
        <v>46107</v>
      </c>
      <c r="DR154" s="132">
        <v>1</v>
      </c>
      <c r="DS154" s="131">
        <v>46108</v>
      </c>
      <c r="DT154" s="131">
        <v>46111</v>
      </c>
      <c r="DU154" s="131">
        <v>46112</v>
      </c>
      <c r="DV154" s="131">
        <v>46113</v>
      </c>
      <c r="DW154" s="131">
        <v>46113</v>
      </c>
      <c r="DX154" s="131">
        <v>46114</v>
      </c>
      <c r="DY154" s="131">
        <v>46114</v>
      </c>
      <c r="DZ154" s="132"/>
      <c r="EA154" s="132"/>
      <c r="EB154" s="132"/>
      <c r="EC154" s="132"/>
      <c r="ED154" s="131">
        <v>46115</v>
      </c>
      <c r="EE154" s="131">
        <v>46118</v>
      </c>
      <c r="EF154" s="131">
        <v>46118</v>
      </c>
      <c r="EG154" s="131">
        <v>46119</v>
      </c>
      <c r="EH154" s="131">
        <v>46120</v>
      </c>
      <c r="EI154" s="131">
        <v>46121</v>
      </c>
      <c r="EJ154" s="131">
        <v>46122</v>
      </c>
      <c r="EK154" s="131">
        <v>46122</v>
      </c>
      <c r="EL154" s="132">
        <v>18</v>
      </c>
      <c r="EM154" s="131">
        <v>46126</v>
      </c>
      <c r="EN154" s="131">
        <v>46128</v>
      </c>
      <c r="EO154" s="133">
        <v>46132</v>
      </c>
      <c r="EP154" s="133">
        <v>46133</v>
      </c>
      <c r="EQ154" s="133">
        <v>46134</v>
      </c>
      <c r="ER154" s="133">
        <v>46136</v>
      </c>
      <c r="ES154" s="133">
        <v>46139</v>
      </c>
      <c r="ET154" s="133">
        <v>46139</v>
      </c>
      <c r="EU154" s="133">
        <v>46142</v>
      </c>
      <c r="EV154" s="134">
        <v>1</v>
      </c>
      <c r="EW154" s="133">
        <v>46147</v>
      </c>
      <c r="EX154" s="133"/>
      <c r="EY154" s="154" t="s">
        <v>880</v>
      </c>
      <c r="EZ154" s="132" t="s">
        <v>907</v>
      </c>
      <c r="FA154" s="130"/>
      <c r="FB154" s="203">
        <v>46098</v>
      </c>
      <c r="FC154" s="203">
        <v>46098</v>
      </c>
      <c r="FD154" s="203">
        <v>46099</v>
      </c>
      <c r="FE154" s="203">
        <v>46099</v>
      </c>
      <c r="FF154" s="203">
        <v>46099</v>
      </c>
      <c r="FG154" s="203">
        <v>46100</v>
      </c>
      <c r="FH154" s="203">
        <v>46101</v>
      </c>
      <c r="FI154" s="203">
        <v>46104</v>
      </c>
      <c r="FJ154" s="203">
        <v>46105</v>
      </c>
      <c r="FK154" s="203">
        <v>46106</v>
      </c>
      <c r="FL154" s="203">
        <v>46107</v>
      </c>
      <c r="FM154" s="203">
        <v>46107</v>
      </c>
      <c r="FN154" s="203">
        <v>46108</v>
      </c>
      <c r="FO154" s="203">
        <v>46111</v>
      </c>
      <c r="FP154" s="203">
        <v>46112</v>
      </c>
      <c r="FQ154" s="203">
        <v>46113</v>
      </c>
      <c r="FR154" s="203">
        <v>46113</v>
      </c>
      <c r="FS154" s="203">
        <v>46114</v>
      </c>
      <c r="FT154" s="203">
        <v>46114</v>
      </c>
      <c r="FU154" s="203"/>
      <c r="FV154" s="203"/>
      <c r="FW154" s="203"/>
      <c r="FX154" s="203"/>
      <c r="FY154" s="203">
        <v>46115</v>
      </c>
      <c r="FZ154" s="203">
        <v>46118</v>
      </c>
      <c r="GA154" s="203">
        <v>46118</v>
      </c>
      <c r="GB154" s="203">
        <v>46119</v>
      </c>
      <c r="GC154" s="203">
        <v>46120</v>
      </c>
      <c r="GD154" s="203">
        <v>46121</v>
      </c>
      <c r="GE154" s="203">
        <v>46122</v>
      </c>
      <c r="GF154" s="203">
        <v>46122</v>
      </c>
      <c r="GG154" s="203">
        <v>18</v>
      </c>
      <c r="GH154" s="203">
        <v>46126</v>
      </c>
      <c r="GI154" s="203">
        <v>46128</v>
      </c>
      <c r="GJ154" s="203">
        <v>46132</v>
      </c>
      <c r="GK154" s="203">
        <v>46133</v>
      </c>
      <c r="GL154" s="203">
        <v>46134</v>
      </c>
      <c r="GM154" s="203">
        <v>46136</v>
      </c>
      <c r="GN154" s="203">
        <v>46139</v>
      </c>
      <c r="GO154" s="203">
        <v>46139</v>
      </c>
      <c r="GP154" s="203">
        <v>46142</v>
      </c>
      <c r="GQ154" s="203">
        <v>46147</v>
      </c>
      <c r="GR154" s="187"/>
      <c r="GS154" s="187" t="s">
        <v>1180</v>
      </c>
      <c r="GT154" s="187" t="s">
        <v>880</v>
      </c>
      <c r="GU154" s="187" t="s">
        <v>907</v>
      </c>
      <c r="GV154" s="187" t="s">
        <v>1162</v>
      </c>
    </row>
    <row r="155" spans="1:204" s="68" customFormat="1" ht="15" customHeight="1" x14ac:dyDescent="0.25">
      <c r="A155" s="68" t="s">
        <v>701</v>
      </c>
      <c r="B155" s="82" t="s">
        <v>154</v>
      </c>
      <c r="C155" s="82" t="s">
        <v>172</v>
      </c>
      <c r="D155" s="95" t="s">
        <v>196</v>
      </c>
      <c r="E155" s="82" t="s">
        <v>309</v>
      </c>
      <c r="F155" s="82" t="s">
        <v>549</v>
      </c>
      <c r="G155" s="82" t="s">
        <v>137</v>
      </c>
      <c r="H155" s="82" t="s">
        <v>137</v>
      </c>
      <c r="I155" s="82" t="s">
        <v>66</v>
      </c>
      <c r="J155" s="82" t="s">
        <v>531</v>
      </c>
      <c r="K155" s="92" t="s">
        <v>137</v>
      </c>
      <c r="L155" s="92" t="s">
        <v>137</v>
      </c>
      <c r="M155" s="92" t="s">
        <v>137</v>
      </c>
      <c r="N155" s="92" t="s">
        <v>137</v>
      </c>
      <c r="O155" s="92" t="s">
        <v>137</v>
      </c>
      <c r="P155" s="92" t="s">
        <v>137</v>
      </c>
      <c r="Q155" s="82" t="s">
        <v>552</v>
      </c>
      <c r="R155" s="82" t="s">
        <v>715</v>
      </c>
      <c r="S155" s="82" t="s">
        <v>555</v>
      </c>
      <c r="T155" s="82" t="s">
        <v>320</v>
      </c>
      <c r="U155" s="83">
        <v>0.95</v>
      </c>
      <c r="V155" s="83">
        <v>0.95</v>
      </c>
      <c r="W155" s="83">
        <v>0.95</v>
      </c>
      <c r="X155" s="83">
        <v>0.95</v>
      </c>
      <c r="Y155" s="83">
        <v>0.95</v>
      </c>
      <c r="Z155" s="83">
        <v>0.95</v>
      </c>
      <c r="AA155" s="83">
        <v>0.95</v>
      </c>
      <c r="AB155" s="83">
        <v>0.95</v>
      </c>
      <c r="AC155" s="83">
        <v>0.95</v>
      </c>
      <c r="AD155" s="83">
        <v>0.95</v>
      </c>
      <c r="AE155" s="83">
        <v>0.95</v>
      </c>
      <c r="AF155" s="83">
        <v>0.95</v>
      </c>
      <c r="AG155" s="82" t="s">
        <v>533</v>
      </c>
      <c r="AH155" s="82" t="s">
        <v>529</v>
      </c>
      <c r="AI155" s="88" t="s">
        <v>538</v>
      </c>
      <c r="AJ155" s="89" t="s">
        <v>538</v>
      </c>
      <c r="AK155" s="90">
        <v>46023</v>
      </c>
      <c r="AL155" s="90">
        <v>46387</v>
      </c>
      <c r="AM155" s="89"/>
      <c r="AN155" s="89"/>
      <c r="AO155" s="89"/>
      <c r="AP155" s="91" t="s">
        <v>540</v>
      </c>
      <c r="AQ155" s="90" cm="1">
        <f t="array" ref="AQ155">IFERROR(DATE(2026, _xlfn.AGGREGATE(15, 6, (COLUMN(BY155:CJ155)-COLUMN(BY155)+1)/(BY155:CJ155&lt;&gt;0), 1), 1),"N/A")</f>
        <v>46023</v>
      </c>
      <c r="AR155" s="90" cm="1">
        <f t="array" ref="AR155">IFERROR(EOMONTH(DATE(2026, _xlfn.AGGREGATE(14, 6, (COLUMN(BY155:CJ155)-COLUMN(BY155)+1)/(BY155:CJ155&lt;&gt;0), 1), 1), 0),"N/A")</f>
        <v>46387</v>
      </c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2" t="s">
        <v>629</v>
      </c>
      <c r="BF155" s="82" t="s">
        <v>742</v>
      </c>
      <c r="BG155" s="82" t="str">
        <f t="shared" si="12"/>
        <v>000</v>
      </c>
      <c r="BH155" s="88">
        <v>630602</v>
      </c>
      <c r="BI155" s="92" t="s">
        <v>74</v>
      </c>
      <c r="BJ155" s="93">
        <v>6600</v>
      </c>
      <c r="BK155" s="94" t="s">
        <v>548</v>
      </c>
      <c r="BL155" s="94" t="s">
        <v>548</v>
      </c>
      <c r="BM155" s="94" t="s">
        <v>548</v>
      </c>
      <c r="BN155" s="72" t="s">
        <v>548</v>
      </c>
      <c r="BO155" s="94">
        <v>6600</v>
      </c>
      <c r="BP155" s="94" t="s">
        <v>548</v>
      </c>
      <c r="BQ155" s="94" t="s">
        <v>548</v>
      </c>
      <c r="BR155" s="94" t="s">
        <v>548</v>
      </c>
      <c r="BS155" s="94" t="s">
        <v>548</v>
      </c>
      <c r="BT155" s="94" t="s">
        <v>548</v>
      </c>
      <c r="BU155" s="94" t="s">
        <v>548</v>
      </c>
      <c r="BV155" s="142" t="s">
        <v>548</v>
      </c>
      <c r="BW155" s="142"/>
      <c r="BX155" s="143">
        <f t="shared" si="17"/>
        <v>6600</v>
      </c>
      <c r="BY155" s="94" t="s">
        <v>548</v>
      </c>
      <c r="BZ155" s="94" t="s">
        <v>548</v>
      </c>
      <c r="CA155" s="94" t="s">
        <v>548</v>
      </c>
      <c r="CB155" s="72" t="s">
        <v>548</v>
      </c>
      <c r="CC155" s="94">
        <v>6600</v>
      </c>
      <c r="CD155" s="94" t="s">
        <v>548</v>
      </c>
      <c r="CE155" s="94" t="s">
        <v>548</v>
      </c>
      <c r="CF155" s="94" t="s">
        <v>548</v>
      </c>
      <c r="CG155" s="94" t="s">
        <v>548</v>
      </c>
      <c r="CH155" s="94" t="s">
        <v>548</v>
      </c>
      <c r="CI155" s="94" t="s">
        <v>548</v>
      </c>
      <c r="CJ155" s="142" t="s">
        <v>548</v>
      </c>
      <c r="CK155" s="142"/>
      <c r="CL155" s="142">
        <f t="shared" si="13"/>
        <v>0</v>
      </c>
      <c r="CM155" s="171">
        <v>0</v>
      </c>
      <c r="CN155" s="171">
        <v>0</v>
      </c>
      <c r="CO155" s="171">
        <v>0</v>
      </c>
      <c r="CP155" s="171">
        <v>0</v>
      </c>
      <c r="CQ155" s="171">
        <v>0</v>
      </c>
      <c r="CR155" s="171">
        <v>0</v>
      </c>
      <c r="CS155" s="171">
        <f t="shared" si="14"/>
        <v>0</v>
      </c>
      <c r="CT155" s="171">
        <f t="shared" si="15"/>
        <v>0</v>
      </c>
      <c r="CU155" s="171">
        <f t="shared" si="16"/>
        <v>0</v>
      </c>
      <c r="CV155" s="150">
        <v>6600</v>
      </c>
      <c r="CW155" s="150">
        <v>6600</v>
      </c>
      <c r="CX155" s="130">
        <v>1</v>
      </c>
      <c r="CY155" s="130">
        <v>1</v>
      </c>
      <c r="CZ155" s="130"/>
      <c r="DA155" s="130"/>
      <c r="DB155" s="130"/>
      <c r="DC155" s="130"/>
      <c r="DD155" s="130"/>
      <c r="DE155" s="208">
        <v>46120</v>
      </c>
      <c r="DF155" s="208">
        <v>46120</v>
      </c>
      <c r="DG155" s="211">
        <v>1</v>
      </c>
      <c r="DH155" s="208">
        <v>46121</v>
      </c>
      <c r="DI155" s="208">
        <v>46121</v>
      </c>
      <c r="DJ155" s="208">
        <v>46121</v>
      </c>
      <c r="DK155" s="208">
        <v>46122</v>
      </c>
      <c r="DL155" s="208">
        <v>46125</v>
      </c>
      <c r="DM155" s="208">
        <v>46126</v>
      </c>
      <c r="DN155" s="208">
        <v>46127</v>
      </c>
      <c r="DO155" s="208">
        <v>46128</v>
      </c>
      <c r="DP155" s="208">
        <v>46129</v>
      </c>
      <c r="DQ155" s="208">
        <v>46129</v>
      </c>
      <c r="DR155" s="208">
        <v>1</v>
      </c>
      <c r="DS155" s="208">
        <v>46132</v>
      </c>
      <c r="DT155" s="208">
        <v>46133</v>
      </c>
      <c r="DU155" s="208">
        <v>46134</v>
      </c>
      <c r="DV155" s="208">
        <v>46135</v>
      </c>
      <c r="DW155" s="208">
        <v>46135</v>
      </c>
      <c r="DX155" s="208">
        <v>46136</v>
      </c>
      <c r="DY155" s="208">
        <v>46136</v>
      </c>
      <c r="DZ155" s="208"/>
      <c r="EA155" s="208"/>
      <c r="EB155" s="208"/>
      <c r="EC155" s="208"/>
      <c r="ED155" s="208">
        <v>46139</v>
      </c>
      <c r="EE155" s="208">
        <v>46140</v>
      </c>
      <c r="EF155" s="208">
        <v>46140</v>
      </c>
      <c r="EG155" s="208"/>
      <c r="EH155" s="208"/>
      <c r="EI155" s="208"/>
      <c r="EJ155" s="208">
        <v>46140</v>
      </c>
      <c r="EK155" s="208">
        <v>46146</v>
      </c>
      <c r="EL155" s="208">
        <v>18</v>
      </c>
      <c r="EM155" s="209"/>
      <c r="EN155" s="209"/>
      <c r="EO155" s="209"/>
      <c r="EP155" s="209"/>
      <c r="EQ155" s="209"/>
      <c r="ER155" s="209"/>
      <c r="ES155" s="209"/>
      <c r="ET155" s="209"/>
      <c r="EU155" s="209"/>
      <c r="EV155" s="209"/>
      <c r="EW155" s="209">
        <v>46146</v>
      </c>
      <c r="EX155" s="209"/>
      <c r="EY155" s="210" t="s">
        <v>854</v>
      </c>
      <c r="EZ155" s="208" t="s">
        <v>908</v>
      </c>
      <c r="FA155" s="207"/>
      <c r="FB155" s="203">
        <v>46120</v>
      </c>
      <c r="FC155" s="203">
        <v>46120</v>
      </c>
      <c r="FD155" s="203">
        <v>46121</v>
      </c>
      <c r="FE155" s="203">
        <v>46121</v>
      </c>
      <c r="FF155" s="203">
        <v>46121</v>
      </c>
      <c r="FG155" s="203">
        <v>46122</v>
      </c>
      <c r="FH155" s="203">
        <v>46125</v>
      </c>
      <c r="FI155" s="203">
        <v>46126</v>
      </c>
      <c r="FJ155" s="203">
        <v>46127</v>
      </c>
      <c r="FK155" s="203">
        <v>46128</v>
      </c>
      <c r="FL155" s="203">
        <v>46129</v>
      </c>
      <c r="FM155" s="203">
        <v>46129</v>
      </c>
      <c r="FN155" s="203">
        <v>46132</v>
      </c>
      <c r="FO155" s="203">
        <v>46133</v>
      </c>
      <c r="FP155" s="203">
        <v>46134</v>
      </c>
      <c r="FQ155" s="203">
        <v>46135</v>
      </c>
      <c r="FR155" s="203">
        <v>46135</v>
      </c>
      <c r="FS155" s="203">
        <v>46136</v>
      </c>
      <c r="FT155" s="203">
        <v>46136</v>
      </c>
      <c r="FU155" s="203"/>
      <c r="FV155" s="203"/>
      <c r="FW155" s="203"/>
      <c r="FX155" s="203"/>
      <c r="FY155" s="203">
        <v>46139</v>
      </c>
      <c r="FZ155" s="203">
        <v>46140</v>
      </c>
      <c r="GA155" s="203">
        <v>46140</v>
      </c>
      <c r="GB155" s="203"/>
      <c r="GC155" s="203"/>
      <c r="GD155" s="203"/>
      <c r="GE155" s="203">
        <v>46140</v>
      </c>
      <c r="GF155" s="203">
        <v>46146</v>
      </c>
      <c r="GG155" s="203">
        <v>18</v>
      </c>
      <c r="GH155" s="203"/>
      <c r="GI155" s="203"/>
      <c r="GJ155" s="203"/>
      <c r="GK155" s="203"/>
      <c r="GL155" s="203"/>
      <c r="GM155" s="203"/>
      <c r="GN155" s="203"/>
      <c r="GO155" s="203"/>
      <c r="GP155" s="203"/>
      <c r="GQ155" s="203">
        <v>46146</v>
      </c>
      <c r="GR155" s="187"/>
      <c r="GS155" s="187" t="s">
        <v>1181</v>
      </c>
      <c r="GT155" s="187" t="s">
        <v>854</v>
      </c>
      <c r="GU155" s="187" t="s">
        <v>908</v>
      </c>
      <c r="GV155" s="187" t="s">
        <v>1162</v>
      </c>
    </row>
    <row r="156" spans="1:204" s="68" customFormat="1" ht="15" customHeight="1" x14ac:dyDescent="0.25">
      <c r="A156" s="68" t="s">
        <v>699</v>
      </c>
      <c r="B156" s="82" t="s">
        <v>154</v>
      </c>
      <c r="C156" s="82" t="s">
        <v>172</v>
      </c>
      <c r="D156" s="95" t="s">
        <v>196</v>
      </c>
      <c r="E156" s="82" t="s">
        <v>309</v>
      </c>
      <c r="F156" s="82" t="s">
        <v>549</v>
      </c>
      <c r="G156" s="82" t="s">
        <v>137</v>
      </c>
      <c r="H156" s="82" t="s">
        <v>137</v>
      </c>
      <c r="I156" s="82" t="s">
        <v>66</v>
      </c>
      <c r="J156" s="82" t="s">
        <v>531</v>
      </c>
      <c r="K156" s="92" t="s">
        <v>137</v>
      </c>
      <c r="L156" s="92" t="s">
        <v>137</v>
      </c>
      <c r="M156" s="92" t="s">
        <v>137</v>
      </c>
      <c r="N156" s="92" t="s">
        <v>137</v>
      </c>
      <c r="O156" s="92" t="s">
        <v>137</v>
      </c>
      <c r="P156" s="92" t="s">
        <v>137</v>
      </c>
      <c r="Q156" s="82" t="s">
        <v>552</v>
      </c>
      <c r="R156" s="82" t="s">
        <v>715</v>
      </c>
      <c r="S156" s="82" t="s">
        <v>555</v>
      </c>
      <c r="T156" s="82" t="s">
        <v>320</v>
      </c>
      <c r="U156" s="83">
        <v>0.95</v>
      </c>
      <c r="V156" s="83">
        <v>0.95</v>
      </c>
      <c r="W156" s="83">
        <v>0.95</v>
      </c>
      <c r="X156" s="83">
        <v>0.95</v>
      </c>
      <c r="Y156" s="83">
        <v>0.95</v>
      </c>
      <c r="Z156" s="83">
        <v>0.95</v>
      </c>
      <c r="AA156" s="83">
        <v>0.95</v>
      </c>
      <c r="AB156" s="83">
        <v>0.95</v>
      </c>
      <c r="AC156" s="83">
        <v>0.95</v>
      </c>
      <c r="AD156" s="83">
        <v>0.95</v>
      </c>
      <c r="AE156" s="83">
        <v>0.95</v>
      </c>
      <c r="AF156" s="83">
        <v>0.95</v>
      </c>
      <c r="AG156" s="82" t="s">
        <v>779</v>
      </c>
      <c r="AH156" s="82" t="s">
        <v>530</v>
      </c>
      <c r="AI156" s="88" t="s">
        <v>538</v>
      </c>
      <c r="AJ156" s="89" t="s">
        <v>538</v>
      </c>
      <c r="AK156" s="90">
        <v>46023</v>
      </c>
      <c r="AL156" s="90">
        <v>46387</v>
      </c>
      <c r="AM156" s="89"/>
      <c r="AN156" s="89"/>
      <c r="AO156" s="89"/>
      <c r="AP156" s="91" t="s">
        <v>540</v>
      </c>
      <c r="AQ156" s="90" cm="1">
        <f t="array" ref="AQ156">IFERROR(DATE(2026, _xlfn.AGGREGATE(15, 6, (COLUMN(BY156:CJ156)-COLUMN(BY156)+1)/(BY156:CJ156&lt;&gt;0), 1), 1),"N/A")</f>
        <v>46113</v>
      </c>
      <c r="AR156" s="90" cm="1">
        <f t="array" ref="AR156">IFERROR(EOMONTH(DATE(2026, _xlfn.AGGREGATE(14, 6, (COLUMN(BY156:CJ156)-COLUMN(BY156)+1)/(BY156:CJ156&lt;&gt;0), 1), 1), 0),"N/A")</f>
        <v>46142</v>
      </c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2" t="s">
        <v>671</v>
      </c>
      <c r="BF156" s="82" t="s">
        <v>738</v>
      </c>
      <c r="BG156" s="82" t="str">
        <f t="shared" si="12"/>
        <v>000</v>
      </c>
      <c r="BH156" s="88">
        <v>530613</v>
      </c>
      <c r="BI156" s="92" t="s">
        <v>74</v>
      </c>
      <c r="BJ156" s="93">
        <v>51996.95</v>
      </c>
      <c r="BK156" s="74">
        <v>0</v>
      </c>
      <c r="BL156" s="74">
        <v>0</v>
      </c>
      <c r="BM156" s="74">
        <v>0</v>
      </c>
      <c r="BN156" s="72">
        <v>51996.95</v>
      </c>
      <c r="BO156" s="74">
        <v>0</v>
      </c>
      <c r="BP156" s="74">
        <v>0</v>
      </c>
      <c r="BQ156" s="74">
        <v>0</v>
      </c>
      <c r="BR156" s="74">
        <v>0</v>
      </c>
      <c r="BS156" s="74">
        <v>0</v>
      </c>
      <c r="BT156" s="74">
        <v>0</v>
      </c>
      <c r="BU156" s="74">
        <v>0</v>
      </c>
      <c r="BV156" s="143">
        <v>0</v>
      </c>
      <c r="BW156" s="143">
        <v>-11348.45</v>
      </c>
      <c r="BX156" s="143">
        <f t="shared" si="17"/>
        <v>40648.5</v>
      </c>
      <c r="BY156" s="74">
        <v>0</v>
      </c>
      <c r="BZ156" s="74">
        <v>0</v>
      </c>
      <c r="CA156" s="74">
        <v>0</v>
      </c>
      <c r="CB156" s="72">
        <v>40648.5</v>
      </c>
      <c r="CC156" s="74">
        <v>0</v>
      </c>
      <c r="CD156" s="74">
        <v>0</v>
      </c>
      <c r="CE156" s="74">
        <v>0</v>
      </c>
      <c r="CF156" s="74">
        <v>0</v>
      </c>
      <c r="CG156" s="74">
        <v>0</v>
      </c>
      <c r="CH156" s="74">
        <v>0</v>
      </c>
      <c r="CI156" s="74">
        <v>0</v>
      </c>
      <c r="CJ156" s="143">
        <v>0</v>
      </c>
      <c r="CK156" s="143"/>
      <c r="CL156" s="142">
        <f t="shared" si="13"/>
        <v>0</v>
      </c>
      <c r="CM156" s="171">
        <v>0</v>
      </c>
      <c r="CN156" s="171">
        <v>40648.5</v>
      </c>
      <c r="CO156" s="171">
        <v>0</v>
      </c>
      <c r="CP156" s="171">
        <v>0</v>
      </c>
      <c r="CQ156" s="171">
        <v>40648.5</v>
      </c>
      <c r="CR156" s="171">
        <v>0</v>
      </c>
      <c r="CS156" s="171">
        <f t="shared" si="14"/>
        <v>0</v>
      </c>
      <c r="CT156" s="171">
        <f t="shared" si="15"/>
        <v>81297</v>
      </c>
      <c r="CU156" s="171">
        <f t="shared" si="16"/>
        <v>0</v>
      </c>
      <c r="CV156" s="149"/>
      <c r="CW156" s="149"/>
      <c r="CX156" s="130"/>
      <c r="CY156" s="130"/>
      <c r="CZ156" s="130"/>
      <c r="DA156" s="130"/>
      <c r="DB156" s="130"/>
      <c r="DC156" s="130"/>
      <c r="DD156" s="130" t="s">
        <v>856</v>
      </c>
      <c r="DE156" s="130"/>
      <c r="DF156" s="130"/>
      <c r="DG156" s="130"/>
      <c r="DH156" s="130"/>
      <c r="DI156" s="130"/>
      <c r="DJ156" s="130"/>
      <c r="DK156" s="130"/>
      <c r="DL156" s="130"/>
      <c r="DM156" s="130"/>
      <c r="DN156" s="130"/>
      <c r="DO156" s="130"/>
      <c r="DP156" s="130"/>
      <c r="DQ156" s="130"/>
      <c r="DR156" s="130"/>
      <c r="DS156" s="130"/>
      <c r="DT156" s="130"/>
      <c r="DU156" s="130"/>
      <c r="DV156" s="130"/>
      <c r="DW156" s="130"/>
      <c r="DX156" s="130"/>
      <c r="DY156" s="130"/>
      <c r="DZ156" s="130"/>
      <c r="EA156" s="130"/>
      <c r="EB156" s="130"/>
      <c r="EC156" s="130"/>
      <c r="ED156" s="130"/>
      <c r="EE156" s="130"/>
      <c r="EF156" s="130"/>
      <c r="EG156" s="130"/>
      <c r="EH156" s="130"/>
      <c r="EI156" s="130"/>
      <c r="EJ156" s="130"/>
      <c r="EK156" s="130"/>
      <c r="EL156" s="130"/>
      <c r="EM156" s="130"/>
      <c r="EN156" s="130"/>
      <c r="EO156" s="130"/>
      <c r="EP156" s="130"/>
      <c r="EQ156" s="130"/>
      <c r="ER156" s="130"/>
      <c r="ES156" s="130"/>
      <c r="ET156" s="130"/>
      <c r="EU156" s="130"/>
      <c r="EV156" s="130"/>
      <c r="EW156" s="130"/>
      <c r="EX156" s="130"/>
      <c r="EY156" s="130"/>
      <c r="EZ156" s="130"/>
      <c r="FA156" s="130"/>
      <c r="FB156" s="201"/>
      <c r="FC156" s="201"/>
      <c r="FD156" s="201"/>
      <c r="FE156" s="201"/>
      <c r="FF156" s="201"/>
      <c r="FG156" s="201"/>
      <c r="FH156" s="201"/>
      <c r="FI156" s="201"/>
      <c r="FJ156" s="201"/>
      <c r="FK156" s="201"/>
      <c r="FL156" s="201"/>
      <c r="FM156" s="201"/>
      <c r="FN156" s="201"/>
      <c r="FO156" s="201"/>
      <c r="FP156" s="201"/>
      <c r="FQ156" s="201"/>
      <c r="FR156" s="201"/>
      <c r="FS156" s="201"/>
      <c r="FT156" s="201"/>
      <c r="FU156" s="201"/>
      <c r="FV156" s="201"/>
      <c r="FW156" s="201"/>
      <c r="FX156" s="201"/>
      <c r="FY156" s="201"/>
      <c r="FZ156" s="201"/>
      <c r="GA156" s="201"/>
      <c r="GB156" s="201"/>
      <c r="GC156" s="201"/>
      <c r="GD156" s="201"/>
      <c r="GE156" s="201"/>
      <c r="GF156" s="201"/>
      <c r="GG156" s="201"/>
      <c r="GH156" s="201"/>
      <c r="GI156" s="201"/>
      <c r="GJ156" s="201"/>
      <c r="GK156" s="201"/>
      <c r="GL156" s="201"/>
      <c r="GM156" s="201"/>
      <c r="GN156" s="201"/>
      <c r="GO156" s="201"/>
      <c r="GP156" s="201"/>
      <c r="GQ156" s="201"/>
    </row>
    <row r="157" spans="1:204" s="68" customFormat="1" ht="15" customHeight="1" x14ac:dyDescent="0.25">
      <c r="A157" s="68" t="s">
        <v>699</v>
      </c>
      <c r="B157" s="82" t="s">
        <v>154</v>
      </c>
      <c r="C157" s="82" t="s">
        <v>172</v>
      </c>
      <c r="D157" s="95" t="s">
        <v>196</v>
      </c>
      <c r="E157" s="82" t="s">
        <v>309</v>
      </c>
      <c r="F157" s="82" t="s">
        <v>549</v>
      </c>
      <c r="G157" s="82" t="s">
        <v>137</v>
      </c>
      <c r="H157" s="82" t="s">
        <v>137</v>
      </c>
      <c r="I157" s="82" t="s">
        <v>66</v>
      </c>
      <c r="J157" s="82" t="s">
        <v>531</v>
      </c>
      <c r="K157" s="92" t="s">
        <v>137</v>
      </c>
      <c r="L157" s="92" t="s">
        <v>137</v>
      </c>
      <c r="M157" s="92" t="s">
        <v>137</v>
      </c>
      <c r="N157" s="92" t="s">
        <v>137</v>
      </c>
      <c r="O157" s="92" t="s">
        <v>137</v>
      </c>
      <c r="P157" s="92" t="s">
        <v>137</v>
      </c>
      <c r="Q157" s="82" t="s">
        <v>552</v>
      </c>
      <c r="R157" s="82" t="s">
        <v>715</v>
      </c>
      <c r="S157" s="82" t="s">
        <v>555</v>
      </c>
      <c r="T157" s="82" t="s">
        <v>320</v>
      </c>
      <c r="U157" s="83">
        <v>0.95</v>
      </c>
      <c r="V157" s="83">
        <v>0.95</v>
      </c>
      <c r="W157" s="83">
        <v>0.95</v>
      </c>
      <c r="X157" s="83">
        <v>0.95</v>
      </c>
      <c r="Y157" s="83">
        <v>0.95</v>
      </c>
      <c r="Z157" s="83">
        <v>0.95</v>
      </c>
      <c r="AA157" s="83">
        <v>0.95</v>
      </c>
      <c r="AB157" s="83">
        <v>0.95</v>
      </c>
      <c r="AC157" s="83">
        <v>0.95</v>
      </c>
      <c r="AD157" s="83">
        <v>0.95</v>
      </c>
      <c r="AE157" s="83">
        <v>0.95</v>
      </c>
      <c r="AF157" s="83">
        <v>0.95</v>
      </c>
      <c r="AG157" s="82" t="s">
        <v>533</v>
      </c>
      <c r="AH157" s="82" t="s">
        <v>794</v>
      </c>
      <c r="AI157" s="88" t="s">
        <v>538</v>
      </c>
      <c r="AJ157" s="89" t="s">
        <v>538</v>
      </c>
      <c r="AK157" s="90">
        <v>46023</v>
      </c>
      <c r="AL157" s="90">
        <v>46387</v>
      </c>
      <c r="AM157" s="89"/>
      <c r="AN157" s="89"/>
      <c r="AO157" s="89"/>
      <c r="AP157" s="91" t="s">
        <v>540</v>
      </c>
      <c r="AQ157" s="90" cm="1">
        <f t="array" ref="AQ157">IFERROR(DATE(2026, _xlfn.AGGREGATE(15, 6, (COLUMN(BY157:CJ157)-COLUMN(BY157)+1)/(BY157:CJ157&lt;&gt;0), 1), 1),"N/A")</f>
        <v>46113</v>
      </c>
      <c r="AR157" s="90" cm="1">
        <f t="array" ref="AR157">IFERROR(EOMONTH(DATE(2026, _xlfn.AGGREGATE(14, 6, (COLUMN(BY157:CJ157)-COLUMN(BY157)+1)/(BY157:CJ157&lt;&gt;0), 1), 1), 0),"N/A")</f>
        <v>46142</v>
      </c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2" t="s">
        <v>1122</v>
      </c>
      <c r="BF157" s="82" t="s">
        <v>1123</v>
      </c>
      <c r="BG157" s="82" t="str">
        <f t="shared" si="12"/>
        <v>000</v>
      </c>
      <c r="BH157" s="88">
        <v>530613</v>
      </c>
      <c r="BI157" s="92" t="s">
        <v>74</v>
      </c>
      <c r="BJ157" s="93">
        <v>0</v>
      </c>
      <c r="BK157" s="74"/>
      <c r="BL157" s="74"/>
      <c r="BM157" s="74"/>
      <c r="BN157" s="74"/>
      <c r="BO157" s="74"/>
      <c r="BP157" s="74"/>
      <c r="BQ157" s="74"/>
      <c r="BR157" s="94"/>
      <c r="BS157" s="74"/>
      <c r="BT157" s="74"/>
      <c r="BU157" s="74"/>
      <c r="BV157" s="142"/>
      <c r="BW157" s="142">
        <v>1492.25</v>
      </c>
      <c r="BX157" s="143">
        <f t="shared" si="17"/>
        <v>1492.25</v>
      </c>
      <c r="BY157" s="74"/>
      <c r="BZ157" s="74"/>
      <c r="CA157" s="74"/>
      <c r="CB157" s="74">
        <v>1492.25</v>
      </c>
      <c r="CC157" s="74"/>
      <c r="CD157" s="74"/>
      <c r="CE157" s="74"/>
      <c r="CF157" s="94"/>
      <c r="CG157" s="74"/>
      <c r="CH157" s="74"/>
      <c r="CI157" s="74"/>
      <c r="CJ157" s="142"/>
      <c r="CK157" s="142"/>
      <c r="CL157" s="142">
        <f t="shared" si="13"/>
        <v>0</v>
      </c>
      <c r="CM157" s="171">
        <v>0</v>
      </c>
      <c r="CN157" s="171">
        <v>0</v>
      </c>
      <c r="CO157" s="171">
        <v>0</v>
      </c>
      <c r="CP157" s="171">
        <v>0</v>
      </c>
      <c r="CQ157" s="171">
        <v>0</v>
      </c>
      <c r="CR157" s="171">
        <v>0</v>
      </c>
      <c r="CS157" s="171">
        <f t="shared" si="14"/>
        <v>0</v>
      </c>
      <c r="CT157" s="171">
        <f t="shared" si="15"/>
        <v>0</v>
      </c>
      <c r="CU157" s="171">
        <f t="shared" si="16"/>
        <v>0</v>
      </c>
      <c r="CV157" s="152"/>
      <c r="CW157" s="152"/>
      <c r="CX157" s="130"/>
      <c r="CY157" s="130"/>
      <c r="CZ157" s="130"/>
      <c r="DA157" s="130"/>
      <c r="DB157" s="130"/>
      <c r="DC157" s="130"/>
      <c r="DD157" s="130"/>
      <c r="DE157" s="131"/>
      <c r="DF157" s="131"/>
      <c r="DG157" s="132"/>
      <c r="DH157" s="131"/>
      <c r="DI157" s="131"/>
      <c r="DJ157" s="131"/>
      <c r="DK157" s="131"/>
      <c r="DL157" s="131"/>
      <c r="DM157" s="131"/>
      <c r="DN157" s="131"/>
      <c r="DO157" s="131"/>
      <c r="DP157" s="131"/>
      <c r="DQ157" s="131"/>
      <c r="DR157" s="132"/>
      <c r="DS157" s="131"/>
      <c r="DT157" s="131"/>
      <c r="DU157" s="131"/>
      <c r="DV157" s="131"/>
      <c r="DW157" s="131"/>
      <c r="DX157" s="131"/>
      <c r="DY157" s="131"/>
      <c r="DZ157" s="132"/>
      <c r="EA157" s="132"/>
      <c r="EB157" s="132"/>
      <c r="EC157" s="132"/>
      <c r="ED157" s="131"/>
      <c r="EE157" s="131"/>
      <c r="EF157" s="131"/>
      <c r="EG157" s="131"/>
      <c r="EH157" s="131"/>
      <c r="EI157" s="131"/>
      <c r="EJ157" s="131"/>
      <c r="EK157" s="131"/>
      <c r="EL157" s="132"/>
      <c r="EM157" s="131"/>
      <c r="EN157" s="131"/>
      <c r="EO157" s="133"/>
      <c r="EP157" s="133"/>
      <c r="EQ157" s="133"/>
      <c r="ER157" s="133"/>
      <c r="ES157" s="133"/>
      <c r="ET157" s="133"/>
      <c r="EU157" s="133"/>
      <c r="EV157" s="134"/>
      <c r="EW157" s="133"/>
      <c r="EX157" s="133"/>
      <c r="EY157" s="154"/>
      <c r="EZ157" s="132"/>
      <c r="FA157" s="136"/>
      <c r="FB157" s="201"/>
      <c r="FC157" s="201"/>
      <c r="FD157" s="201"/>
      <c r="FE157" s="201"/>
      <c r="FF157" s="201"/>
      <c r="FG157" s="201"/>
      <c r="FH157" s="201"/>
      <c r="FI157" s="201"/>
      <c r="FJ157" s="201"/>
      <c r="FK157" s="201"/>
      <c r="FL157" s="201"/>
      <c r="FM157" s="201"/>
      <c r="FN157" s="201"/>
      <c r="FO157" s="201"/>
      <c r="FP157" s="201"/>
      <c r="FQ157" s="201"/>
      <c r="FR157" s="201"/>
      <c r="FS157" s="201"/>
      <c r="FT157" s="201"/>
      <c r="FU157" s="201"/>
      <c r="FV157" s="201"/>
      <c r="FW157" s="201"/>
      <c r="FX157" s="201"/>
      <c r="FY157" s="201"/>
      <c r="FZ157" s="201"/>
      <c r="GA157" s="201"/>
      <c r="GB157" s="201"/>
      <c r="GC157" s="201"/>
      <c r="GD157" s="201"/>
      <c r="GE157" s="201"/>
      <c r="GF157" s="201"/>
      <c r="GG157" s="201"/>
      <c r="GH157" s="201"/>
      <c r="GI157" s="201"/>
      <c r="GJ157" s="201"/>
      <c r="GK157" s="201"/>
      <c r="GL157" s="201"/>
      <c r="GM157" s="201"/>
      <c r="GN157" s="201"/>
      <c r="GO157" s="201"/>
      <c r="GP157" s="201"/>
      <c r="GQ157" s="201"/>
    </row>
    <row r="158" spans="1:204" s="68" customFormat="1" ht="15" customHeight="1" x14ac:dyDescent="0.25">
      <c r="A158" s="68" t="s">
        <v>699</v>
      </c>
      <c r="B158" s="82" t="s">
        <v>154</v>
      </c>
      <c r="C158" s="82" t="s">
        <v>172</v>
      </c>
      <c r="D158" s="95" t="s">
        <v>196</v>
      </c>
      <c r="E158" s="82" t="s">
        <v>309</v>
      </c>
      <c r="F158" s="82" t="s">
        <v>549</v>
      </c>
      <c r="G158" s="82" t="s">
        <v>137</v>
      </c>
      <c r="H158" s="82" t="s">
        <v>137</v>
      </c>
      <c r="I158" s="82" t="s">
        <v>66</v>
      </c>
      <c r="J158" s="82" t="s">
        <v>531</v>
      </c>
      <c r="K158" s="92" t="s">
        <v>137</v>
      </c>
      <c r="L158" s="92" t="s">
        <v>137</v>
      </c>
      <c r="M158" s="92" t="s">
        <v>137</v>
      </c>
      <c r="N158" s="92" t="s">
        <v>137</v>
      </c>
      <c r="O158" s="92" t="s">
        <v>137</v>
      </c>
      <c r="P158" s="92" t="s">
        <v>137</v>
      </c>
      <c r="Q158" s="82" t="s">
        <v>552</v>
      </c>
      <c r="R158" s="82" t="s">
        <v>715</v>
      </c>
      <c r="S158" s="82" t="s">
        <v>555</v>
      </c>
      <c r="T158" s="82" t="s">
        <v>320</v>
      </c>
      <c r="U158" s="83">
        <v>0.95</v>
      </c>
      <c r="V158" s="83">
        <v>0.95</v>
      </c>
      <c r="W158" s="83">
        <v>0.95</v>
      </c>
      <c r="X158" s="83">
        <v>0.95</v>
      </c>
      <c r="Y158" s="83">
        <v>0.95</v>
      </c>
      <c r="Z158" s="83">
        <v>0.95</v>
      </c>
      <c r="AA158" s="83">
        <v>0.95</v>
      </c>
      <c r="AB158" s="83">
        <v>0.95</v>
      </c>
      <c r="AC158" s="83">
        <v>0.95</v>
      </c>
      <c r="AD158" s="83">
        <v>0.95</v>
      </c>
      <c r="AE158" s="83">
        <v>0.95</v>
      </c>
      <c r="AF158" s="83">
        <v>0.95</v>
      </c>
      <c r="AG158" s="82" t="s">
        <v>533</v>
      </c>
      <c r="AH158" s="82" t="s">
        <v>529</v>
      </c>
      <c r="AI158" s="88" t="s">
        <v>538</v>
      </c>
      <c r="AJ158" s="89" t="s">
        <v>538</v>
      </c>
      <c r="AK158" s="90">
        <v>46023</v>
      </c>
      <c r="AL158" s="90">
        <v>46387</v>
      </c>
      <c r="AM158" s="89"/>
      <c r="AN158" s="89"/>
      <c r="AO158" s="89"/>
      <c r="AP158" s="91" t="s">
        <v>540</v>
      </c>
      <c r="AQ158" s="90" cm="1">
        <f t="array" ref="AQ158">IFERROR(DATE(2026, _xlfn.AGGREGATE(15, 6, (COLUMN(BY158:CJ158)-COLUMN(BY158)+1)/(BY158:CJ158&lt;&gt;0), 1), 1),"N/A")</f>
        <v>46235</v>
      </c>
      <c r="AR158" s="90" cm="1">
        <f t="array" ref="AR158">IFERROR(EOMONTH(DATE(2026, _xlfn.AGGREGATE(14, 6, (COLUMN(BY158:CJ158)-COLUMN(BY158)+1)/(BY158:CJ158&lt;&gt;0), 1), 1), 0),"N/A")</f>
        <v>46387</v>
      </c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2" t="s">
        <v>676</v>
      </c>
      <c r="BF158" s="82" t="s">
        <v>1038</v>
      </c>
      <c r="BG158" s="82" t="str">
        <f t="shared" si="12"/>
        <v>000</v>
      </c>
      <c r="BH158" s="88">
        <v>530613</v>
      </c>
      <c r="BI158" s="92" t="s">
        <v>74</v>
      </c>
      <c r="BJ158" s="93">
        <v>77339.55</v>
      </c>
      <c r="BK158" s="74">
        <v>0</v>
      </c>
      <c r="BL158" s="74">
        <v>0</v>
      </c>
      <c r="BM158" s="74">
        <v>0</v>
      </c>
      <c r="BN158" s="74">
        <v>0</v>
      </c>
      <c r="BO158" s="74">
        <v>0</v>
      </c>
      <c r="BP158" s="74">
        <v>0</v>
      </c>
      <c r="BQ158" s="74">
        <v>0</v>
      </c>
      <c r="BR158" s="94">
        <v>38669.75</v>
      </c>
      <c r="BS158" s="74">
        <v>0</v>
      </c>
      <c r="BT158" s="74">
        <v>0</v>
      </c>
      <c r="BU158" s="74">
        <v>0</v>
      </c>
      <c r="BV158" s="142">
        <v>38669.800000000003</v>
      </c>
      <c r="BW158" s="142">
        <v>9856.2000000000007</v>
      </c>
      <c r="BX158" s="143">
        <f t="shared" si="17"/>
        <v>87195.75</v>
      </c>
      <c r="BY158" s="74">
        <v>0</v>
      </c>
      <c r="BZ158" s="74">
        <v>0</v>
      </c>
      <c r="CA158" s="74">
        <v>0</v>
      </c>
      <c r="CB158" s="74">
        <v>0</v>
      </c>
      <c r="CC158" s="74">
        <v>0</v>
      </c>
      <c r="CD158" s="74">
        <v>0</v>
      </c>
      <c r="CE158" s="74">
        <v>0</v>
      </c>
      <c r="CF158" s="94">
        <v>44000</v>
      </c>
      <c r="CG158" s="74">
        <v>0</v>
      </c>
      <c r="CH158" s="74">
        <v>0</v>
      </c>
      <c r="CI158" s="74">
        <v>0</v>
      </c>
      <c r="CJ158" s="142">
        <v>43195.75</v>
      </c>
      <c r="CK158" s="142"/>
      <c r="CL158" s="142">
        <f t="shared" si="13"/>
        <v>0</v>
      </c>
      <c r="CM158" s="171">
        <v>0</v>
      </c>
      <c r="CN158" s="171">
        <v>0</v>
      </c>
      <c r="CO158" s="171">
        <v>0</v>
      </c>
      <c r="CP158" s="171">
        <v>0</v>
      </c>
      <c r="CQ158" s="171">
        <v>0</v>
      </c>
      <c r="CR158" s="171">
        <v>0</v>
      </c>
      <c r="CS158" s="171">
        <f t="shared" si="14"/>
        <v>0</v>
      </c>
      <c r="CT158" s="171">
        <f t="shared" si="15"/>
        <v>0</v>
      </c>
      <c r="CU158" s="171">
        <f t="shared" si="16"/>
        <v>0</v>
      </c>
      <c r="CV158" s="152">
        <v>77339.55</v>
      </c>
      <c r="CW158" s="149">
        <v>87195.75</v>
      </c>
      <c r="CX158" s="130">
        <v>2</v>
      </c>
      <c r="CY158" s="130">
        <v>2</v>
      </c>
      <c r="CZ158" s="130" t="s">
        <v>321</v>
      </c>
      <c r="DA158" s="130" t="s">
        <v>863</v>
      </c>
      <c r="DB158" s="130" t="s">
        <v>850</v>
      </c>
      <c r="DC158" s="130" t="s">
        <v>851</v>
      </c>
      <c r="DD158" s="130"/>
      <c r="DE158" s="131">
        <v>46127</v>
      </c>
      <c r="DF158" s="131">
        <v>46127</v>
      </c>
      <c r="DG158" s="132">
        <v>1</v>
      </c>
      <c r="DH158" s="131">
        <v>46128</v>
      </c>
      <c r="DI158" s="131">
        <v>46128</v>
      </c>
      <c r="DJ158" s="131">
        <v>46128</v>
      </c>
      <c r="DK158" s="131">
        <v>46129</v>
      </c>
      <c r="DL158" s="131">
        <v>46132</v>
      </c>
      <c r="DM158" s="131">
        <v>46133</v>
      </c>
      <c r="DN158" s="131">
        <v>46134</v>
      </c>
      <c r="DO158" s="131">
        <v>46135</v>
      </c>
      <c r="DP158" s="131">
        <v>46136</v>
      </c>
      <c r="DQ158" s="131">
        <v>46136</v>
      </c>
      <c r="DR158" s="132">
        <v>1</v>
      </c>
      <c r="DS158" s="131">
        <v>46139</v>
      </c>
      <c r="DT158" s="131">
        <v>46140</v>
      </c>
      <c r="DU158" s="131">
        <v>46141</v>
      </c>
      <c r="DV158" s="131">
        <v>46142</v>
      </c>
      <c r="DW158" s="131">
        <v>46142</v>
      </c>
      <c r="DX158" s="131">
        <v>46143</v>
      </c>
      <c r="DY158" s="131">
        <v>46143</v>
      </c>
      <c r="DZ158" s="132"/>
      <c r="EA158" s="132"/>
      <c r="EB158" s="132"/>
      <c r="EC158" s="132"/>
      <c r="ED158" s="131">
        <v>46146</v>
      </c>
      <c r="EE158" s="131">
        <v>46147</v>
      </c>
      <c r="EF158" s="131">
        <v>46147</v>
      </c>
      <c r="EG158" s="131">
        <v>46148</v>
      </c>
      <c r="EH158" s="131">
        <v>46149</v>
      </c>
      <c r="EI158" s="131">
        <v>46150</v>
      </c>
      <c r="EJ158" s="131">
        <v>46153</v>
      </c>
      <c r="EK158" s="131">
        <v>46153</v>
      </c>
      <c r="EL158" s="132">
        <v>18</v>
      </c>
      <c r="EM158" s="131">
        <v>46155</v>
      </c>
      <c r="EN158" s="131">
        <v>46157</v>
      </c>
      <c r="EO158" s="133">
        <v>46161</v>
      </c>
      <c r="EP158" s="133">
        <v>46162</v>
      </c>
      <c r="EQ158" s="133">
        <v>46163</v>
      </c>
      <c r="ER158" s="133">
        <v>46167</v>
      </c>
      <c r="ES158" s="133">
        <v>46168</v>
      </c>
      <c r="ET158" s="133">
        <v>46168</v>
      </c>
      <c r="EU158" s="133">
        <v>46171</v>
      </c>
      <c r="EV158" s="134">
        <v>2</v>
      </c>
      <c r="EW158" s="133">
        <v>46176</v>
      </c>
      <c r="EX158" s="133"/>
      <c r="EY158" s="154" t="s">
        <v>863</v>
      </c>
      <c r="EZ158" s="132" t="s">
        <v>885</v>
      </c>
      <c r="FA158" s="136"/>
      <c r="FB158" s="203">
        <v>46127</v>
      </c>
      <c r="FC158" s="203">
        <v>46127</v>
      </c>
      <c r="FD158" s="203">
        <v>46128</v>
      </c>
      <c r="FE158" s="203">
        <v>46128</v>
      </c>
      <c r="FF158" s="203">
        <v>46128</v>
      </c>
      <c r="FG158" s="203">
        <v>46129</v>
      </c>
      <c r="FH158" s="203">
        <v>46132</v>
      </c>
      <c r="FI158" s="203">
        <v>46133</v>
      </c>
      <c r="FJ158" s="203">
        <v>46134</v>
      </c>
      <c r="FK158" s="203">
        <v>46135</v>
      </c>
      <c r="FL158" s="203">
        <v>46136</v>
      </c>
      <c r="FM158" s="203">
        <v>46136</v>
      </c>
      <c r="FN158" s="203">
        <v>46139</v>
      </c>
      <c r="FO158" s="203">
        <v>46140</v>
      </c>
      <c r="FP158" s="203">
        <v>46141</v>
      </c>
      <c r="FQ158" s="203">
        <v>46142</v>
      </c>
      <c r="FR158" s="203">
        <v>46142</v>
      </c>
      <c r="FS158" s="203">
        <v>46143</v>
      </c>
      <c r="FT158" s="203">
        <v>46143</v>
      </c>
      <c r="FU158" s="203"/>
      <c r="FV158" s="203"/>
      <c r="FW158" s="203"/>
      <c r="FX158" s="203"/>
      <c r="FY158" s="203">
        <v>46146</v>
      </c>
      <c r="FZ158" s="203">
        <v>46147</v>
      </c>
      <c r="GA158" s="203">
        <v>46147</v>
      </c>
      <c r="GB158" s="203">
        <v>46148</v>
      </c>
      <c r="GC158" s="203">
        <v>46149</v>
      </c>
      <c r="GD158" s="203">
        <v>46150</v>
      </c>
      <c r="GE158" s="203">
        <v>46153</v>
      </c>
      <c r="GF158" s="203">
        <v>46153</v>
      </c>
      <c r="GG158" s="203">
        <v>18</v>
      </c>
      <c r="GH158" s="203">
        <v>46155</v>
      </c>
      <c r="GI158" s="203">
        <v>46157</v>
      </c>
      <c r="GJ158" s="203">
        <v>46161</v>
      </c>
      <c r="GK158" s="203">
        <v>46162</v>
      </c>
      <c r="GL158" s="203">
        <v>46163</v>
      </c>
      <c r="GM158" s="203">
        <v>46167</v>
      </c>
      <c r="GN158" s="203">
        <v>46168</v>
      </c>
      <c r="GO158" s="203">
        <v>46168</v>
      </c>
      <c r="GP158" s="203">
        <v>46171</v>
      </c>
      <c r="GQ158" s="203">
        <v>46176</v>
      </c>
      <c r="GR158" s="187"/>
      <c r="GS158" s="187" t="s">
        <v>1180</v>
      </c>
      <c r="GT158" s="187" t="s">
        <v>863</v>
      </c>
      <c r="GU158" s="187" t="s">
        <v>885</v>
      </c>
      <c r="GV158" s="187" t="s">
        <v>1170</v>
      </c>
    </row>
    <row r="159" spans="1:204" s="68" customFormat="1" ht="15" customHeight="1" x14ac:dyDescent="0.25">
      <c r="A159" s="68" t="s">
        <v>701</v>
      </c>
      <c r="B159" s="82" t="s">
        <v>154</v>
      </c>
      <c r="C159" s="82" t="s">
        <v>172</v>
      </c>
      <c r="D159" s="95" t="s">
        <v>196</v>
      </c>
      <c r="E159" s="82" t="s">
        <v>309</v>
      </c>
      <c r="F159" s="82" t="s">
        <v>549</v>
      </c>
      <c r="G159" s="82" t="s">
        <v>137</v>
      </c>
      <c r="H159" s="82" t="s">
        <v>137</v>
      </c>
      <c r="I159" s="82" t="s">
        <v>66</v>
      </c>
      <c r="J159" s="82" t="s">
        <v>531</v>
      </c>
      <c r="K159" s="92" t="s">
        <v>137</v>
      </c>
      <c r="L159" s="92" t="s">
        <v>137</v>
      </c>
      <c r="M159" s="92" t="s">
        <v>137</v>
      </c>
      <c r="N159" s="92" t="s">
        <v>137</v>
      </c>
      <c r="O159" s="92" t="s">
        <v>137</v>
      </c>
      <c r="P159" s="92" t="s">
        <v>137</v>
      </c>
      <c r="Q159" s="82" t="s">
        <v>552</v>
      </c>
      <c r="R159" s="82" t="s">
        <v>715</v>
      </c>
      <c r="S159" s="82" t="s">
        <v>555</v>
      </c>
      <c r="T159" s="82" t="s">
        <v>320</v>
      </c>
      <c r="U159" s="83">
        <v>0.95</v>
      </c>
      <c r="V159" s="83">
        <v>0.95</v>
      </c>
      <c r="W159" s="83">
        <v>0.95</v>
      </c>
      <c r="X159" s="83">
        <v>0.95</v>
      </c>
      <c r="Y159" s="83">
        <v>0.95</v>
      </c>
      <c r="Z159" s="83">
        <v>0.95</v>
      </c>
      <c r="AA159" s="83">
        <v>0.95</v>
      </c>
      <c r="AB159" s="83">
        <v>0.95</v>
      </c>
      <c r="AC159" s="83">
        <v>0.95</v>
      </c>
      <c r="AD159" s="83">
        <v>0.95</v>
      </c>
      <c r="AE159" s="83">
        <v>0.95</v>
      </c>
      <c r="AF159" s="83">
        <v>0.95</v>
      </c>
      <c r="AG159" s="82" t="s">
        <v>533</v>
      </c>
      <c r="AH159" s="82" t="s">
        <v>529</v>
      </c>
      <c r="AI159" s="88" t="s">
        <v>538</v>
      </c>
      <c r="AJ159" s="89" t="s">
        <v>538</v>
      </c>
      <c r="AK159" s="90">
        <v>46023</v>
      </c>
      <c r="AL159" s="90">
        <v>46387</v>
      </c>
      <c r="AM159" s="89"/>
      <c r="AN159" s="89"/>
      <c r="AO159" s="89"/>
      <c r="AP159" s="91" t="s">
        <v>540</v>
      </c>
      <c r="AQ159" s="90" cm="1">
        <f t="array" ref="AQ159">IFERROR(DATE(2026, _xlfn.AGGREGATE(15, 6, (COLUMN(BY159:CJ159)-COLUMN(BY159)+1)/(BY159:CJ159&lt;&gt;0), 1), 1),"N/A")</f>
        <v>46023</v>
      </c>
      <c r="AR159" s="90" cm="1">
        <f t="array" ref="AR159">IFERROR(EOMONTH(DATE(2026, _xlfn.AGGREGATE(14, 6, (COLUMN(BY159:CJ159)-COLUMN(BY159)+1)/(BY159:CJ159&lt;&gt;0), 1), 1), 0),"N/A")</f>
        <v>46387</v>
      </c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2" t="s">
        <v>587</v>
      </c>
      <c r="BF159" s="82" t="s">
        <v>1025</v>
      </c>
      <c r="BG159" s="82" t="str">
        <f t="shared" si="12"/>
        <v>000</v>
      </c>
      <c r="BH159" s="88">
        <v>630105</v>
      </c>
      <c r="BI159" s="92" t="s">
        <v>74</v>
      </c>
      <c r="BJ159" s="93">
        <v>1000</v>
      </c>
      <c r="BK159" s="94" t="s">
        <v>548</v>
      </c>
      <c r="BL159" s="94">
        <v>90.91</v>
      </c>
      <c r="BM159" s="94">
        <v>90.91</v>
      </c>
      <c r="BN159" s="72">
        <v>90.91</v>
      </c>
      <c r="BO159" s="94">
        <v>90.91</v>
      </c>
      <c r="BP159" s="94">
        <v>90.91</v>
      </c>
      <c r="BQ159" s="94">
        <v>90.91</v>
      </c>
      <c r="BR159" s="94">
        <v>90.91</v>
      </c>
      <c r="BS159" s="94">
        <v>90.91</v>
      </c>
      <c r="BT159" s="94">
        <v>90.91</v>
      </c>
      <c r="BU159" s="94">
        <v>90.91</v>
      </c>
      <c r="BV159" s="142">
        <v>90.9</v>
      </c>
      <c r="BW159" s="142"/>
      <c r="BX159" s="143">
        <f t="shared" si="17"/>
        <v>1000</v>
      </c>
      <c r="BY159" s="94" t="s">
        <v>548</v>
      </c>
      <c r="BZ159" s="94">
        <v>90.91</v>
      </c>
      <c r="CA159" s="94">
        <v>90.91</v>
      </c>
      <c r="CB159" s="72">
        <v>90.91</v>
      </c>
      <c r="CC159" s="94">
        <v>90.91</v>
      </c>
      <c r="CD159" s="94">
        <v>90.91</v>
      </c>
      <c r="CE159" s="94">
        <v>90.91</v>
      </c>
      <c r="CF159" s="94">
        <v>90.91</v>
      </c>
      <c r="CG159" s="94">
        <v>90.91</v>
      </c>
      <c r="CH159" s="94">
        <v>90.91</v>
      </c>
      <c r="CI159" s="94">
        <v>90.91</v>
      </c>
      <c r="CJ159" s="142">
        <v>90.9</v>
      </c>
      <c r="CK159" s="142"/>
      <c r="CL159" s="142">
        <f t="shared" si="13"/>
        <v>0</v>
      </c>
      <c r="CM159" s="171">
        <v>0</v>
      </c>
      <c r="CN159" s="171">
        <v>0</v>
      </c>
      <c r="CO159" s="171">
        <v>0</v>
      </c>
      <c r="CP159" s="171">
        <v>0</v>
      </c>
      <c r="CQ159" s="171">
        <v>0</v>
      </c>
      <c r="CR159" s="171">
        <v>0</v>
      </c>
      <c r="CS159" s="171">
        <f t="shared" si="14"/>
        <v>0</v>
      </c>
      <c r="CT159" s="171">
        <f t="shared" si="15"/>
        <v>0</v>
      </c>
      <c r="CU159" s="171">
        <f t="shared" si="16"/>
        <v>0</v>
      </c>
      <c r="CV159" s="149"/>
      <c r="CW159" s="149"/>
      <c r="CX159" s="130"/>
      <c r="CY159" s="130"/>
      <c r="CZ159" s="130"/>
      <c r="DA159" s="130"/>
      <c r="DB159" s="130"/>
      <c r="DC159" s="130"/>
      <c r="DD159" s="130"/>
      <c r="DE159" s="207"/>
      <c r="DF159" s="207"/>
      <c r="DG159" s="207"/>
      <c r="DH159" s="207"/>
      <c r="DI159" s="207"/>
      <c r="DJ159" s="207"/>
      <c r="DK159" s="207"/>
      <c r="DL159" s="207"/>
      <c r="DM159" s="207"/>
      <c r="DN159" s="207"/>
      <c r="DO159" s="207"/>
      <c r="DP159" s="207"/>
      <c r="DQ159" s="207"/>
      <c r="DR159" s="207"/>
      <c r="DS159" s="207"/>
      <c r="DT159" s="207"/>
      <c r="DU159" s="207"/>
      <c r="DV159" s="207"/>
      <c r="DW159" s="207"/>
      <c r="DX159" s="207"/>
      <c r="DY159" s="207"/>
      <c r="DZ159" s="207"/>
      <c r="EA159" s="207"/>
      <c r="EB159" s="207"/>
      <c r="EC159" s="207"/>
      <c r="ED159" s="207"/>
      <c r="EE159" s="207"/>
      <c r="EF159" s="207"/>
      <c r="EG159" s="207"/>
      <c r="EH159" s="207"/>
      <c r="EI159" s="207"/>
      <c r="EJ159" s="207"/>
      <c r="EK159" s="207"/>
      <c r="EL159" s="207"/>
      <c r="EM159" s="207"/>
      <c r="EN159" s="207"/>
      <c r="EO159" s="207"/>
      <c r="EP159" s="207"/>
      <c r="EQ159" s="207"/>
      <c r="ER159" s="207"/>
      <c r="ES159" s="207"/>
      <c r="ET159" s="207"/>
      <c r="EU159" s="207"/>
      <c r="EV159" s="207"/>
      <c r="EW159" s="207"/>
      <c r="EX159" s="207"/>
      <c r="EY159" s="207"/>
      <c r="EZ159" s="207"/>
      <c r="FA159" s="207"/>
      <c r="FB159" s="201"/>
      <c r="FC159" s="201"/>
      <c r="FD159" s="201"/>
      <c r="FE159" s="201"/>
      <c r="FF159" s="201"/>
      <c r="FG159" s="201"/>
      <c r="FH159" s="201"/>
      <c r="FI159" s="201"/>
      <c r="FJ159" s="201"/>
      <c r="FK159" s="201"/>
      <c r="FL159" s="201"/>
      <c r="FM159" s="201"/>
      <c r="FN159" s="201"/>
      <c r="FO159" s="201"/>
      <c r="FP159" s="201"/>
      <c r="FQ159" s="201"/>
      <c r="FR159" s="201"/>
      <c r="FS159" s="201"/>
      <c r="FT159" s="201"/>
      <c r="FU159" s="201"/>
      <c r="FV159" s="201"/>
      <c r="FW159" s="201"/>
      <c r="FX159" s="201"/>
      <c r="FY159" s="201"/>
      <c r="FZ159" s="201"/>
      <c r="GA159" s="201"/>
      <c r="GB159" s="201"/>
      <c r="GC159" s="201"/>
      <c r="GD159" s="201"/>
      <c r="GE159" s="201"/>
      <c r="GF159" s="201"/>
      <c r="GG159" s="201"/>
      <c r="GH159" s="201"/>
      <c r="GI159" s="201"/>
      <c r="GJ159" s="201"/>
      <c r="GK159" s="201"/>
      <c r="GL159" s="201"/>
      <c r="GM159" s="201"/>
      <c r="GN159" s="201"/>
      <c r="GO159" s="201"/>
      <c r="GP159" s="201"/>
      <c r="GQ159" s="201"/>
    </row>
    <row r="160" spans="1:204" s="68" customFormat="1" ht="15" customHeight="1" x14ac:dyDescent="0.25">
      <c r="A160" s="68" t="s">
        <v>699</v>
      </c>
      <c r="B160" s="82" t="s">
        <v>154</v>
      </c>
      <c r="C160" s="82" t="s">
        <v>172</v>
      </c>
      <c r="D160" s="95" t="s">
        <v>196</v>
      </c>
      <c r="E160" s="82" t="s">
        <v>309</v>
      </c>
      <c r="F160" s="82" t="s">
        <v>549</v>
      </c>
      <c r="G160" s="82" t="s">
        <v>137</v>
      </c>
      <c r="H160" s="82" t="s">
        <v>137</v>
      </c>
      <c r="I160" s="82" t="s">
        <v>66</v>
      </c>
      <c r="J160" s="82" t="s">
        <v>531</v>
      </c>
      <c r="K160" s="92" t="s">
        <v>137</v>
      </c>
      <c r="L160" s="92" t="s">
        <v>137</v>
      </c>
      <c r="M160" s="92" t="s">
        <v>137</v>
      </c>
      <c r="N160" s="92" t="s">
        <v>137</v>
      </c>
      <c r="O160" s="92" t="s">
        <v>137</v>
      </c>
      <c r="P160" s="92" t="s">
        <v>137</v>
      </c>
      <c r="Q160" s="82" t="s">
        <v>552</v>
      </c>
      <c r="R160" s="82" t="s">
        <v>715</v>
      </c>
      <c r="S160" s="82" t="s">
        <v>555</v>
      </c>
      <c r="T160" s="82" t="s">
        <v>320</v>
      </c>
      <c r="U160" s="83">
        <v>0.95</v>
      </c>
      <c r="V160" s="83">
        <v>0.95</v>
      </c>
      <c r="W160" s="83">
        <v>0.95</v>
      </c>
      <c r="X160" s="83">
        <v>0.95</v>
      </c>
      <c r="Y160" s="83">
        <v>0.95</v>
      </c>
      <c r="Z160" s="83">
        <v>0.95</v>
      </c>
      <c r="AA160" s="83">
        <v>0.95</v>
      </c>
      <c r="AB160" s="83">
        <v>0.95</v>
      </c>
      <c r="AC160" s="83">
        <v>0.95</v>
      </c>
      <c r="AD160" s="83">
        <v>0.95</v>
      </c>
      <c r="AE160" s="83">
        <v>0.95</v>
      </c>
      <c r="AF160" s="83">
        <v>0.95</v>
      </c>
      <c r="AG160" s="82" t="s">
        <v>533</v>
      </c>
      <c r="AH160" s="82" t="s">
        <v>529</v>
      </c>
      <c r="AI160" s="88" t="s">
        <v>538</v>
      </c>
      <c r="AJ160" s="89" t="s">
        <v>538</v>
      </c>
      <c r="AK160" s="90">
        <v>46023</v>
      </c>
      <c r="AL160" s="90">
        <v>46387</v>
      </c>
      <c r="AM160" s="89"/>
      <c r="AN160" s="89"/>
      <c r="AO160" s="89"/>
      <c r="AP160" s="91" t="s">
        <v>540</v>
      </c>
      <c r="AQ160" s="90" cm="1">
        <f t="array" ref="AQ160">IFERROR(DATE(2026, _xlfn.AGGREGATE(15, 6, (COLUMN(BY160:CJ160)-COLUMN(BY160)+1)/(BY160:CJ160&lt;&gt;0), 1), 1),"N/A")</f>
        <v>46204</v>
      </c>
      <c r="AR160" s="90" cm="1">
        <f t="array" ref="AR160">IFERROR(EOMONTH(DATE(2026, _xlfn.AGGREGATE(14, 6, (COLUMN(BY160:CJ160)-COLUMN(BY160)+1)/(BY160:CJ160&lt;&gt;0), 1), 1), 0),"N/A")</f>
        <v>46234</v>
      </c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/>
      <c r="BE160" s="82" t="s">
        <v>711</v>
      </c>
      <c r="BF160" s="82" t="s">
        <v>1037</v>
      </c>
      <c r="BG160" s="82" t="str">
        <f t="shared" si="12"/>
        <v>000</v>
      </c>
      <c r="BH160" s="88">
        <v>630207</v>
      </c>
      <c r="BI160" s="92" t="s">
        <v>74</v>
      </c>
      <c r="BJ160" s="93">
        <v>9000</v>
      </c>
      <c r="BK160" s="74"/>
      <c r="BL160" s="74"/>
      <c r="BM160" s="74"/>
      <c r="BN160" s="74"/>
      <c r="BO160" s="74"/>
      <c r="BP160" s="94"/>
      <c r="BQ160" s="74">
        <v>9000</v>
      </c>
      <c r="BR160" s="74"/>
      <c r="BS160" s="74"/>
      <c r="BT160" s="74"/>
      <c r="BU160" s="74"/>
      <c r="BV160" s="143"/>
      <c r="BW160" s="143"/>
      <c r="BX160" s="143">
        <f t="shared" si="17"/>
        <v>9000</v>
      </c>
      <c r="BY160" s="74"/>
      <c r="BZ160" s="74"/>
      <c r="CA160" s="74"/>
      <c r="CB160" s="74"/>
      <c r="CC160" s="74"/>
      <c r="CD160" s="94"/>
      <c r="CE160" s="74">
        <v>9000</v>
      </c>
      <c r="CF160" s="74"/>
      <c r="CG160" s="74"/>
      <c r="CH160" s="74"/>
      <c r="CI160" s="74"/>
      <c r="CJ160" s="143"/>
      <c r="CK160" s="143"/>
      <c r="CL160" s="142">
        <f t="shared" si="13"/>
        <v>0</v>
      </c>
      <c r="CM160" s="171">
        <v>0</v>
      </c>
      <c r="CN160" s="171">
        <v>0</v>
      </c>
      <c r="CO160" s="171">
        <v>0</v>
      </c>
      <c r="CP160" s="171">
        <v>0</v>
      </c>
      <c r="CQ160" s="171">
        <v>0</v>
      </c>
      <c r="CR160" s="171">
        <v>0</v>
      </c>
      <c r="CS160" s="171">
        <f t="shared" si="14"/>
        <v>0</v>
      </c>
      <c r="CT160" s="171">
        <f t="shared" si="15"/>
        <v>0</v>
      </c>
      <c r="CU160" s="171">
        <f t="shared" si="16"/>
        <v>0</v>
      </c>
      <c r="CV160" s="150">
        <v>9000</v>
      </c>
      <c r="CW160" s="150">
        <v>9000</v>
      </c>
      <c r="CX160" s="130">
        <v>2</v>
      </c>
      <c r="CY160" s="130">
        <v>2</v>
      </c>
      <c r="CZ160" s="130"/>
      <c r="DA160" s="130"/>
      <c r="DB160" s="130"/>
      <c r="DC160" s="130"/>
      <c r="DD160" s="130"/>
      <c r="DE160" s="131">
        <v>46148</v>
      </c>
      <c r="DF160" s="131">
        <v>46148</v>
      </c>
      <c r="DG160" s="132">
        <v>2</v>
      </c>
      <c r="DH160" s="131">
        <v>46149</v>
      </c>
      <c r="DI160" s="131">
        <v>46149</v>
      </c>
      <c r="DJ160" s="131">
        <v>46149</v>
      </c>
      <c r="DK160" s="131">
        <v>46150</v>
      </c>
      <c r="DL160" s="131">
        <v>46153</v>
      </c>
      <c r="DM160" s="131">
        <v>46154</v>
      </c>
      <c r="DN160" s="131">
        <v>46155</v>
      </c>
      <c r="DO160" s="131">
        <v>46156</v>
      </c>
      <c r="DP160" s="131">
        <v>46157</v>
      </c>
      <c r="DQ160" s="131">
        <v>46157</v>
      </c>
      <c r="DR160" s="132">
        <v>2</v>
      </c>
      <c r="DS160" s="131">
        <v>46160</v>
      </c>
      <c r="DT160" s="131">
        <v>46161</v>
      </c>
      <c r="DU160" s="131">
        <v>46162</v>
      </c>
      <c r="DV160" s="131">
        <v>46163</v>
      </c>
      <c r="DW160" s="131">
        <v>46163</v>
      </c>
      <c r="DX160" s="131">
        <v>46164</v>
      </c>
      <c r="DY160" s="131">
        <v>46164</v>
      </c>
      <c r="DZ160" s="132"/>
      <c r="EA160" s="132"/>
      <c r="EB160" s="132"/>
      <c r="EC160" s="132"/>
      <c r="ED160" s="131">
        <v>46167</v>
      </c>
      <c r="EE160" s="131">
        <v>46168</v>
      </c>
      <c r="EF160" s="131">
        <v>46168</v>
      </c>
      <c r="EG160" s="131"/>
      <c r="EH160" s="131"/>
      <c r="EI160" s="131"/>
      <c r="EJ160" s="131">
        <v>46168</v>
      </c>
      <c r="EK160" s="131">
        <v>46173</v>
      </c>
      <c r="EL160" s="132">
        <v>18</v>
      </c>
      <c r="EM160" s="133"/>
      <c r="EN160" s="133"/>
      <c r="EO160" s="133"/>
      <c r="EP160" s="133"/>
      <c r="EQ160" s="133"/>
      <c r="ER160" s="133"/>
      <c r="ES160" s="133"/>
      <c r="ET160" s="133"/>
      <c r="EU160" s="133"/>
      <c r="EV160" s="134"/>
      <c r="EW160" s="133">
        <v>46173</v>
      </c>
      <c r="EX160" s="133"/>
      <c r="EY160" s="135" t="s">
        <v>854</v>
      </c>
      <c r="EZ160" s="132" t="s">
        <v>906</v>
      </c>
      <c r="FA160" s="130"/>
      <c r="FB160" s="203">
        <v>46148</v>
      </c>
      <c r="FC160" s="203">
        <v>46148</v>
      </c>
      <c r="FD160" s="203">
        <v>46149</v>
      </c>
      <c r="FE160" s="203">
        <v>46149</v>
      </c>
      <c r="FF160" s="203">
        <v>46149</v>
      </c>
      <c r="FG160" s="203">
        <v>46150</v>
      </c>
      <c r="FH160" s="203">
        <v>46153</v>
      </c>
      <c r="FI160" s="203">
        <v>46154</v>
      </c>
      <c r="FJ160" s="203">
        <v>46155</v>
      </c>
      <c r="FK160" s="203">
        <v>46156</v>
      </c>
      <c r="FL160" s="203">
        <v>46157</v>
      </c>
      <c r="FM160" s="203">
        <v>46157</v>
      </c>
      <c r="FN160" s="203">
        <v>46160</v>
      </c>
      <c r="FO160" s="203">
        <v>46161</v>
      </c>
      <c r="FP160" s="203">
        <v>46162</v>
      </c>
      <c r="FQ160" s="203">
        <v>46163</v>
      </c>
      <c r="FR160" s="203">
        <v>46163</v>
      </c>
      <c r="FS160" s="203">
        <v>46164</v>
      </c>
      <c r="FT160" s="203">
        <v>46164</v>
      </c>
      <c r="FU160" s="203"/>
      <c r="FV160" s="203"/>
      <c r="FW160" s="203"/>
      <c r="FX160" s="203"/>
      <c r="FY160" s="203">
        <v>46167</v>
      </c>
      <c r="FZ160" s="203">
        <v>46168</v>
      </c>
      <c r="GA160" s="203">
        <v>46168</v>
      </c>
      <c r="GB160" s="203"/>
      <c r="GC160" s="203"/>
      <c r="GD160" s="203"/>
      <c r="GE160" s="203">
        <v>46168</v>
      </c>
      <c r="GF160" s="203">
        <v>46173</v>
      </c>
      <c r="GG160" s="203">
        <v>18</v>
      </c>
      <c r="GH160" s="203"/>
      <c r="GI160" s="203"/>
      <c r="GJ160" s="203"/>
      <c r="GK160" s="203"/>
      <c r="GL160" s="203"/>
      <c r="GM160" s="203"/>
      <c r="GN160" s="203"/>
      <c r="GO160" s="203"/>
      <c r="GP160" s="203"/>
      <c r="GQ160" s="203">
        <v>46173</v>
      </c>
      <c r="GR160" s="187"/>
      <c r="GS160" s="187" t="s">
        <v>1181</v>
      </c>
      <c r="GT160" s="187" t="s">
        <v>854</v>
      </c>
      <c r="GU160" s="187" t="s">
        <v>906</v>
      </c>
      <c r="GV160" s="187"/>
    </row>
    <row r="161" spans="1:204" s="68" customFormat="1" ht="15" customHeight="1" x14ac:dyDescent="0.25">
      <c r="A161" s="68" t="s">
        <v>693</v>
      </c>
      <c r="B161" s="82" t="s">
        <v>154</v>
      </c>
      <c r="C161" s="82" t="s">
        <v>172</v>
      </c>
      <c r="D161" s="82" t="s">
        <v>196</v>
      </c>
      <c r="E161" s="82" t="s">
        <v>309</v>
      </c>
      <c r="F161" s="82" t="s">
        <v>549</v>
      </c>
      <c r="G161" s="82" t="s">
        <v>137</v>
      </c>
      <c r="H161" s="82" t="s">
        <v>137</v>
      </c>
      <c r="I161" s="82" t="s">
        <v>66</v>
      </c>
      <c r="J161" s="82" t="s">
        <v>29</v>
      </c>
      <c r="K161" s="92" t="s">
        <v>137</v>
      </c>
      <c r="L161" s="92" t="s">
        <v>137</v>
      </c>
      <c r="M161" s="92" t="s">
        <v>137</v>
      </c>
      <c r="N161" s="92" t="s">
        <v>137</v>
      </c>
      <c r="O161" s="92" t="s">
        <v>137</v>
      </c>
      <c r="P161" s="92" t="s">
        <v>137</v>
      </c>
      <c r="Q161" s="82" t="s">
        <v>87</v>
      </c>
      <c r="R161" s="82" t="s">
        <v>714</v>
      </c>
      <c r="S161" s="82" t="s">
        <v>40</v>
      </c>
      <c r="T161" s="82" t="s">
        <v>2</v>
      </c>
      <c r="U161" s="83"/>
      <c r="V161" s="83">
        <v>0.05</v>
      </c>
      <c r="W161" s="83">
        <v>0.08</v>
      </c>
      <c r="X161" s="83">
        <v>0.15</v>
      </c>
      <c r="Y161" s="83">
        <v>0.2</v>
      </c>
      <c r="Z161" s="83">
        <v>0.25</v>
      </c>
      <c r="AA161" s="83">
        <v>0.37</v>
      </c>
      <c r="AB161" s="83">
        <v>0.42</v>
      </c>
      <c r="AC161" s="83">
        <v>0.57999999999999996</v>
      </c>
      <c r="AD161" s="83">
        <v>0.67</v>
      </c>
      <c r="AE161" s="83">
        <v>0.83</v>
      </c>
      <c r="AF161" s="83">
        <v>1</v>
      </c>
      <c r="AG161" s="82" t="s">
        <v>778</v>
      </c>
      <c r="AH161" s="82" t="s">
        <v>530</v>
      </c>
      <c r="AI161" s="88" t="s">
        <v>538</v>
      </c>
      <c r="AJ161" s="89" t="s">
        <v>538</v>
      </c>
      <c r="AK161" s="90">
        <v>46023</v>
      </c>
      <c r="AL161" s="90">
        <v>46387</v>
      </c>
      <c r="AM161" s="89"/>
      <c r="AN161" s="89"/>
      <c r="AO161" s="89"/>
      <c r="AP161" s="91" t="s">
        <v>539</v>
      </c>
      <c r="AQ161" s="90" cm="1">
        <f t="array" ref="AQ161">IFERROR(DATE(2026, _xlfn.AGGREGATE(15, 6, (COLUMN(BY161:CJ161)-COLUMN(BY161)+1)/(BY161:CJ161&lt;&gt;0), 1), 1),"N/A")</f>
        <v>46023</v>
      </c>
      <c r="AR161" s="90" cm="1">
        <f t="array" ref="AR161">IFERROR(EOMONTH(DATE(2026, _xlfn.AGGREGATE(14, 6, (COLUMN(BY161:CJ161)-COLUMN(BY161)+1)/(BY161:CJ161&lt;&gt;0), 1), 1), 0),"N/A")</f>
        <v>46234</v>
      </c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2" t="s">
        <v>755</v>
      </c>
      <c r="BF161" s="82" t="s">
        <v>754</v>
      </c>
      <c r="BG161" s="82" t="str">
        <f t="shared" si="12"/>
        <v>000</v>
      </c>
      <c r="BH161" s="88">
        <v>530105</v>
      </c>
      <c r="BI161" s="92" t="s">
        <v>74</v>
      </c>
      <c r="BJ161" s="93">
        <v>1710</v>
      </c>
      <c r="BK161" s="94">
        <v>227.7</v>
      </c>
      <c r="BL161" s="94">
        <v>227.7</v>
      </c>
      <c r="BM161" s="94">
        <v>227.7</v>
      </c>
      <c r="BN161" s="72">
        <v>227.7</v>
      </c>
      <c r="BO161" s="94">
        <v>227.7</v>
      </c>
      <c r="BP161" s="94">
        <v>227.7</v>
      </c>
      <c r="BQ161" s="94">
        <v>343.8</v>
      </c>
      <c r="BR161" s="74">
        <v>0</v>
      </c>
      <c r="BS161" s="74">
        <v>0</v>
      </c>
      <c r="BT161" s="74">
        <v>0</v>
      </c>
      <c r="BU161" s="74">
        <v>0</v>
      </c>
      <c r="BV161" s="143">
        <v>0</v>
      </c>
      <c r="BW161" s="143"/>
      <c r="BX161" s="143">
        <f t="shared" si="17"/>
        <v>1710</v>
      </c>
      <c r="BY161" s="94">
        <v>227.7</v>
      </c>
      <c r="BZ161" s="94">
        <v>227.7</v>
      </c>
      <c r="CA161" s="94">
        <v>227.7</v>
      </c>
      <c r="CB161" s="72">
        <v>227.7</v>
      </c>
      <c r="CC161" s="94">
        <v>227.7</v>
      </c>
      <c r="CD161" s="94">
        <v>227.7</v>
      </c>
      <c r="CE161" s="94">
        <v>343.8</v>
      </c>
      <c r="CF161" s="74">
        <v>0</v>
      </c>
      <c r="CG161" s="74">
        <v>0</v>
      </c>
      <c r="CH161" s="74">
        <v>0</v>
      </c>
      <c r="CI161" s="74">
        <v>0</v>
      </c>
      <c r="CJ161" s="143">
        <v>0</v>
      </c>
      <c r="CK161" s="143"/>
      <c r="CL161" s="142">
        <f t="shared" si="13"/>
        <v>0</v>
      </c>
      <c r="CM161" s="171">
        <v>227.7</v>
      </c>
      <c r="CN161" s="171">
        <v>49.99</v>
      </c>
      <c r="CO161" s="171">
        <v>1660.01</v>
      </c>
      <c r="CP161" s="171">
        <v>227.7</v>
      </c>
      <c r="CQ161" s="171">
        <v>49.99</v>
      </c>
      <c r="CR161" s="171">
        <v>0</v>
      </c>
      <c r="CS161" s="171">
        <f t="shared" si="14"/>
        <v>455.4</v>
      </c>
      <c r="CT161" s="171">
        <f t="shared" si="15"/>
        <v>99.98</v>
      </c>
      <c r="CU161" s="171">
        <f t="shared" si="16"/>
        <v>1660.01</v>
      </c>
      <c r="CV161" s="149"/>
      <c r="CW161" s="149"/>
      <c r="CX161" s="130"/>
      <c r="CY161" s="130"/>
      <c r="CZ161" s="130"/>
      <c r="DA161" s="130"/>
      <c r="DB161" s="130"/>
      <c r="DC161" s="130"/>
      <c r="DD161" s="130" t="s">
        <v>889</v>
      </c>
      <c r="DE161" s="130"/>
      <c r="DF161" s="130"/>
      <c r="DG161" s="130"/>
      <c r="DH161" s="130"/>
      <c r="DI161" s="130"/>
      <c r="DJ161" s="130"/>
      <c r="DK161" s="130"/>
      <c r="DL161" s="130"/>
      <c r="DM161" s="130"/>
      <c r="DN161" s="130"/>
      <c r="DO161" s="130"/>
      <c r="DP161" s="130"/>
      <c r="DQ161" s="130"/>
      <c r="DR161" s="130"/>
      <c r="DS161" s="130"/>
      <c r="DT161" s="130"/>
      <c r="DU161" s="130"/>
      <c r="DV161" s="130"/>
      <c r="DW161" s="130"/>
      <c r="DX161" s="130"/>
      <c r="DY161" s="130"/>
      <c r="DZ161" s="130"/>
      <c r="EA161" s="130"/>
      <c r="EB161" s="130"/>
      <c r="EC161" s="130"/>
      <c r="ED161" s="130"/>
      <c r="EE161" s="130"/>
      <c r="EF161" s="130"/>
      <c r="EG161" s="130"/>
      <c r="EH161" s="130"/>
      <c r="EI161" s="130"/>
      <c r="EJ161" s="130"/>
      <c r="EK161" s="130"/>
      <c r="EL161" s="130"/>
      <c r="EM161" s="130"/>
      <c r="EN161" s="130"/>
      <c r="EO161" s="130"/>
      <c r="EP161" s="130"/>
      <c r="EQ161" s="130"/>
      <c r="ER161" s="130"/>
      <c r="ES161" s="130"/>
      <c r="ET161" s="130"/>
      <c r="EU161" s="130"/>
      <c r="EV161" s="130"/>
      <c r="EW161" s="130"/>
      <c r="EX161" s="130"/>
      <c r="EY161" s="130"/>
      <c r="EZ161" s="130"/>
      <c r="FA161" s="130"/>
      <c r="FB161" s="201"/>
      <c r="FC161" s="201"/>
      <c r="FD161" s="201"/>
      <c r="FE161" s="201"/>
      <c r="FF161" s="201"/>
      <c r="FG161" s="201"/>
      <c r="FH161" s="201"/>
      <c r="FI161" s="201"/>
      <c r="FJ161" s="201"/>
      <c r="FK161" s="201"/>
      <c r="FL161" s="201"/>
      <c r="FM161" s="201"/>
      <c r="FN161" s="201"/>
      <c r="FO161" s="201"/>
      <c r="FP161" s="201"/>
      <c r="FQ161" s="201"/>
      <c r="FR161" s="201"/>
      <c r="FS161" s="201"/>
      <c r="FT161" s="201"/>
      <c r="FU161" s="201"/>
      <c r="FV161" s="201"/>
      <c r="FW161" s="201"/>
      <c r="FX161" s="201"/>
      <c r="FY161" s="201"/>
      <c r="FZ161" s="201"/>
      <c r="GA161" s="201"/>
      <c r="GB161" s="201"/>
      <c r="GC161" s="201"/>
      <c r="GD161" s="201"/>
      <c r="GE161" s="201"/>
      <c r="GF161" s="201"/>
      <c r="GG161" s="201"/>
      <c r="GH161" s="201"/>
      <c r="GI161" s="201"/>
      <c r="GJ161" s="201"/>
      <c r="GK161" s="201"/>
      <c r="GL161" s="201"/>
      <c r="GM161" s="201"/>
      <c r="GN161" s="201"/>
      <c r="GO161" s="201"/>
      <c r="GP161" s="201"/>
      <c r="GQ161" s="201"/>
    </row>
    <row r="162" spans="1:204" s="68" customFormat="1" ht="15" customHeight="1" x14ac:dyDescent="0.25">
      <c r="A162" s="68" t="s">
        <v>693</v>
      </c>
      <c r="B162" s="82" t="s">
        <v>154</v>
      </c>
      <c r="C162" s="82" t="s">
        <v>172</v>
      </c>
      <c r="D162" s="82" t="s">
        <v>196</v>
      </c>
      <c r="E162" s="82" t="s">
        <v>309</v>
      </c>
      <c r="F162" s="82" t="s">
        <v>549</v>
      </c>
      <c r="G162" s="82" t="s">
        <v>137</v>
      </c>
      <c r="H162" s="82" t="s">
        <v>137</v>
      </c>
      <c r="I162" s="82" t="s">
        <v>66</v>
      </c>
      <c r="J162" s="82" t="s">
        <v>29</v>
      </c>
      <c r="K162" s="92" t="s">
        <v>137</v>
      </c>
      <c r="L162" s="92" t="s">
        <v>137</v>
      </c>
      <c r="M162" s="92" t="s">
        <v>137</v>
      </c>
      <c r="N162" s="92" t="s">
        <v>137</v>
      </c>
      <c r="O162" s="92" t="s">
        <v>137</v>
      </c>
      <c r="P162" s="92" t="s">
        <v>137</v>
      </c>
      <c r="Q162" s="82" t="s">
        <v>87</v>
      </c>
      <c r="R162" s="82" t="s">
        <v>714</v>
      </c>
      <c r="S162" s="82" t="s">
        <v>40</v>
      </c>
      <c r="T162" s="82" t="s">
        <v>2</v>
      </c>
      <c r="U162" s="83"/>
      <c r="V162" s="83">
        <v>0.05</v>
      </c>
      <c r="W162" s="83">
        <v>0.08</v>
      </c>
      <c r="X162" s="83">
        <v>0.15</v>
      </c>
      <c r="Y162" s="83">
        <v>0.2</v>
      </c>
      <c r="Z162" s="83">
        <v>0.25</v>
      </c>
      <c r="AA162" s="83">
        <v>0.37</v>
      </c>
      <c r="AB162" s="83">
        <v>0.42</v>
      </c>
      <c r="AC162" s="83">
        <v>0.57999999999999996</v>
      </c>
      <c r="AD162" s="83">
        <v>0.67</v>
      </c>
      <c r="AE162" s="83">
        <v>0.83</v>
      </c>
      <c r="AF162" s="83">
        <v>1</v>
      </c>
      <c r="AG162" s="82" t="s">
        <v>532</v>
      </c>
      <c r="AH162" s="82" t="s">
        <v>529</v>
      </c>
      <c r="AI162" s="88" t="s">
        <v>538</v>
      </c>
      <c r="AJ162" s="89" t="s">
        <v>538</v>
      </c>
      <c r="AK162" s="90">
        <v>46023</v>
      </c>
      <c r="AL162" s="90">
        <v>46387</v>
      </c>
      <c r="AM162" s="89"/>
      <c r="AN162" s="89"/>
      <c r="AO162" s="89"/>
      <c r="AP162" s="91" t="s">
        <v>539</v>
      </c>
      <c r="AQ162" s="90" cm="1">
        <f t="array" ref="AQ162">IFERROR(DATE(2026, _xlfn.AGGREGATE(15, 6, (COLUMN(BY162:CJ162)-COLUMN(BY162)+1)/(BY162:CJ162&lt;&gt;0), 1), 1),"N/A")</f>
        <v>46204</v>
      </c>
      <c r="AR162" s="90" cm="1">
        <f t="array" ref="AR162">IFERROR(EOMONTH(DATE(2026, _xlfn.AGGREGATE(14, 6, (COLUMN(BY162:CJ162)-COLUMN(BY162)+1)/(BY162:CJ162&lt;&gt;0), 1), 1), 0),"N/A")</f>
        <v>46387</v>
      </c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2" t="s">
        <v>753</v>
      </c>
      <c r="BF162" s="82" t="s">
        <v>1016</v>
      </c>
      <c r="BG162" s="82" t="str">
        <f t="shared" si="12"/>
        <v>000</v>
      </c>
      <c r="BH162" s="88">
        <v>530105</v>
      </c>
      <c r="BI162" s="92" t="s">
        <v>74</v>
      </c>
      <c r="BJ162" s="93">
        <v>1400</v>
      </c>
      <c r="BK162" s="74">
        <v>0</v>
      </c>
      <c r="BL162" s="74">
        <v>0</v>
      </c>
      <c r="BM162" s="74">
        <v>0</v>
      </c>
      <c r="BN162" s="74">
        <v>0</v>
      </c>
      <c r="BO162" s="74">
        <v>0</v>
      </c>
      <c r="BP162" s="74">
        <v>0</v>
      </c>
      <c r="BQ162" s="94">
        <v>227.7</v>
      </c>
      <c r="BR162" s="94">
        <v>227.7</v>
      </c>
      <c r="BS162" s="94">
        <v>227.7</v>
      </c>
      <c r="BT162" s="94">
        <v>227.7</v>
      </c>
      <c r="BU162" s="94">
        <v>227.7</v>
      </c>
      <c r="BV162" s="142">
        <v>261.5</v>
      </c>
      <c r="BW162" s="142"/>
      <c r="BX162" s="143">
        <f t="shared" si="17"/>
        <v>1400</v>
      </c>
      <c r="BY162" s="74">
        <v>0</v>
      </c>
      <c r="BZ162" s="74">
        <v>0</v>
      </c>
      <c r="CA162" s="74">
        <v>0</v>
      </c>
      <c r="CB162" s="74">
        <v>0</v>
      </c>
      <c r="CC162" s="74">
        <v>0</v>
      </c>
      <c r="CD162" s="74">
        <v>0</v>
      </c>
      <c r="CE162" s="94">
        <v>227.7</v>
      </c>
      <c r="CF162" s="94">
        <v>227.7</v>
      </c>
      <c r="CG162" s="94">
        <v>227.7</v>
      </c>
      <c r="CH162" s="94">
        <v>227.7</v>
      </c>
      <c r="CI162" s="94">
        <v>227.7</v>
      </c>
      <c r="CJ162" s="142">
        <v>261.5</v>
      </c>
      <c r="CK162" s="142"/>
      <c r="CL162" s="142">
        <f t="shared" si="13"/>
        <v>0</v>
      </c>
      <c r="CM162" s="171">
        <v>0</v>
      </c>
      <c r="CN162" s="171">
        <v>0</v>
      </c>
      <c r="CO162" s="171">
        <v>0</v>
      </c>
      <c r="CP162" s="171">
        <v>0</v>
      </c>
      <c r="CQ162" s="171">
        <v>0</v>
      </c>
      <c r="CR162" s="171">
        <v>0</v>
      </c>
      <c r="CS162" s="171">
        <f t="shared" si="14"/>
        <v>0</v>
      </c>
      <c r="CT162" s="171">
        <f t="shared" si="15"/>
        <v>0</v>
      </c>
      <c r="CU162" s="171">
        <f t="shared" si="16"/>
        <v>0</v>
      </c>
      <c r="CV162" s="150">
        <v>1400</v>
      </c>
      <c r="CW162" s="150">
        <v>1400</v>
      </c>
      <c r="CX162" s="130">
        <v>2</v>
      </c>
      <c r="CY162" s="130">
        <v>2</v>
      </c>
      <c r="CZ162" s="130"/>
      <c r="DA162" s="130"/>
      <c r="DB162" s="130"/>
      <c r="DC162" s="130"/>
      <c r="DD162" s="130"/>
      <c r="DE162" s="131">
        <v>46120</v>
      </c>
      <c r="DF162" s="131">
        <v>46120</v>
      </c>
      <c r="DG162" s="132">
        <v>1</v>
      </c>
      <c r="DH162" s="131">
        <v>46121</v>
      </c>
      <c r="DI162" s="131">
        <v>46121</v>
      </c>
      <c r="DJ162" s="131">
        <v>46121</v>
      </c>
      <c r="DK162" s="131">
        <v>46122</v>
      </c>
      <c r="DL162" s="131">
        <v>46125</v>
      </c>
      <c r="DM162" s="131">
        <v>46126</v>
      </c>
      <c r="DN162" s="131">
        <v>46127</v>
      </c>
      <c r="DO162" s="131">
        <v>46128</v>
      </c>
      <c r="DP162" s="131">
        <v>46129</v>
      </c>
      <c r="DQ162" s="131">
        <v>46129</v>
      </c>
      <c r="DR162" s="132">
        <v>1</v>
      </c>
      <c r="DS162" s="131">
        <v>46132</v>
      </c>
      <c r="DT162" s="131">
        <v>46133</v>
      </c>
      <c r="DU162" s="131">
        <v>46134</v>
      </c>
      <c r="DV162" s="131">
        <v>46135</v>
      </c>
      <c r="DW162" s="131">
        <v>46135</v>
      </c>
      <c r="DX162" s="131">
        <v>46136</v>
      </c>
      <c r="DY162" s="131">
        <v>46136</v>
      </c>
      <c r="DZ162" s="132"/>
      <c r="EA162" s="132"/>
      <c r="EB162" s="132"/>
      <c r="EC162" s="132"/>
      <c r="ED162" s="131">
        <v>46139</v>
      </c>
      <c r="EE162" s="131">
        <v>46140</v>
      </c>
      <c r="EF162" s="131">
        <v>46140</v>
      </c>
      <c r="EG162" s="131"/>
      <c r="EH162" s="131"/>
      <c r="EI162" s="131"/>
      <c r="EJ162" s="131">
        <v>46140</v>
      </c>
      <c r="EK162" s="131">
        <v>46146</v>
      </c>
      <c r="EL162" s="132">
        <v>18</v>
      </c>
      <c r="EM162" s="133"/>
      <c r="EN162" s="133"/>
      <c r="EO162" s="133"/>
      <c r="EP162" s="133"/>
      <c r="EQ162" s="133"/>
      <c r="ER162" s="133"/>
      <c r="ES162" s="133"/>
      <c r="ET162" s="133"/>
      <c r="EU162" s="133"/>
      <c r="EV162" s="134"/>
      <c r="EW162" s="133">
        <v>46146</v>
      </c>
      <c r="EX162" s="133"/>
      <c r="EY162" s="135" t="s">
        <v>854</v>
      </c>
      <c r="EZ162" s="132" t="s">
        <v>855</v>
      </c>
      <c r="FA162" s="136"/>
      <c r="FB162" s="203">
        <v>46120</v>
      </c>
      <c r="FC162" s="203">
        <v>46120</v>
      </c>
      <c r="FD162" s="203">
        <v>46121</v>
      </c>
      <c r="FE162" s="203">
        <v>46121</v>
      </c>
      <c r="FF162" s="203">
        <v>46121</v>
      </c>
      <c r="FG162" s="203">
        <v>46122</v>
      </c>
      <c r="FH162" s="203">
        <v>46125</v>
      </c>
      <c r="FI162" s="203">
        <v>46126</v>
      </c>
      <c r="FJ162" s="203">
        <v>46127</v>
      </c>
      <c r="FK162" s="203">
        <v>46128</v>
      </c>
      <c r="FL162" s="203">
        <v>46129</v>
      </c>
      <c r="FM162" s="203">
        <v>46129</v>
      </c>
      <c r="FN162" s="203">
        <v>46132</v>
      </c>
      <c r="FO162" s="203">
        <v>46133</v>
      </c>
      <c r="FP162" s="203">
        <v>46134</v>
      </c>
      <c r="FQ162" s="203">
        <v>46135</v>
      </c>
      <c r="FR162" s="203">
        <v>46135</v>
      </c>
      <c r="FS162" s="203">
        <v>46136</v>
      </c>
      <c r="FT162" s="203">
        <v>46136</v>
      </c>
      <c r="FU162" s="203"/>
      <c r="FV162" s="203"/>
      <c r="FW162" s="203"/>
      <c r="FX162" s="203"/>
      <c r="FY162" s="203">
        <v>46139</v>
      </c>
      <c r="FZ162" s="203">
        <v>46140</v>
      </c>
      <c r="GA162" s="203">
        <v>46140</v>
      </c>
      <c r="GB162" s="203"/>
      <c r="GC162" s="203"/>
      <c r="GD162" s="203"/>
      <c r="GE162" s="203">
        <v>46140</v>
      </c>
      <c r="GF162" s="203">
        <v>46146</v>
      </c>
      <c r="GG162" s="203">
        <v>18</v>
      </c>
      <c r="GH162" s="203"/>
      <c r="GI162" s="203"/>
      <c r="GJ162" s="203"/>
      <c r="GK162" s="203"/>
      <c r="GL162" s="203"/>
      <c r="GM162" s="203"/>
      <c r="GN162" s="203"/>
      <c r="GO162" s="203"/>
      <c r="GP162" s="203"/>
      <c r="GQ162" s="203">
        <v>46146</v>
      </c>
      <c r="GR162" s="187"/>
      <c r="GS162" s="187" t="s">
        <v>1181</v>
      </c>
      <c r="GT162" s="187" t="s">
        <v>854</v>
      </c>
      <c r="GU162" s="187" t="s">
        <v>855</v>
      </c>
      <c r="GV162" s="187"/>
    </row>
    <row r="163" spans="1:204" s="68" customFormat="1" ht="15" customHeight="1" x14ac:dyDescent="0.25">
      <c r="A163" s="68" t="s">
        <v>692</v>
      </c>
      <c r="B163" s="82" t="s">
        <v>154</v>
      </c>
      <c r="C163" s="82" t="s">
        <v>172</v>
      </c>
      <c r="D163" s="82" t="s">
        <v>196</v>
      </c>
      <c r="E163" s="82" t="s">
        <v>309</v>
      </c>
      <c r="F163" s="82" t="s">
        <v>549</v>
      </c>
      <c r="G163" s="82" t="s">
        <v>137</v>
      </c>
      <c r="H163" s="82" t="s">
        <v>137</v>
      </c>
      <c r="I163" s="82" t="s">
        <v>66</v>
      </c>
      <c r="J163" s="82" t="s">
        <v>29</v>
      </c>
      <c r="K163" s="92" t="s">
        <v>137</v>
      </c>
      <c r="L163" s="92" t="s">
        <v>137</v>
      </c>
      <c r="M163" s="92" t="s">
        <v>137</v>
      </c>
      <c r="N163" s="92" t="s">
        <v>137</v>
      </c>
      <c r="O163" s="92" t="s">
        <v>137</v>
      </c>
      <c r="P163" s="92" t="s">
        <v>137</v>
      </c>
      <c r="Q163" s="82" t="s">
        <v>87</v>
      </c>
      <c r="R163" s="82" t="s">
        <v>714</v>
      </c>
      <c r="S163" s="82" t="s">
        <v>40</v>
      </c>
      <c r="T163" s="82" t="s">
        <v>2</v>
      </c>
      <c r="U163" s="83"/>
      <c r="V163" s="83">
        <v>0.05</v>
      </c>
      <c r="W163" s="83">
        <v>0.08</v>
      </c>
      <c r="X163" s="83">
        <v>0.15</v>
      </c>
      <c r="Y163" s="83">
        <v>0.2</v>
      </c>
      <c r="Z163" s="83">
        <v>0.25</v>
      </c>
      <c r="AA163" s="83">
        <v>0.37</v>
      </c>
      <c r="AB163" s="83">
        <v>0.42</v>
      </c>
      <c r="AC163" s="83">
        <v>0.57999999999999996</v>
      </c>
      <c r="AD163" s="83">
        <v>0.67</v>
      </c>
      <c r="AE163" s="83">
        <v>0.83</v>
      </c>
      <c r="AF163" s="83">
        <v>1</v>
      </c>
      <c r="AG163" s="82" t="s">
        <v>532</v>
      </c>
      <c r="AH163" s="82" t="s">
        <v>529</v>
      </c>
      <c r="AI163" s="88" t="s">
        <v>538</v>
      </c>
      <c r="AJ163" s="89" t="s">
        <v>538</v>
      </c>
      <c r="AK163" s="90">
        <v>46023</v>
      </c>
      <c r="AL163" s="90">
        <v>46387</v>
      </c>
      <c r="AM163" s="89"/>
      <c r="AN163" s="89"/>
      <c r="AO163" s="89"/>
      <c r="AP163" s="91" t="s">
        <v>539</v>
      </c>
      <c r="AQ163" s="90" t="str" cm="1">
        <f t="array" ref="AQ163">IFERROR(DATE(2026, _xlfn.AGGREGATE(15, 6, (COLUMN(BY163:CJ163)-COLUMN(BY163)+1)/(BY163:CJ163&lt;&gt;0), 1), 1),"N/A")</f>
        <v>N/A</v>
      </c>
      <c r="AR163" s="90" t="str" cm="1">
        <f t="array" ref="AR163">IFERROR(EOMONTH(DATE(2026, _xlfn.AGGREGATE(14, 6, (COLUMN(BY163:CJ163)-COLUMN(BY163)+1)/(BY163:CJ163&lt;&gt;0), 1), 1), 0),"N/A")</f>
        <v>N/A</v>
      </c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2" t="s">
        <v>598</v>
      </c>
      <c r="BF163" s="82" t="s">
        <v>981</v>
      </c>
      <c r="BG163" s="82" t="str">
        <f t="shared" si="12"/>
        <v>000</v>
      </c>
      <c r="BH163" s="88">
        <v>530202</v>
      </c>
      <c r="BI163" s="92" t="s">
        <v>74</v>
      </c>
      <c r="BJ163" s="93">
        <v>2000</v>
      </c>
      <c r="BK163" s="74">
        <v>0</v>
      </c>
      <c r="BL163" s="74">
        <v>0</v>
      </c>
      <c r="BM163" s="74">
        <v>0</v>
      </c>
      <c r="BN163" s="74">
        <v>0</v>
      </c>
      <c r="BO163" s="74">
        <v>0</v>
      </c>
      <c r="BP163" s="74">
        <v>0</v>
      </c>
      <c r="BQ163" s="74">
        <v>0</v>
      </c>
      <c r="BR163" s="74">
        <v>0</v>
      </c>
      <c r="BS163" s="74">
        <v>0</v>
      </c>
      <c r="BT163" s="74">
        <v>0</v>
      </c>
      <c r="BU163" s="74">
        <v>0</v>
      </c>
      <c r="BV163" s="142">
        <v>2000</v>
      </c>
      <c r="BW163" s="142">
        <v>-2000</v>
      </c>
      <c r="BX163" s="143">
        <f t="shared" si="17"/>
        <v>0</v>
      </c>
      <c r="BY163" s="74">
        <v>0</v>
      </c>
      <c r="BZ163" s="74">
        <v>0</v>
      </c>
      <c r="CA163" s="74">
        <v>0</v>
      </c>
      <c r="CB163" s="74">
        <v>0</v>
      </c>
      <c r="CC163" s="74">
        <v>0</v>
      </c>
      <c r="CD163" s="74">
        <v>0</v>
      </c>
      <c r="CE163" s="74">
        <v>0</v>
      </c>
      <c r="CF163" s="74">
        <v>0</v>
      </c>
      <c r="CG163" s="74">
        <v>0</v>
      </c>
      <c r="CH163" s="74">
        <v>0</v>
      </c>
      <c r="CI163" s="74">
        <v>0</v>
      </c>
      <c r="CJ163" s="142">
        <v>0</v>
      </c>
      <c r="CK163" s="142"/>
      <c r="CL163" s="142">
        <f t="shared" si="13"/>
        <v>0</v>
      </c>
      <c r="CM163" s="171">
        <v>0</v>
      </c>
      <c r="CN163" s="171">
        <v>0</v>
      </c>
      <c r="CO163" s="171">
        <v>0</v>
      </c>
      <c r="CP163" s="171">
        <v>0</v>
      </c>
      <c r="CQ163" s="171">
        <v>0</v>
      </c>
      <c r="CR163" s="171">
        <v>0</v>
      </c>
      <c r="CS163" s="171">
        <f t="shared" si="14"/>
        <v>0</v>
      </c>
      <c r="CT163" s="171">
        <f t="shared" si="15"/>
        <v>0</v>
      </c>
      <c r="CU163" s="171">
        <f t="shared" si="16"/>
        <v>0</v>
      </c>
      <c r="CV163" s="150">
        <v>2000</v>
      </c>
      <c r="CW163" s="150">
        <v>0</v>
      </c>
      <c r="CX163" s="130">
        <v>2</v>
      </c>
      <c r="CY163" s="130">
        <v>0</v>
      </c>
      <c r="CZ163" s="130"/>
      <c r="DA163" s="130"/>
      <c r="DB163" s="130"/>
      <c r="DC163" s="130"/>
      <c r="DD163" s="130"/>
      <c r="DE163" s="131">
        <v>46281</v>
      </c>
      <c r="DF163" s="131">
        <v>46281</v>
      </c>
      <c r="DG163" s="132">
        <v>3</v>
      </c>
      <c r="DH163" s="131">
        <v>46282</v>
      </c>
      <c r="DI163" s="131">
        <v>46282</v>
      </c>
      <c r="DJ163" s="131">
        <v>46282</v>
      </c>
      <c r="DK163" s="131">
        <v>46283</v>
      </c>
      <c r="DL163" s="131">
        <v>46286</v>
      </c>
      <c r="DM163" s="131">
        <v>46287</v>
      </c>
      <c r="DN163" s="131">
        <v>46288</v>
      </c>
      <c r="DO163" s="131">
        <v>46289</v>
      </c>
      <c r="DP163" s="131">
        <v>46290</v>
      </c>
      <c r="DQ163" s="131">
        <v>46290</v>
      </c>
      <c r="DR163" s="132">
        <v>3</v>
      </c>
      <c r="DS163" s="131">
        <v>46293</v>
      </c>
      <c r="DT163" s="131">
        <v>46294</v>
      </c>
      <c r="DU163" s="131">
        <v>46295</v>
      </c>
      <c r="DV163" s="131">
        <v>46296</v>
      </c>
      <c r="DW163" s="131">
        <v>46296</v>
      </c>
      <c r="DX163" s="131">
        <v>46297</v>
      </c>
      <c r="DY163" s="131">
        <v>46297</v>
      </c>
      <c r="DZ163" s="132"/>
      <c r="EA163" s="132"/>
      <c r="EB163" s="132"/>
      <c r="EC163" s="132"/>
      <c r="ED163" s="131">
        <v>46300</v>
      </c>
      <c r="EE163" s="131">
        <v>46301</v>
      </c>
      <c r="EF163" s="131">
        <v>46301</v>
      </c>
      <c r="EG163" s="131"/>
      <c r="EH163" s="131"/>
      <c r="EI163" s="131"/>
      <c r="EJ163" s="131">
        <v>46301</v>
      </c>
      <c r="EK163" s="131">
        <v>46305</v>
      </c>
      <c r="EL163" s="132">
        <v>18</v>
      </c>
      <c r="EM163" s="133"/>
      <c r="EN163" s="133"/>
      <c r="EO163" s="133"/>
      <c r="EP163" s="133"/>
      <c r="EQ163" s="133"/>
      <c r="ER163" s="133"/>
      <c r="ES163" s="133"/>
      <c r="ET163" s="133"/>
      <c r="EU163" s="133"/>
      <c r="EV163" s="134"/>
      <c r="EW163" s="133">
        <v>46305</v>
      </c>
      <c r="EX163" s="133"/>
      <c r="EY163" s="135" t="s">
        <v>854</v>
      </c>
      <c r="EZ163" s="132" t="s">
        <v>857</v>
      </c>
      <c r="FA163" s="190"/>
      <c r="FB163" s="202" t="e">
        <v>#NUM!</v>
      </c>
      <c r="FC163" s="202" t="e">
        <v>#NUM!</v>
      </c>
      <c r="FD163" s="202" t="e">
        <v>#NUM!</v>
      </c>
      <c r="FE163" s="202" t="e">
        <v>#NUM!</v>
      </c>
      <c r="FF163" s="202" t="e">
        <v>#NUM!</v>
      </c>
      <c r="FG163" s="202" t="e">
        <v>#NUM!</v>
      </c>
      <c r="FH163" s="202" t="e">
        <v>#NUM!</v>
      </c>
      <c r="FI163" s="202" t="e">
        <v>#NUM!</v>
      </c>
      <c r="FJ163" s="202" t="e">
        <v>#NUM!</v>
      </c>
      <c r="FK163" s="202" t="e">
        <v>#NUM!</v>
      </c>
      <c r="FL163" s="202" t="e">
        <v>#NUM!</v>
      </c>
      <c r="FM163" s="202" t="e">
        <v>#NUM!</v>
      </c>
      <c r="FN163" s="202" t="e">
        <v>#NUM!</v>
      </c>
      <c r="FO163" s="202" t="e">
        <v>#NUM!</v>
      </c>
      <c r="FP163" s="202" t="e">
        <v>#NUM!</v>
      </c>
      <c r="FQ163" s="202" t="e">
        <v>#NUM!</v>
      </c>
      <c r="FR163" s="202" t="e">
        <v>#NUM!</v>
      </c>
      <c r="FS163" s="202" t="e">
        <v>#NUM!</v>
      </c>
      <c r="FT163" s="202" t="e">
        <v>#NUM!</v>
      </c>
      <c r="FU163" s="202"/>
      <c r="FV163" s="202"/>
      <c r="FW163" s="202"/>
      <c r="FX163" s="202"/>
      <c r="FY163" s="202" t="e">
        <v>#NUM!</v>
      </c>
      <c r="FZ163" s="202" t="e">
        <v>#NUM!</v>
      </c>
      <c r="GA163" s="202" t="e">
        <v>#NUM!</v>
      </c>
      <c r="GB163" s="202"/>
      <c r="GC163" s="202"/>
      <c r="GD163" s="202"/>
      <c r="GE163" s="202" t="e">
        <v>#NUM!</v>
      </c>
      <c r="GF163" s="202"/>
      <c r="GG163" s="202">
        <v>18</v>
      </c>
      <c r="GH163" s="202"/>
      <c r="GI163" s="202"/>
      <c r="GJ163" s="202"/>
      <c r="GK163" s="202"/>
      <c r="GL163" s="202"/>
      <c r="GM163" s="202"/>
      <c r="GN163" s="202"/>
      <c r="GO163" s="202"/>
      <c r="GP163" s="202"/>
      <c r="GQ163" s="202"/>
      <c r="GR163" s="189"/>
      <c r="GS163" s="189"/>
      <c r="GT163" s="189"/>
      <c r="GU163" s="189"/>
      <c r="GV163" s="191" t="s">
        <v>1160</v>
      </c>
    </row>
    <row r="164" spans="1:204" s="68" customFormat="1" ht="15" customHeight="1" x14ac:dyDescent="0.25">
      <c r="A164" s="68" t="s">
        <v>699</v>
      </c>
      <c r="B164" s="82" t="s">
        <v>154</v>
      </c>
      <c r="C164" s="82" t="s">
        <v>172</v>
      </c>
      <c r="D164" s="95" t="s">
        <v>196</v>
      </c>
      <c r="E164" s="82" t="s">
        <v>309</v>
      </c>
      <c r="F164" s="82" t="s">
        <v>549</v>
      </c>
      <c r="G164" s="82" t="s">
        <v>137</v>
      </c>
      <c r="H164" s="82" t="s">
        <v>137</v>
      </c>
      <c r="I164" s="82" t="s">
        <v>66</v>
      </c>
      <c r="J164" s="82" t="s">
        <v>531</v>
      </c>
      <c r="K164" s="92" t="s">
        <v>137</v>
      </c>
      <c r="L164" s="92" t="s">
        <v>137</v>
      </c>
      <c r="M164" s="92" t="s">
        <v>137</v>
      </c>
      <c r="N164" s="92" t="s">
        <v>137</v>
      </c>
      <c r="O164" s="92" t="s">
        <v>137</v>
      </c>
      <c r="P164" s="92" t="s">
        <v>137</v>
      </c>
      <c r="Q164" s="82" t="s">
        <v>552</v>
      </c>
      <c r="R164" s="82" t="s">
        <v>715</v>
      </c>
      <c r="S164" s="82" t="s">
        <v>555</v>
      </c>
      <c r="T164" s="82" t="s">
        <v>320</v>
      </c>
      <c r="U164" s="83">
        <v>0.95</v>
      </c>
      <c r="V164" s="83">
        <v>0.95</v>
      </c>
      <c r="W164" s="83">
        <v>0.95</v>
      </c>
      <c r="X164" s="83">
        <v>0.95</v>
      </c>
      <c r="Y164" s="83">
        <v>0.95</v>
      </c>
      <c r="Z164" s="83">
        <v>0.95</v>
      </c>
      <c r="AA164" s="83">
        <v>0.95</v>
      </c>
      <c r="AB164" s="83">
        <v>0.95</v>
      </c>
      <c r="AC164" s="83">
        <v>0.95</v>
      </c>
      <c r="AD164" s="83">
        <v>0.95</v>
      </c>
      <c r="AE164" s="83">
        <v>0.95</v>
      </c>
      <c r="AF164" s="83">
        <v>0.95</v>
      </c>
      <c r="AG164" s="82" t="s">
        <v>533</v>
      </c>
      <c r="AH164" s="82" t="s">
        <v>529</v>
      </c>
      <c r="AI164" s="88" t="s">
        <v>538</v>
      </c>
      <c r="AJ164" s="89" t="s">
        <v>538</v>
      </c>
      <c r="AK164" s="90">
        <v>46023</v>
      </c>
      <c r="AL164" s="90">
        <v>46387</v>
      </c>
      <c r="AM164" s="89"/>
      <c r="AN164" s="89"/>
      <c r="AO164" s="89"/>
      <c r="AP164" s="91" t="s">
        <v>540</v>
      </c>
      <c r="AQ164" s="90" cm="1">
        <f t="array" ref="AQ164">IFERROR(DATE(2026, _xlfn.AGGREGATE(15, 6, (COLUMN(BY164:CJ164)-COLUMN(BY164)+1)/(BY164:CJ164&lt;&gt;0), 1), 1),"N/A")</f>
        <v>46266</v>
      </c>
      <c r="AR164" s="90" cm="1">
        <f t="array" ref="AR164">IFERROR(EOMONTH(DATE(2026, _xlfn.AGGREGATE(14, 6, (COLUMN(BY164:CJ164)-COLUMN(BY164)+1)/(BY164:CJ164&lt;&gt;0), 1), 1), 0),"N/A")</f>
        <v>46295</v>
      </c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2" t="s">
        <v>614</v>
      </c>
      <c r="BF164" s="82" t="s">
        <v>1026</v>
      </c>
      <c r="BG164" s="82" t="str">
        <f t="shared" si="12"/>
        <v>000</v>
      </c>
      <c r="BH164" s="88">
        <v>630204</v>
      </c>
      <c r="BI164" s="92" t="s">
        <v>74</v>
      </c>
      <c r="BJ164" s="93">
        <v>4000</v>
      </c>
      <c r="BK164" s="74">
        <v>0</v>
      </c>
      <c r="BL164" s="74">
        <v>0</v>
      </c>
      <c r="BM164" s="74">
        <v>0</v>
      </c>
      <c r="BN164" s="74">
        <v>0</v>
      </c>
      <c r="BO164" s="74">
        <v>0</v>
      </c>
      <c r="BP164" s="74">
        <v>0</v>
      </c>
      <c r="BQ164" s="74">
        <v>0</v>
      </c>
      <c r="BR164" s="74">
        <v>0</v>
      </c>
      <c r="BS164" s="94">
        <v>4000</v>
      </c>
      <c r="BT164" s="74">
        <v>0</v>
      </c>
      <c r="BU164" s="74">
        <v>0</v>
      </c>
      <c r="BV164" s="143">
        <v>0</v>
      </c>
      <c r="BW164" s="143"/>
      <c r="BX164" s="143">
        <f t="shared" si="17"/>
        <v>4000</v>
      </c>
      <c r="BY164" s="74">
        <v>0</v>
      </c>
      <c r="BZ164" s="74">
        <v>0</v>
      </c>
      <c r="CA164" s="74">
        <v>0</v>
      </c>
      <c r="CB164" s="74">
        <v>0</v>
      </c>
      <c r="CC164" s="74">
        <v>0</v>
      </c>
      <c r="CD164" s="74">
        <v>0</v>
      </c>
      <c r="CE164" s="74">
        <v>0</v>
      </c>
      <c r="CF164" s="74">
        <v>0</v>
      </c>
      <c r="CG164" s="94">
        <v>4000</v>
      </c>
      <c r="CH164" s="74">
        <v>0</v>
      </c>
      <c r="CI164" s="74">
        <v>0</v>
      </c>
      <c r="CJ164" s="143">
        <v>0</v>
      </c>
      <c r="CK164" s="143"/>
      <c r="CL164" s="142">
        <f t="shared" si="13"/>
        <v>0</v>
      </c>
      <c r="CM164" s="171">
        <v>0</v>
      </c>
      <c r="CN164" s="171">
        <v>0</v>
      </c>
      <c r="CO164" s="171">
        <v>0</v>
      </c>
      <c r="CP164" s="171">
        <v>0</v>
      </c>
      <c r="CQ164" s="171">
        <v>0</v>
      </c>
      <c r="CR164" s="171">
        <v>0</v>
      </c>
      <c r="CS164" s="171">
        <f t="shared" si="14"/>
        <v>0</v>
      </c>
      <c r="CT164" s="171">
        <f t="shared" si="15"/>
        <v>0</v>
      </c>
      <c r="CU164" s="171">
        <f t="shared" si="16"/>
        <v>0</v>
      </c>
      <c r="CV164" s="150">
        <v>4000</v>
      </c>
      <c r="CW164" s="150">
        <v>4000</v>
      </c>
      <c r="CX164" s="130">
        <v>2</v>
      </c>
      <c r="CY164" s="130">
        <v>2</v>
      </c>
      <c r="CZ164" s="130"/>
      <c r="DA164" s="130"/>
      <c r="DB164" s="130"/>
      <c r="DC164" s="130"/>
      <c r="DD164" s="130"/>
      <c r="DE164" s="131">
        <v>46269</v>
      </c>
      <c r="DF164" s="131">
        <v>46269</v>
      </c>
      <c r="DG164" s="132">
        <v>3</v>
      </c>
      <c r="DH164" s="131">
        <v>46272</v>
      </c>
      <c r="DI164" s="131">
        <v>46272</v>
      </c>
      <c r="DJ164" s="131">
        <v>46272</v>
      </c>
      <c r="DK164" s="131">
        <v>46273</v>
      </c>
      <c r="DL164" s="131">
        <v>46274</v>
      </c>
      <c r="DM164" s="131">
        <v>46275</v>
      </c>
      <c r="DN164" s="131">
        <v>46276</v>
      </c>
      <c r="DO164" s="131">
        <v>46279</v>
      </c>
      <c r="DP164" s="131">
        <v>46280</v>
      </c>
      <c r="DQ164" s="131">
        <v>46280</v>
      </c>
      <c r="DR164" s="132">
        <v>3</v>
      </c>
      <c r="DS164" s="131">
        <v>46281</v>
      </c>
      <c r="DT164" s="131">
        <v>46282</v>
      </c>
      <c r="DU164" s="131">
        <v>46283</v>
      </c>
      <c r="DV164" s="131">
        <v>46286</v>
      </c>
      <c r="DW164" s="131">
        <v>46286</v>
      </c>
      <c r="DX164" s="131">
        <v>46287</v>
      </c>
      <c r="DY164" s="131">
        <v>46287</v>
      </c>
      <c r="DZ164" s="132"/>
      <c r="EA164" s="132"/>
      <c r="EB164" s="132"/>
      <c r="EC164" s="132"/>
      <c r="ED164" s="131">
        <v>46288</v>
      </c>
      <c r="EE164" s="131">
        <v>46289</v>
      </c>
      <c r="EF164" s="131">
        <v>46289</v>
      </c>
      <c r="EG164" s="131"/>
      <c r="EH164" s="131"/>
      <c r="EI164" s="131"/>
      <c r="EJ164" s="131">
        <v>46289</v>
      </c>
      <c r="EK164" s="131">
        <v>46295</v>
      </c>
      <c r="EL164" s="132">
        <v>18</v>
      </c>
      <c r="EM164" s="133"/>
      <c r="EN164" s="133"/>
      <c r="EO164" s="133"/>
      <c r="EP164" s="133"/>
      <c r="EQ164" s="133"/>
      <c r="ER164" s="133"/>
      <c r="ES164" s="133"/>
      <c r="ET164" s="133"/>
      <c r="EU164" s="133"/>
      <c r="EV164" s="134"/>
      <c r="EW164" s="133">
        <v>46295</v>
      </c>
      <c r="EX164" s="133"/>
      <c r="EY164" s="135" t="s">
        <v>854</v>
      </c>
      <c r="EZ164" s="132" t="s">
        <v>899</v>
      </c>
      <c r="FA164" s="136"/>
      <c r="FB164" s="203">
        <v>46269</v>
      </c>
      <c r="FC164" s="203">
        <v>46269</v>
      </c>
      <c r="FD164" s="203">
        <v>46272</v>
      </c>
      <c r="FE164" s="203">
        <v>46272</v>
      </c>
      <c r="FF164" s="203">
        <v>46272</v>
      </c>
      <c r="FG164" s="203">
        <v>46273</v>
      </c>
      <c r="FH164" s="203">
        <v>46274</v>
      </c>
      <c r="FI164" s="203">
        <v>46275</v>
      </c>
      <c r="FJ164" s="203">
        <v>46276</v>
      </c>
      <c r="FK164" s="203">
        <v>46279</v>
      </c>
      <c r="FL164" s="203">
        <v>46280</v>
      </c>
      <c r="FM164" s="203">
        <v>46280</v>
      </c>
      <c r="FN164" s="203">
        <v>46281</v>
      </c>
      <c r="FO164" s="203">
        <v>46282</v>
      </c>
      <c r="FP164" s="203">
        <v>46283</v>
      </c>
      <c r="FQ164" s="203">
        <v>46286</v>
      </c>
      <c r="FR164" s="203">
        <v>46286</v>
      </c>
      <c r="FS164" s="203">
        <v>46287</v>
      </c>
      <c r="FT164" s="203">
        <v>46287</v>
      </c>
      <c r="FU164" s="203"/>
      <c r="FV164" s="203"/>
      <c r="FW164" s="203"/>
      <c r="FX164" s="203"/>
      <c r="FY164" s="203">
        <v>46288</v>
      </c>
      <c r="FZ164" s="203">
        <v>46289</v>
      </c>
      <c r="GA164" s="203">
        <v>46289</v>
      </c>
      <c r="GB164" s="203"/>
      <c r="GC164" s="203"/>
      <c r="GD164" s="203"/>
      <c r="GE164" s="203">
        <v>46289</v>
      </c>
      <c r="GF164" s="203">
        <v>46295</v>
      </c>
      <c r="GG164" s="203">
        <v>18</v>
      </c>
      <c r="GH164" s="203"/>
      <c r="GI164" s="203"/>
      <c r="GJ164" s="203"/>
      <c r="GK164" s="203"/>
      <c r="GL164" s="203"/>
      <c r="GM164" s="203"/>
      <c r="GN164" s="203"/>
      <c r="GO164" s="203"/>
      <c r="GP164" s="203"/>
      <c r="GQ164" s="203">
        <v>46295</v>
      </c>
      <c r="GR164" s="187"/>
      <c r="GS164" s="187" t="s">
        <v>1181</v>
      </c>
      <c r="GT164" s="187" t="s">
        <v>854</v>
      </c>
      <c r="GU164" s="187" t="s">
        <v>899</v>
      </c>
      <c r="GV164" s="187"/>
    </row>
    <row r="165" spans="1:204" s="68" customFormat="1" ht="15" customHeight="1" x14ac:dyDescent="0.25">
      <c r="A165" s="68" t="s">
        <v>696</v>
      </c>
      <c r="B165" s="82" t="s">
        <v>154</v>
      </c>
      <c r="C165" s="82" t="s">
        <v>172</v>
      </c>
      <c r="D165" s="82" t="s">
        <v>196</v>
      </c>
      <c r="E165" s="82" t="s">
        <v>309</v>
      </c>
      <c r="F165" s="82" t="s">
        <v>549</v>
      </c>
      <c r="G165" s="82" t="s">
        <v>137</v>
      </c>
      <c r="H165" s="82" t="s">
        <v>137</v>
      </c>
      <c r="I165" s="82" t="s">
        <v>66</v>
      </c>
      <c r="J165" s="82" t="s">
        <v>29</v>
      </c>
      <c r="K165" s="92" t="s">
        <v>137</v>
      </c>
      <c r="L165" s="92" t="s">
        <v>137</v>
      </c>
      <c r="M165" s="92" t="s">
        <v>137</v>
      </c>
      <c r="N165" s="92" t="s">
        <v>137</v>
      </c>
      <c r="O165" s="92" t="s">
        <v>137</v>
      </c>
      <c r="P165" s="92" t="s">
        <v>137</v>
      </c>
      <c r="Q165" s="82" t="s">
        <v>87</v>
      </c>
      <c r="R165" s="82" t="s">
        <v>714</v>
      </c>
      <c r="S165" s="82" t="s">
        <v>40</v>
      </c>
      <c r="T165" s="82" t="s">
        <v>2</v>
      </c>
      <c r="U165" s="83"/>
      <c r="V165" s="83">
        <v>0.05</v>
      </c>
      <c r="W165" s="83">
        <v>0.08</v>
      </c>
      <c r="X165" s="83">
        <v>0.15</v>
      </c>
      <c r="Y165" s="83">
        <v>0.2</v>
      </c>
      <c r="Z165" s="83">
        <v>0.25</v>
      </c>
      <c r="AA165" s="83">
        <v>0.37</v>
      </c>
      <c r="AB165" s="83">
        <v>0.42</v>
      </c>
      <c r="AC165" s="83">
        <v>0.57999999999999996</v>
      </c>
      <c r="AD165" s="83">
        <v>0.67</v>
      </c>
      <c r="AE165" s="83">
        <v>0.83</v>
      </c>
      <c r="AF165" s="83">
        <v>1</v>
      </c>
      <c r="AG165" s="82" t="s">
        <v>532</v>
      </c>
      <c r="AH165" s="82" t="s">
        <v>529</v>
      </c>
      <c r="AI165" s="88" t="s">
        <v>538</v>
      </c>
      <c r="AJ165" s="89" t="s">
        <v>538</v>
      </c>
      <c r="AK165" s="90">
        <v>46023</v>
      </c>
      <c r="AL165" s="90">
        <v>46387</v>
      </c>
      <c r="AM165" s="89"/>
      <c r="AN165" s="89"/>
      <c r="AO165" s="89"/>
      <c r="AP165" s="91" t="s">
        <v>539</v>
      </c>
      <c r="AQ165" s="90" t="str" cm="1">
        <f t="array" ref="AQ165">IFERROR(DATE(2026, _xlfn.AGGREGATE(15, 6, (COLUMN(BY165:CJ165)-COLUMN(BY165)+1)/(BY165:CJ165&lt;&gt;0), 1), 1),"N/A")</f>
        <v>N/A</v>
      </c>
      <c r="AR165" s="90" t="str" cm="1">
        <f t="array" ref="AR165">IFERROR(EOMONTH(DATE(2026, _xlfn.AGGREGATE(14, 6, (COLUMN(BY165:CJ165)-COLUMN(BY165)+1)/(BY165:CJ165&lt;&gt;0), 1), 1), 0),"N/A")</f>
        <v>N/A</v>
      </c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2" t="s">
        <v>648</v>
      </c>
      <c r="BF165" s="82" t="s">
        <v>1005</v>
      </c>
      <c r="BG165" s="82" t="str">
        <f t="shared" si="12"/>
        <v>000</v>
      </c>
      <c r="BH165" s="88">
        <v>530404</v>
      </c>
      <c r="BI165" s="92" t="s">
        <v>74</v>
      </c>
      <c r="BJ165" s="93">
        <v>25000</v>
      </c>
      <c r="BK165" s="74">
        <v>0</v>
      </c>
      <c r="BL165" s="74">
        <v>0</v>
      </c>
      <c r="BM165" s="74">
        <v>0</v>
      </c>
      <c r="BN165" s="74">
        <v>0</v>
      </c>
      <c r="BO165" s="74">
        <v>0</v>
      </c>
      <c r="BP165" s="74">
        <v>0</v>
      </c>
      <c r="BQ165" s="94">
        <v>25000</v>
      </c>
      <c r="BR165" s="74">
        <v>0</v>
      </c>
      <c r="BS165" s="74">
        <v>0</v>
      </c>
      <c r="BT165" s="74">
        <v>0</v>
      </c>
      <c r="BU165" s="74">
        <v>0</v>
      </c>
      <c r="BV165" s="143">
        <v>0</v>
      </c>
      <c r="BW165" s="143">
        <v>-25000</v>
      </c>
      <c r="BX165" s="143">
        <f t="shared" si="17"/>
        <v>0</v>
      </c>
      <c r="BY165" s="74">
        <v>0</v>
      </c>
      <c r="BZ165" s="74">
        <v>0</v>
      </c>
      <c r="CA165" s="74">
        <v>0</v>
      </c>
      <c r="CB165" s="74">
        <v>0</v>
      </c>
      <c r="CC165" s="74">
        <v>0</v>
      </c>
      <c r="CD165" s="74">
        <v>0</v>
      </c>
      <c r="CE165" s="94">
        <v>0</v>
      </c>
      <c r="CF165" s="74">
        <v>0</v>
      </c>
      <c r="CG165" s="74">
        <v>0</v>
      </c>
      <c r="CH165" s="74">
        <v>0</v>
      </c>
      <c r="CI165" s="74">
        <v>0</v>
      </c>
      <c r="CJ165" s="143">
        <v>0</v>
      </c>
      <c r="CK165" s="143"/>
      <c r="CL165" s="142">
        <f t="shared" si="13"/>
        <v>0</v>
      </c>
      <c r="CM165" s="171">
        <v>0</v>
      </c>
      <c r="CN165" s="171">
        <v>0</v>
      </c>
      <c r="CO165" s="171">
        <v>0</v>
      </c>
      <c r="CP165" s="171">
        <v>0</v>
      </c>
      <c r="CQ165" s="171">
        <v>0</v>
      </c>
      <c r="CR165" s="171">
        <v>0</v>
      </c>
      <c r="CS165" s="171">
        <f t="shared" si="14"/>
        <v>0</v>
      </c>
      <c r="CT165" s="171">
        <f t="shared" si="15"/>
        <v>0</v>
      </c>
      <c r="CU165" s="171">
        <f t="shared" si="16"/>
        <v>0</v>
      </c>
      <c r="CV165" s="152">
        <v>25000</v>
      </c>
      <c r="CW165" s="149">
        <v>0</v>
      </c>
      <c r="CX165" s="130">
        <v>1</v>
      </c>
      <c r="CY165" s="130">
        <v>0</v>
      </c>
      <c r="CZ165" s="130" t="s">
        <v>321</v>
      </c>
      <c r="DA165" s="130" t="s">
        <v>849</v>
      </c>
      <c r="DB165" s="130" t="s">
        <v>850</v>
      </c>
      <c r="DC165" s="130" t="s">
        <v>851</v>
      </c>
      <c r="DD165" s="130"/>
      <c r="DE165" s="131">
        <v>46118</v>
      </c>
      <c r="DF165" s="131">
        <v>46118</v>
      </c>
      <c r="DG165" s="132">
        <v>1</v>
      </c>
      <c r="DH165" s="131">
        <v>46119</v>
      </c>
      <c r="DI165" s="131">
        <v>46119</v>
      </c>
      <c r="DJ165" s="131">
        <v>46119</v>
      </c>
      <c r="DK165" s="131">
        <v>46120</v>
      </c>
      <c r="DL165" s="131">
        <v>46121</v>
      </c>
      <c r="DM165" s="131">
        <v>46122</v>
      </c>
      <c r="DN165" s="131">
        <v>46125</v>
      </c>
      <c r="DO165" s="131">
        <v>46126</v>
      </c>
      <c r="DP165" s="131">
        <v>46127</v>
      </c>
      <c r="DQ165" s="131">
        <v>46127</v>
      </c>
      <c r="DR165" s="132">
        <v>1</v>
      </c>
      <c r="DS165" s="131">
        <v>46128</v>
      </c>
      <c r="DT165" s="131">
        <v>46129</v>
      </c>
      <c r="DU165" s="131">
        <v>46132</v>
      </c>
      <c r="DV165" s="131">
        <v>46133</v>
      </c>
      <c r="DW165" s="131">
        <v>46133</v>
      </c>
      <c r="DX165" s="131">
        <v>46134</v>
      </c>
      <c r="DY165" s="131">
        <v>46134</v>
      </c>
      <c r="DZ165" s="132"/>
      <c r="EA165" s="132"/>
      <c r="EB165" s="132"/>
      <c r="EC165" s="132"/>
      <c r="ED165" s="131">
        <v>46135</v>
      </c>
      <c r="EE165" s="131">
        <v>46136</v>
      </c>
      <c r="EF165" s="131">
        <v>46136</v>
      </c>
      <c r="EG165" s="131">
        <v>46139</v>
      </c>
      <c r="EH165" s="131">
        <v>46140</v>
      </c>
      <c r="EI165" s="131">
        <v>46141</v>
      </c>
      <c r="EJ165" s="131">
        <v>46142</v>
      </c>
      <c r="EK165" s="131">
        <v>46142</v>
      </c>
      <c r="EL165" s="132">
        <v>18</v>
      </c>
      <c r="EM165" s="131">
        <v>46146</v>
      </c>
      <c r="EN165" s="131">
        <v>46148</v>
      </c>
      <c r="EO165" s="133">
        <v>46150</v>
      </c>
      <c r="EP165" s="133">
        <v>46153</v>
      </c>
      <c r="EQ165" s="133">
        <v>46154</v>
      </c>
      <c r="ER165" s="133">
        <v>46156</v>
      </c>
      <c r="ES165" s="133">
        <v>46157</v>
      </c>
      <c r="ET165" s="133">
        <v>46161</v>
      </c>
      <c r="EU165" s="133">
        <v>46164</v>
      </c>
      <c r="EV165" s="134">
        <v>2</v>
      </c>
      <c r="EW165" s="133">
        <v>46169</v>
      </c>
      <c r="EX165" s="133"/>
      <c r="EY165" s="154" t="s">
        <v>852</v>
      </c>
      <c r="EZ165" s="132" t="s">
        <v>860</v>
      </c>
      <c r="FA165" s="136"/>
      <c r="FB165" s="202" t="e">
        <v>#NUM!</v>
      </c>
      <c r="FC165" s="202" t="e">
        <v>#NUM!</v>
      </c>
      <c r="FD165" s="202" t="e">
        <v>#NUM!</v>
      </c>
      <c r="FE165" s="202" t="e">
        <v>#NUM!</v>
      </c>
      <c r="FF165" s="202" t="e">
        <v>#NUM!</v>
      </c>
      <c r="FG165" s="202" t="e">
        <v>#NUM!</v>
      </c>
      <c r="FH165" s="202" t="e">
        <v>#NUM!</v>
      </c>
      <c r="FI165" s="202" t="e">
        <v>#NUM!</v>
      </c>
      <c r="FJ165" s="202" t="e">
        <v>#NUM!</v>
      </c>
      <c r="FK165" s="202" t="e">
        <v>#NUM!</v>
      </c>
      <c r="FL165" s="202" t="e">
        <v>#NUM!</v>
      </c>
      <c r="FM165" s="202" t="e">
        <v>#NUM!</v>
      </c>
      <c r="FN165" s="202" t="e">
        <v>#NUM!</v>
      </c>
      <c r="FO165" s="202" t="e">
        <v>#NUM!</v>
      </c>
      <c r="FP165" s="202" t="e">
        <v>#NUM!</v>
      </c>
      <c r="FQ165" s="202" t="e">
        <v>#NUM!</v>
      </c>
      <c r="FR165" s="202" t="e">
        <v>#NUM!</v>
      </c>
      <c r="FS165" s="202" t="e">
        <v>#NUM!</v>
      </c>
      <c r="FT165" s="202" t="e">
        <v>#NUM!</v>
      </c>
      <c r="FU165" s="202"/>
      <c r="FV165" s="202"/>
      <c r="FW165" s="202"/>
      <c r="FX165" s="202"/>
      <c r="FY165" s="202" t="e">
        <v>#NUM!</v>
      </c>
      <c r="FZ165" s="202" t="e">
        <v>#NUM!</v>
      </c>
      <c r="GA165" s="202" t="e">
        <v>#NUM!</v>
      </c>
      <c r="GB165" s="202" t="e">
        <v>#NUM!</v>
      </c>
      <c r="GC165" s="202" t="e">
        <v>#NUM!</v>
      </c>
      <c r="GD165" s="202" t="e">
        <v>#NUM!</v>
      </c>
      <c r="GE165" s="202" t="e">
        <v>#NUM!</v>
      </c>
      <c r="GF165" s="202"/>
      <c r="GG165" s="202">
        <v>18</v>
      </c>
      <c r="GH165" s="202">
        <v>3</v>
      </c>
      <c r="GI165" s="202">
        <v>5</v>
      </c>
      <c r="GJ165" s="202">
        <v>9</v>
      </c>
      <c r="GK165" s="202">
        <v>10</v>
      </c>
      <c r="GL165" s="202">
        <v>11</v>
      </c>
      <c r="GM165" s="202">
        <v>13</v>
      </c>
      <c r="GN165" s="202">
        <v>16</v>
      </c>
      <c r="GO165" s="202">
        <v>18</v>
      </c>
      <c r="GP165" s="202">
        <v>23</v>
      </c>
      <c r="GQ165" s="202"/>
      <c r="GR165" s="189"/>
      <c r="GS165" s="189"/>
      <c r="GT165" s="189"/>
      <c r="GU165" s="189"/>
      <c r="GV165" s="189" t="s">
        <v>1165</v>
      </c>
    </row>
    <row r="166" spans="1:204" s="68" customFormat="1" ht="15" customHeight="1" x14ac:dyDescent="0.25">
      <c r="A166" s="68" t="s">
        <v>693</v>
      </c>
      <c r="B166" s="82" t="s">
        <v>154</v>
      </c>
      <c r="C166" s="82" t="s">
        <v>172</v>
      </c>
      <c r="D166" s="82" t="s">
        <v>196</v>
      </c>
      <c r="E166" s="82" t="s">
        <v>309</v>
      </c>
      <c r="F166" s="82" t="s">
        <v>549</v>
      </c>
      <c r="G166" s="82" t="s">
        <v>137</v>
      </c>
      <c r="H166" s="82" t="s">
        <v>137</v>
      </c>
      <c r="I166" s="82" t="s">
        <v>66</v>
      </c>
      <c r="J166" s="82" t="s">
        <v>29</v>
      </c>
      <c r="K166" s="92" t="s">
        <v>137</v>
      </c>
      <c r="L166" s="92" t="s">
        <v>137</v>
      </c>
      <c r="M166" s="92" t="s">
        <v>137</v>
      </c>
      <c r="N166" s="92" t="s">
        <v>137</v>
      </c>
      <c r="O166" s="92" t="s">
        <v>137</v>
      </c>
      <c r="P166" s="92" t="s">
        <v>137</v>
      </c>
      <c r="Q166" s="82" t="s">
        <v>87</v>
      </c>
      <c r="R166" s="82" t="s">
        <v>714</v>
      </c>
      <c r="S166" s="82" t="s">
        <v>40</v>
      </c>
      <c r="T166" s="82" t="s">
        <v>2</v>
      </c>
      <c r="U166" s="83"/>
      <c r="V166" s="83">
        <v>0.05</v>
      </c>
      <c r="W166" s="83">
        <v>0.08</v>
      </c>
      <c r="X166" s="83">
        <v>0.15</v>
      </c>
      <c r="Y166" s="83">
        <v>0.2</v>
      </c>
      <c r="Z166" s="83">
        <v>0.25</v>
      </c>
      <c r="AA166" s="83">
        <v>0.37</v>
      </c>
      <c r="AB166" s="83">
        <v>0.42</v>
      </c>
      <c r="AC166" s="83">
        <v>0.57999999999999996</v>
      </c>
      <c r="AD166" s="83">
        <v>0.67</v>
      </c>
      <c r="AE166" s="83">
        <v>0.83</v>
      </c>
      <c r="AF166" s="83">
        <v>1</v>
      </c>
      <c r="AG166" s="82" t="s">
        <v>778</v>
      </c>
      <c r="AH166" s="82" t="s">
        <v>530</v>
      </c>
      <c r="AI166" s="88" t="s">
        <v>538</v>
      </c>
      <c r="AJ166" s="89" t="s">
        <v>538</v>
      </c>
      <c r="AK166" s="90">
        <v>46023</v>
      </c>
      <c r="AL166" s="90">
        <v>46387</v>
      </c>
      <c r="AM166" s="89"/>
      <c r="AN166" s="89"/>
      <c r="AO166" s="89"/>
      <c r="AP166" s="91" t="s">
        <v>539</v>
      </c>
      <c r="AQ166" s="90" cm="1">
        <f t="array" ref="AQ166">IFERROR(DATE(2026, _xlfn.AGGREGATE(15, 6, (COLUMN(BY166:CJ166)-COLUMN(BY166)+1)/(BY166:CJ166&lt;&gt;0), 1), 1),"N/A")</f>
        <v>46023</v>
      </c>
      <c r="AR166" s="90" cm="1">
        <f t="array" ref="AR166">IFERROR(EOMONTH(DATE(2026, _xlfn.AGGREGATE(14, 6, (COLUMN(BY166:CJ166)-COLUMN(BY166)+1)/(BY166:CJ166&lt;&gt;0), 1), 1), 0),"N/A")</f>
        <v>46295</v>
      </c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2" t="s">
        <v>756</v>
      </c>
      <c r="BF166" s="82" t="s">
        <v>766</v>
      </c>
      <c r="BG166" s="82" t="str">
        <f t="shared" si="12"/>
        <v>000</v>
      </c>
      <c r="BH166" s="88">
        <v>530105</v>
      </c>
      <c r="BI166" s="92" t="s">
        <v>74</v>
      </c>
      <c r="BJ166" s="93">
        <v>19000</v>
      </c>
      <c r="BK166" s="94">
        <v>2026.66</v>
      </c>
      <c r="BL166" s="94">
        <v>2026.66</v>
      </c>
      <c r="BM166" s="94">
        <v>2026.66</v>
      </c>
      <c r="BN166" s="72">
        <v>2026.66</v>
      </c>
      <c r="BO166" s="94">
        <v>2026.66</v>
      </c>
      <c r="BP166" s="94">
        <v>2026.66</v>
      </c>
      <c r="BQ166" s="94">
        <v>2026.66</v>
      </c>
      <c r="BR166" s="94">
        <v>2026.66</v>
      </c>
      <c r="BS166" s="94">
        <v>2786.72</v>
      </c>
      <c r="BT166" s="74">
        <v>0</v>
      </c>
      <c r="BU166" s="74">
        <v>0</v>
      </c>
      <c r="BV166" s="143">
        <v>0</v>
      </c>
      <c r="BW166" s="143"/>
      <c r="BX166" s="143">
        <f t="shared" si="17"/>
        <v>19000</v>
      </c>
      <c r="BY166" s="94">
        <v>2026.66</v>
      </c>
      <c r="BZ166" s="94">
        <v>2026.66</v>
      </c>
      <c r="CA166" s="94">
        <v>2026.66</v>
      </c>
      <c r="CB166" s="72">
        <v>2026.66</v>
      </c>
      <c r="CC166" s="94">
        <v>2026.66</v>
      </c>
      <c r="CD166" s="94">
        <v>2026.66</v>
      </c>
      <c r="CE166" s="94">
        <v>2026.66</v>
      </c>
      <c r="CF166" s="94">
        <v>2026.66</v>
      </c>
      <c r="CG166" s="94">
        <v>2786.72</v>
      </c>
      <c r="CH166" s="74">
        <v>0</v>
      </c>
      <c r="CI166" s="74">
        <v>0</v>
      </c>
      <c r="CJ166" s="143">
        <v>0</v>
      </c>
      <c r="CK166" s="143"/>
      <c r="CL166" s="142">
        <f t="shared" si="13"/>
        <v>0</v>
      </c>
      <c r="CM166" s="171">
        <v>2026.66</v>
      </c>
      <c r="CN166" s="171">
        <v>306.08</v>
      </c>
      <c r="CO166" s="171">
        <v>18693.919999999998</v>
      </c>
      <c r="CP166" s="171">
        <v>0</v>
      </c>
      <c r="CQ166" s="171">
        <v>306.08</v>
      </c>
      <c r="CR166" s="171">
        <v>0</v>
      </c>
      <c r="CS166" s="171">
        <f t="shared" si="14"/>
        <v>2026.66</v>
      </c>
      <c r="CT166" s="171">
        <f t="shared" si="15"/>
        <v>612.16</v>
      </c>
      <c r="CU166" s="171">
        <f t="shared" si="16"/>
        <v>18693.919999999998</v>
      </c>
      <c r="CV166" s="149"/>
      <c r="CW166" s="149"/>
      <c r="CX166" s="130"/>
      <c r="CY166" s="130"/>
      <c r="CZ166" s="130"/>
      <c r="DA166" s="130"/>
      <c r="DB166" s="130"/>
      <c r="DC166" s="130"/>
      <c r="DD166" s="130" t="s">
        <v>886</v>
      </c>
      <c r="DE166" s="130"/>
      <c r="DF166" s="130"/>
      <c r="DG166" s="130"/>
      <c r="DH166" s="130"/>
      <c r="DI166" s="130"/>
      <c r="DJ166" s="130"/>
      <c r="DK166" s="130"/>
      <c r="DL166" s="130"/>
      <c r="DM166" s="130"/>
      <c r="DN166" s="130"/>
      <c r="DO166" s="130"/>
      <c r="DP166" s="130"/>
      <c r="DQ166" s="130"/>
      <c r="DR166" s="130"/>
      <c r="DS166" s="130"/>
      <c r="DT166" s="130"/>
      <c r="DU166" s="130"/>
      <c r="DV166" s="130"/>
      <c r="DW166" s="130"/>
      <c r="DX166" s="130"/>
      <c r="DY166" s="130"/>
      <c r="DZ166" s="130"/>
      <c r="EA166" s="130"/>
      <c r="EB166" s="130"/>
      <c r="EC166" s="130"/>
      <c r="ED166" s="130"/>
      <c r="EE166" s="130"/>
      <c r="EF166" s="130"/>
      <c r="EG166" s="130"/>
      <c r="EH166" s="130"/>
      <c r="EI166" s="130"/>
      <c r="EJ166" s="130"/>
      <c r="EK166" s="130"/>
      <c r="EL166" s="130"/>
      <c r="EM166" s="130"/>
      <c r="EN166" s="130"/>
      <c r="EO166" s="130"/>
      <c r="EP166" s="130"/>
      <c r="EQ166" s="130"/>
      <c r="ER166" s="130"/>
      <c r="ES166" s="130"/>
      <c r="ET166" s="130"/>
      <c r="EU166" s="130"/>
      <c r="EV166" s="130"/>
      <c r="EW166" s="130"/>
      <c r="EX166" s="130"/>
      <c r="EY166" s="130"/>
      <c r="EZ166" s="130"/>
      <c r="FA166" s="130"/>
      <c r="FB166" s="201"/>
      <c r="FC166" s="201"/>
      <c r="FD166" s="201"/>
      <c r="FE166" s="201"/>
      <c r="FF166" s="201"/>
      <c r="FG166" s="201"/>
      <c r="FH166" s="201"/>
      <c r="FI166" s="201"/>
      <c r="FJ166" s="201"/>
      <c r="FK166" s="201"/>
      <c r="FL166" s="201"/>
      <c r="FM166" s="201"/>
      <c r="FN166" s="201"/>
      <c r="FO166" s="201"/>
      <c r="FP166" s="201"/>
      <c r="FQ166" s="201"/>
      <c r="FR166" s="201"/>
      <c r="FS166" s="201"/>
      <c r="FT166" s="201"/>
      <c r="FU166" s="201"/>
      <c r="FV166" s="201"/>
      <c r="FW166" s="201"/>
      <c r="FX166" s="201"/>
      <c r="FY166" s="201"/>
      <c r="FZ166" s="201"/>
      <c r="GA166" s="201"/>
      <c r="GB166" s="201"/>
      <c r="GC166" s="201"/>
      <c r="GD166" s="201"/>
      <c r="GE166" s="201"/>
      <c r="GF166" s="201"/>
      <c r="GG166" s="201"/>
      <c r="GH166" s="201"/>
      <c r="GI166" s="201"/>
      <c r="GJ166" s="201"/>
      <c r="GK166" s="201"/>
      <c r="GL166" s="201"/>
      <c r="GM166" s="201"/>
      <c r="GN166" s="201"/>
      <c r="GO166" s="201"/>
      <c r="GP166" s="201"/>
      <c r="GQ166" s="201"/>
    </row>
    <row r="167" spans="1:204" s="68" customFormat="1" ht="15" customHeight="1" x14ac:dyDescent="0.25">
      <c r="A167" s="68" t="s">
        <v>693</v>
      </c>
      <c r="B167" s="82" t="s">
        <v>154</v>
      </c>
      <c r="C167" s="82" t="s">
        <v>172</v>
      </c>
      <c r="D167" s="82" t="s">
        <v>196</v>
      </c>
      <c r="E167" s="82" t="s">
        <v>309</v>
      </c>
      <c r="F167" s="82" t="s">
        <v>549</v>
      </c>
      <c r="G167" s="82" t="s">
        <v>137</v>
      </c>
      <c r="H167" s="82" t="s">
        <v>137</v>
      </c>
      <c r="I167" s="82" t="s">
        <v>66</v>
      </c>
      <c r="J167" s="82" t="s">
        <v>29</v>
      </c>
      <c r="K167" s="92" t="s">
        <v>137</v>
      </c>
      <c r="L167" s="92" t="s">
        <v>137</v>
      </c>
      <c r="M167" s="92" t="s">
        <v>137</v>
      </c>
      <c r="N167" s="92" t="s">
        <v>137</v>
      </c>
      <c r="O167" s="92" t="s">
        <v>137</v>
      </c>
      <c r="P167" s="92" t="s">
        <v>137</v>
      </c>
      <c r="Q167" s="82" t="s">
        <v>87</v>
      </c>
      <c r="R167" s="82" t="s">
        <v>714</v>
      </c>
      <c r="S167" s="82" t="s">
        <v>40</v>
      </c>
      <c r="T167" s="82" t="s">
        <v>2</v>
      </c>
      <c r="U167" s="83"/>
      <c r="V167" s="83">
        <v>0.05</v>
      </c>
      <c r="W167" s="83">
        <v>0.08</v>
      </c>
      <c r="X167" s="83">
        <v>0.15</v>
      </c>
      <c r="Y167" s="83">
        <v>0.2</v>
      </c>
      <c r="Z167" s="83">
        <v>0.25</v>
      </c>
      <c r="AA167" s="83">
        <v>0.37</v>
      </c>
      <c r="AB167" s="83">
        <v>0.42</v>
      </c>
      <c r="AC167" s="83">
        <v>0.57999999999999996</v>
      </c>
      <c r="AD167" s="83">
        <v>0.67</v>
      </c>
      <c r="AE167" s="83">
        <v>0.83</v>
      </c>
      <c r="AF167" s="83">
        <v>1</v>
      </c>
      <c r="AG167" s="82" t="s">
        <v>532</v>
      </c>
      <c r="AH167" s="82" t="s">
        <v>529</v>
      </c>
      <c r="AI167" s="88" t="s">
        <v>538</v>
      </c>
      <c r="AJ167" s="89" t="s">
        <v>538</v>
      </c>
      <c r="AK167" s="90">
        <v>46023</v>
      </c>
      <c r="AL167" s="90">
        <v>46387</v>
      </c>
      <c r="AM167" s="89"/>
      <c r="AN167" s="89"/>
      <c r="AO167" s="89"/>
      <c r="AP167" s="91" t="s">
        <v>539</v>
      </c>
      <c r="AQ167" s="90" cm="1">
        <f t="array" ref="AQ167">IFERROR(DATE(2026, _xlfn.AGGREGATE(15, 6, (COLUMN(BY167:CJ167)-COLUMN(BY167)+1)/(BY167:CJ167&lt;&gt;0), 1), 1),"N/A")</f>
        <v>46235</v>
      </c>
      <c r="AR167" s="90" cm="1">
        <f t="array" ref="AR167">IFERROR(EOMONTH(DATE(2026, _xlfn.AGGREGATE(14, 6, (COLUMN(BY167:CJ167)-COLUMN(BY167)+1)/(BY167:CJ167&lt;&gt;0), 1), 1), 0),"N/A")</f>
        <v>46387</v>
      </c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2" t="s">
        <v>757</v>
      </c>
      <c r="BF167" s="82" t="s">
        <v>1017</v>
      </c>
      <c r="BG167" s="82" t="str">
        <f t="shared" si="12"/>
        <v>000</v>
      </c>
      <c r="BH167" s="88">
        <v>530105</v>
      </c>
      <c r="BI167" s="92" t="s">
        <v>74</v>
      </c>
      <c r="BJ167" s="93">
        <v>12500</v>
      </c>
      <c r="BK167" s="74">
        <v>0</v>
      </c>
      <c r="BL167" s="74">
        <v>0</v>
      </c>
      <c r="BM167" s="74">
        <v>0</v>
      </c>
      <c r="BN167" s="74">
        <v>0</v>
      </c>
      <c r="BO167" s="74">
        <v>0</v>
      </c>
      <c r="BP167" s="74">
        <v>0</v>
      </c>
      <c r="BQ167" s="74">
        <v>0</v>
      </c>
      <c r="BR167" s="94">
        <v>2500</v>
      </c>
      <c r="BS167" s="94">
        <v>2500</v>
      </c>
      <c r="BT167" s="94">
        <v>2500</v>
      </c>
      <c r="BU167" s="94">
        <v>2500</v>
      </c>
      <c r="BV167" s="142">
        <v>2500</v>
      </c>
      <c r="BW167" s="142"/>
      <c r="BX167" s="143">
        <f t="shared" si="17"/>
        <v>12500</v>
      </c>
      <c r="BY167" s="74">
        <v>0</v>
      </c>
      <c r="BZ167" s="74">
        <v>0</v>
      </c>
      <c r="CA167" s="74">
        <v>0</v>
      </c>
      <c r="CB167" s="74">
        <v>0</v>
      </c>
      <c r="CC167" s="74">
        <v>0</v>
      </c>
      <c r="CD167" s="74">
        <v>0</v>
      </c>
      <c r="CE167" s="74">
        <v>0</v>
      </c>
      <c r="CF167" s="94">
        <v>2500</v>
      </c>
      <c r="CG167" s="94">
        <v>2500</v>
      </c>
      <c r="CH167" s="94">
        <v>2500</v>
      </c>
      <c r="CI167" s="94">
        <v>2500</v>
      </c>
      <c r="CJ167" s="142">
        <v>2500</v>
      </c>
      <c r="CK167" s="142"/>
      <c r="CL167" s="142">
        <f t="shared" si="13"/>
        <v>0</v>
      </c>
      <c r="CM167" s="171">
        <v>0</v>
      </c>
      <c r="CN167" s="171">
        <v>0</v>
      </c>
      <c r="CO167" s="171">
        <v>0</v>
      </c>
      <c r="CP167" s="171">
        <v>0</v>
      </c>
      <c r="CQ167" s="171">
        <v>0</v>
      </c>
      <c r="CR167" s="171">
        <v>0</v>
      </c>
      <c r="CS167" s="171">
        <f t="shared" si="14"/>
        <v>0</v>
      </c>
      <c r="CT167" s="171">
        <f t="shared" si="15"/>
        <v>0</v>
      </c>
      <c r="CU167" s="171">
        <f t="shared" si="16"/>
        <v>0</v>
      </c>
      <c r="CV167" s="152">
        <v>12500</v>
      </c>
      <c r="CW167" s="198">
        <v>12500</v>
      </c>
      <c r="CX167" s="130">
        <v>2</v>
      </c>
      <c r="CY167" s="130">
        <v>2</v>
      </c>
      <c r="CZ167" s="130" t="s">
        <v>321</v>
      </c>
      <c r="DA167" s="130" t="s">
        <v>849</v>
      </c>
      <c r="DB167" s="130" t="s">
        <v>850</v>
      </c>
      <c r="DC167" s="130" t="s">
        <v>851</v>
      </c>
      <c r="DD167" s="130"/>
      <c r="DE167" s="131">
        <v>46136</v>
      </c>
      <c r="DF167" s="131">
        <v>46136</v>
      </c>
      <c r="DG167" s="132">
        <v>1</v>
      </c>
      <c r="DH167" s="131">
        <v>46139</v>
      </c>
      <c r="DI167" s="131">
        <v>46139</v>
      </c>
      <c r="DJ167" s="131">
        <v>46139</v>
      </c>
      <c r="DK167" s="131">
        <v>46140</v>
      </c>
      <c r="DL167" s="131">
        <v>46141</v>
      </c>
      <c r="DM167" s="131">
        <v>46142</v>
      </c>
      <c r="DN167" s="131">
        <v>46143</v>
      </c>
      <c r="DO167" s="131">
        <v>46146</v>
      </c>
      <c r="DP167" s="131">
        <v>46147</v>
      </c>
      <c r="DQ167" s="131">
        <v>46147</v>
      </c>
      <c r="DR167" s="132">
        <v>2</v>
      </c>
      <c r="DS167" s="131">
        <v>46148</v>
      </c>
      <c r="DT167" s="131">
        <v>46149</v>
      </c>
      <c r="DU167" s="131">
        <v>46150</v>
      </c>
      <c r="DV167" s="131">
        <v>46153</v>
      </c>
      <c r="DW167" s="131">
        <v>46153</v>
      </c>
      <c r="DX167" s="131">
        <v>46154</v>
      </c>
      <c r="DY167" s="131">
        <v>46154</v>
      </c>
      <c r="DZ167" s="132"/>
      <c r="EA167" s="132"/>
      <c r="EB167" s="132"/>
      <c r="EC167" s="132"/>
      <c r="ED167" s="131">
        <v>46155</v>
      </c>
      <c r="EE167" s="131">
        <v>46156</v>
      </c>
      <c r="EF167" s="131">
        <v>46156</v>
      </c>
      <c r="EG167" s="131">
        <v>46157</v>
      </c>
      <c r="EH167" s="131">
        <v>46160</v>
      </c>
      <c r="EI167" s="131">
        <v>46161</v>
      </c>
      <c r="EJ167" s="131">
        <v>46162</v>
      </c>
      <c r="EK167" s="131">
        <v>46162</v>
      </c>
      <c r="EL167" s="132">
        <v>18</v>
      </c>
      <c r="EM167" s="131">
        <v>46164</v>
      </c>
      <c r="EN167" s="131">
        <v>46168</v>
      </c>
      <c r="EO167" s="133">
        <v>46170</v>
      </c>
      <c r="EP167" s="133">
        <v>46171</v>
      </c>
      <c r="EQ167" s="133">
        <v>46174</v>
      </c>
      <c r="ER167" s="133">
        <v>46176</v>
      </c>
      <c r="ES167" s="133">
        <v>46177</v>
      </c>
      <c r="ET167" s="133">
        <v>46181</v>
      </c>
      <c r="EU167" s="133">
        <v>46184</v>
      </c>
      <c r="EV167" s="134">
        <v>2</v>
      </c>
      <c r="EW167" s="133">
        <v>46189</v>
      </c>
      <c r="EX167" s="133"/>
      <c r="EY167" s="154" t="s">
        <v>852</v>
      </c>
      <c r="EZ167" s="132" t="s">
        <v>853</v>
      </c>
      <c r="FA167" s="136"/>
      <c r="FB167" s="203">
        <v>46136</v>
      </c>
      <c r="FC167" s="203">
        <v>46136</v>
      </c>
      <c r="FD167" s="203">
        <v>46139</v>
      </c>
      <c r="FE167" s="203">
        <v>46139</v>
      </c>
      <c r="FF167" s="203">
        <v>46139</v>
      </c>
      <c r="FG167" s="203">
        <v>46140</v>
      </c>
      <c r="FH167" s="203">
        <v>46141</v>
      </c>
      <c r="FI167" s="203">
        <v>46142</v>
      </c>
      <c r="FJ167" s="203">
        <v>46143</v>
      </c>
      <c r="FK167" s="203">
        <v>46146</v>
      </c>
      <c r="FL167" s="203">
        <v>46147</v>
      </c>
      <c r="FM167" s="203">
        <v>46147</v>
      </c>
      <c r="FN167" s="203">
        <v>46148</v>
      </c>
      <c r="FO167" s="203">
        <v>46149</v>
      </c>
      <c r="FP167" s="203">
        <v>46150</v>
      </c>
      <c r="FQ167" s="203">
        <v>46153</v>
      </c>
      <c r="FR167" s="203">
        <v>46153</v>
      </c>
      <c r="FS167" s="203">
        <v>46154</v>
      </c>
      <c r="FT167" s="203">
        <v>46154</v>
      </c>
      <c r="FU167" s="203"/>
      <c r="FV167" s="203"/>
      <c r="FW167" s="203"/>
      <c r="FX167" s="203"/>
      <c r="FY167" s="203">
        <v>46155</v>
      </c>
      <c r="FZ167" s="203">
        <v>46156</v>
      </c>
      <c r="GA167" s="203">
        <v>46156</v>
      </c>
      <c r="GB167" s="203">
        <v>46157</v>
      </c>
      <c r="GC167" s="203">
        <v>46160</v>
      </c>
      <c r="GD167" s="203">
        <v>46161</v>
      </c>
      <c r="GE167" s="203">
        <v>46162</v>
      </c>
      <c r="GF167" s="203">
        <v>46162</v>
      </c>
      <c r="GG167" s="203">
        <v>18</v>
      </c>
      <c r="GH167" s="203">
        <v>46164</v>
      </c>
      <c r="GI167" s="203">
        <v>46168</v>
      </c>
      <c r="GJ167" s="203">
        <v>46170</v>
      </c>
      <c r="GK167" s="203">
        <v>46171</v>
      </c>
      <c r="GL167" s="203">
        <v>46174</v>
      </c>
      <c r="GM167" s="203">
        <v>46176</v>
      </c>
      <c r="GN167" s="203">
        <v>46177</v>
      </c>
      <c r="GO167" s="203">
        <v>46181</v>
      </c>
      <c r="GP167" s="203">
        <v>46184</v>
      </c>
      <c r="GQ167" s="203">
        <v>46189</v>
      </c>
      <c r="GR167" s="187"/>
      <c r="GS167" s="187" t="s">
        <v>1180</v>
      </c>
      <c r="GT167" s="187" t="s">
        <v>852</v>
      </c>
      <c r="GU167" s="187" t="s">
        <v>853</v>
      </c>
      <c r="GV167" s="187"/>
    </row>
    <row r="168" spans="1:204" s="68" customFormat="1" ht="15" customHeight="1" x14ac:dyDescent="0.25">
      <c r="A168" s="68" t="s">
        <v>692</v>
      </c>
      <c r="B168" s="82" t="s">
        <v>154</v>
      </c>
      <c r="C168" s="82" t="s">
        <v>172</v>
      </c>
      <c r="D168" s="82" t="s">
        <v>196</v>
      </c>
      <c r="E168" s="82" t="s">
        <v>309</v>
      </c>
      <c r="F168" s="82" t="s">
        <v>549</v>
      </c>
      <c r="G168" s="82" t="s">
        <v>137</v>
      </c>
      <c r="H168" s="82" t="s">
        <v>137</v>
      </c>
      <c r="I168" s="82" t="s">
        <v>66</v>
      </c>
      <c r="J168" s="82" t="s">
        <v>29</v>
      </c>
      <c r="K168" s="92" t="s">
        <v>137</v>
      </c>
      <c r="L168" s="92" t="s">
        <v>137</v>
      </c>
      <c r="M168" s="92" t="s">
        <v>137</v>
      </c>
      <c r="N168" s="92" t="s">
        <v>137</v>
      </c>
      <c r="O168" s="92" t="s">
        <v>137</v>
      </c>
      <c r="P168" s="92" t="s">
        <v>137</v>
      </c>
      <c r="Q168" s="82" t="s">
        <v>87</v>
      </c>
      <c r="R168" s="82" t="s">
        <v>714</v>
      </c>
      <c r="S168" s="82" t="s">
        <v>40</v>
      </c>
      <c r="T168" s="82" t="s">
        <v>2</v>
      </c>
      <c r="U168" s="83"/>
      <c r="V168" s="83">
        <v>0.05</v>
      </c>
      <c r="W168" s="83">
        <v>0.08</v>
      </c>
      <c r="X168" s="83">
        <v>0.15</v>
      </c>
      <c r="Y168" s="83">
        <v>0.2</v>
      </c>
      <c r="Z168" s="83">
        <v>0.25</v>
      </c>
      <c r="AA168" s="83">
        <v>0.37</v>
      </c>
      <c r="AB168" s="83">
        <v>0.42</v>
      </c>
      <c r="AC168" s="83">
        <v>0.57999999999999996</v>
      </c>
      <c r="AD168" s="83">
        <v>0.67</v>
      </c>
      <c r="AE168" s="83">
        <v>0.83</v>
      </c>
      <c r="AF168" s="83">
        <v>1</v>
      </c>
      <c r="AG168" s="82" t="s">
        <v>532</v>
      </c>
      <c r="AH168" s="82" t="s">
        <v>529</v>
      </c>
      <c r="AI168" s="88" t="s">
        <v>538</v>
      </c>
      <c r="AJ168" s="89" t="s">
        <v>538</v>
      </c>
      <c r="AK168" s="90">
        <v>46023</v>
      </c>
      <c r="AL168" s="90">
        <v>46387</v>
      </c>
      <c r="AM168" s="89"/>
      <c r="AN168" s="89"/>
      <c r="AO168" s="89"/>
      <c r="AP168" s="91" t="s">
        <v>539</v>
      </c>
      <c r="AQ168" s="90" cm="1">
        <f t="array" ref="AQ168">IFERROR(DATE(2026, _xlfn.AGGREGATE(15, 6, (COLUMN(BY168:CJ168)-COLUMN(BY168)+1)/(BY168:CJ168&lt;&gt;0), 1), 1),"N/A")</f>
        <v>46174</v>
      </c>
      <c r="AR168" s="90" cm="1">
        <f t="array" ref="AR168">IFERROR(EOMONTH(DATE(2026, _xlfn.AGGREGATE(14, 6, (COLUMN(BY168:CJ168)-COLUMN(BY168)+1)/(BY168:CJ168&lt;&gt;0), 1), 1), 0),"N/A")</f>
        <v>46203</v>
      </c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2" t="s">
        <v>585</v>
      </c>
      <c r="BF168" s="82" t="s">
        <v>975</v>
      </c>
      <c r="BG168" s="82" t="str">
        <f t="shared" si="12"/>
        <v>000</v>
      </c>
      <c r="BH168" s="88">
        <v>530404</v>
      </c>
      <c r="BI168" s="92" t="s">
        <v>74</v>
      </c>
      <c r="BJ168" s="93">
        <v>1000</v>
      </c>
      <c r="BK168" s="74">
        <v>0</v>
      </c>
      <c r="BL168" s="74">
        <v>0</v>
      </c>
      <c r="BM168" s="74">
        <v>0</v>
      </c>
      <c r="BN168" s="74">
        <v>0</v>
      </c>
      <c r="BO168" s="74">
        <v>0</v>
      </c>
      <c r="BP168" s="94">
        <v>1000</v>
      </c>
      <c r="BQ168" s="74">
        <v>0</v>
      </c>
      <c r="BR168" s="74">
        <v>0</v>
      </c>
      <c r="BS168" s="74">
        <v>0</v>
      </c>
      <c r="BT168" s="74">
        <v>0</v>
      </c>
      <c r="BU168" s="74">
        <v>0</v>
      </c>
      <c r="BV168" s="143">
        <v>0</v>
      </c>
      <c r="BW168" s="143"/>
      <c r="BX168" s="143">
        <f t="shared" si="17"/>
        <v>1000</v>
      </c>
      <c r="BY168" s="74">
        <v>0</v>
      </c>
      <c r="BZ168" s="74">
        <v>0</v>
      </c>
      <c r="CA168" s="74">
        <v>0</v>
      </c>
      <c r="CB168" s="74">
        <v>0</v>
      </c>
      <c r="CC168" s="74">
        <v>0</v>
      </c>
      <c r="CD168" s="94">
        <v>1000</v>
      </c>
      <c r="CE168" s="74">
        <v>0</v>
      </c>
      <c r="CF168" s="74">
        <v>0</v>
      </c>
      <c r="CG168" s="74">
        <v>0</v>
      </c>
      <c r="CH168" s="74">
        <v>0</v>
      </c>
      <c r="CI168" s="74">
        <v>0</v>
      </c>
      <c r="CJ168" s="143">
        <v>0</v>
      </c>
      <c r="CK168" s="143"/>
      <c r="CL168" s="142">
        <f t="shared" si="13"/>
        <v>0</v>
      </c>
      <c r="CM168" s="171">
        <v>0</v>
      </c>
      <c r="CN168" s="171">
        <v>0</v>
      </c>
      <c r="CO168" s="171">
        <v>0</v>
      </c>
      <c r="CP168" s="171">
        <v>0</v>
      </c>
      <c r="CQ168" s="171">
        <v>0</v>
      </c>
      <c r="CR168" s="171">
        <v>0</v>
      </c>
      <c r="CS168" s="171">
        <f t="shared" si="14"/>
        <v>0</v>
      </c>
      <c r="CT168" s="171">
        <f t="shared" si="15"/>
        <v>0</v>
      </c>
      <c r="CU168" s="171">
        <f t="shared" si="16"/>
        <v>0</v>
      </c>
      <c r="CV168" s="149"/>
      <c r="CW168" s="149"/>
      <c r="CX168" s="130"/>
      <c r="CY168" s="130"/>
      <c r="CZ168" s="130"/>
      <c r="DA168" s="130"/>
      <c r="DB168" s="130"/>
      <c r="DC168" s="130"/>
      <c r="DD168" s="130"/>
      <c r="DE168" s="130"/>
      <c r="DF168" s="130"/>
      <c r="DG168" s="130"/>
      <c r="DH168" s="130"/>
      <c r="DI168" s="130"/>
      <c r="DJ168" s="130"/>
      <c r="DK168" s="130"/>
      <c r="DL168" s="130"/>
      <c r="DM168" s="130"/>
      <c r="DN168" s="130"/>
      <c r="DO168" s="130"/>
      <c r="DP168" s="130"/>
      <c r="DQ168" s="130"/>
      <c r="DR168" s="130"/>
      <c r="DS168" s="130"/>
      <c r="DT168" s="130"/>
      <c r="DU168" s="130"/>
      <c r="DV168" s="130"/>
      <c r="DW168" s="130"/>
      <c r="DX168" s="130"/>
      <c r="DY168" s="130"/>
      <c r="DZ168" s="130"/>
      <c r="EA168" s="130"/>
      <c r="EB168" s="130"/>
      <c r="EC168" s="130"/>
      <c r="ED168" s="130"/>
      <c r="EE168" s="130"/>
      <c r="EF168" s="130"/>
      <c r="EG168" s="130"/>
      <c r="EH168" s="130"/>
      <c r="EI168" s="130"/>
      <c r="EJ168" s="130"/>
      <c r="EK168" s="130"/>
      <c r="EL168" s="130"/>
      <c r="EM168" s="130"/>
      <c r="EN168" s="130"/>
      <c r="EO168" s="130"/>
      <c r="EP168" s="130"/>
      <c r="EQ168" s="130"/>
      <c r="ER168" s="130"/>
      <c r="ES168" s="130"/>
      <c r="ET168" s="130"/>
      <c r="EU168" s="130"/>
      <c r="EV168" s="130"/>
      <c r="EW168" s="130"/>
      <c r="EX168" s="130"/>
      <c r="EY168" s="130"/>
      <c r="EZ168" s="130"/>
      <c r="FA168" s="130"/>
      <c r="FB168" s="201"/>
      <c r="FC168" s="201"/>
      <c r="FD168" s="201"/>
      <c r="FE168" s="201"/>
      <c r="FF168" s="201"/>
      <c r="FG168" s="201"/>
      <c r="FH168" s="201"/>
      <c r="FI168" s="201"/>
      <c r="FJ168" s="201"/>
      <c r="FK168" s="201"/>
      <c r="FL168" s="201"/>
      <c r="FM168" s="201"/>
      <c r="FN168" s="201"/>
      <c r="FO168" s="201"/>
      <c r="FP168" s="201"/>
      <c r="FQ168" s="201"/>
      <c r="FR168" s="201"/>
      <c r="FS168" s="201"/>
      <c r="FT168" s="201"/>
      <c r="FU168" s="201"/>
      <c r="FV168" s="201"/>
      <c r="FW168" s="201"/>
      <c r="FX168" s="201"/>
      <c r="FY168" s="201"/>
      <c r="FZ168" s="201"/>
      <c r="GA168" s="201"/>
      <c r="GB168" s="201"/>
      <c r="GC168" s="201"/>
      <c r="GD168" s="201"/>
      <c r="GE168" s="201"/>
      <c r="GF168" s="201"/>
      <c r="GG168" s="201"/>
      <c r="GH168" s="201"/>
      <c r="GI168" s="201"/>
      <c r="GJ168" s="201"/>
      <c r="GK168" s="201"/>
      <c r="GL168" s="201"/>
      <c r="GM168" s="201"/>
      <c r="GN168" s="201"/>
      <c r="GO168" s="201"/>
      <c r="GP168" s="201"/>
      <c r="GQ168" s="201"/>
    </row>
    <row r="169" spans="1:204" s="68" customFormat="1" ht="14.45" customHeight="1" x14ac:dyDescent="0.25">
      <c r="A169" s="68" t="s">
        <v>693</v>
      </c>
      <c r="B169" s="82" t="s">
        <v>154</v>
      </c>
      <c r="C169" s="82" t="s">
        <v>172</v>
      </c>
      <c r="D169" s="82" t="s">
        <v>196</v>
      </c>
      <c r="E169" s="82" t="s">
        <v>309</v>
      </c>
      <c r="F169" s="82" t="s">
        <v>549</v>
      </c>
      <c r="G169" s="82" t="s">
        <v>137</v>
      </c>
      <c r="H169" s="82" t="s">
        <v>137</v>
      </c>
      <c r="I169" s="82" t="s">
        <v>66</v>
      </c>
      <c r="J169" s="82" t="s">
        <v>29</v>
      </c>
      <c r="K169" s="92" t="s">
        <v>137</v>
      </c>
      <c r="L169" s="92" t="s">
        <v>137</v>
      </c>
      <c r="M169" s="92" t="s">
        <v>137</v>
      </c>
      <c r="N169" s="92" t="s">
        <v>137</v>
      </c>
      <c r="O169" s="92" t="s">
        <v>137</v>
      </c>
      <c r="P169" s="92" t="s">
        <v>137</v>
      </c>
      <c r="Q169" s="82" t="s">
        <v>87</v>
      </c>
      <c r="R169" s="82" t="s">
        <v>714</v>
      </c>
      <c r="S169" s="82" t="s">
        <v>40</v>
      </c>
      <c r="T169" s="82" t="s">
        <v>2</v>
      </c>
      <c r="U169" s="83"/>
      <c r="V169" s="83">
        <v>0.05</v>
      </c>
      <c r="W169" s="83">
        <v>0.08</v>
      </c>
      <c r="X169" s="83">
        <v>0.15</v>
      </c>
      <c r="Y169" s="83">
        <v>0.2</v>
      </c>
      <c r="Z169" s="83">
        <v>0.25</v>
      </c>
      <c r="AA169" s="83">
        <v>0.37</v>
      </c>
      <c r="AB169" s="83">
        <v>0.42</v>
      </c>
      <c r="AC169" s="83">
        <v>0.57999999999999996</v>
      </c>
      <c r="AD169" s="83">
        <v>0.67</v>
      </c>
      <c r="AE169" s="83">
        <v>0.83</v>
      </c>
      <c r="AF169" s="83">
        <v>1</v>
      </c>
      <c r="AG169" s="82" t="s">
        <v>532</v>
      </c>
      <c r="AH169" s="82" t="s">
        <v>529</v>
      </c>
      <c r="AI169" s="88" t="s">
        <v>538</v>
      </c>
      <c r="AJ169" s="89" t="s">
        <v>538</v>
      </c>
      <c r="AK169" s="90">
        <v>46023</v>
      </c>
      <c r="AL169" s="90">
        <v>46387</v>
      </c>
      <c r="AM169" s="89"/>
      <c r="AN169" s="89"/>
      <c r="AO169" s="89"/>
      <c r="AP169" s="91" t="s">
        <v>539</v>
      </c>
      <c r="AQ169" s="90" cm="1">
        <f t="array" ref="AQ169">IFERROR(DATE(2026, _xlfn.AGGREGATE(15, 6, (COLUMN(BY169:CJ169)-COLUMN(BY169)+1)/(BY169:CJ169&lt;&gt;0), 1), 1),"N/A")</f>
        <v>46296</v>
      </c>
      <c r="AR169" s="90" cm="1">
        <f t="array" ref="AR169">IFERROR(EOMONTH(DATE(2026, _xlfn.AGGREGATE(14, 6, (COLUMN(BY169:CJ169)-COLUMN(BY169)+1)/(BY169:CJ169&lt;&gt;0), 1), 1), 0),"N/A")</f>
        <v>46326</v>
      </c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2" t="s">
        <v>590</v>
      </c>
      <c r="BF169" s="82" t="s">
        <v>976</v>
      </c>
      <c r="BG169" s="82" t="str">
        <f t="shared" si="12"/>
        <v>000</v>
      </c>
      <c r="BH169" s="88">
        <v>530704</v>
      </c>
      <c r="BI169" s="92" t="s">
        <v>74</v>
      </c>
      <c r="BJ169" s="93">
        <v>1000</v>
      </c>
      <c r="BK169" s="74">
        <v>0</v>
      </c>
      <c r="BL169" s="74">
        <v>0</v>
      </c>
      <c r="BM169" s="74">
        <v>0</v>
      </c>
      <c r="BN169" s="74">
        <v>0</v>
      </c>
      <c r="BO169" s="74">
        <v>0</v>
      </c>
      <c r="BP169" s="74">
        <v>0</v>
      </c>
      <c r="BQ169" s="74">
        <v>0</v>
      </c>
      <c r="BR169" s="74">
        <v>0</v>
      </c>
      <c r="BS169" s="74">
        <v>0</v>
      </c>
      <c r="BT169" s="94">
        <v>1000</v>
      </c>
      <c r="BU169" s="74">
        <v>0</v>
      </c>
      <c r="BV169" s="143">
        <v>0</v>
      </c>
      <c r="BW169" s="143"/>
      <c r="BX169" s="143">
        <f t="shared" si="17"/>
        <v>1000</v>
      </c>
      <c r="BY169" s="74">
        <v>0</v>
      </c>
      <c r="BZ169" s="74">
        <v>0</v>
      </c>
      <c r="CA169" s="74">
        <v>0</v>
      </c>
      <c r="CB169" s="74">
        <v>0</v>
      </c>
      <c r="CC169" s="74">
        <v>0</v>
      </c>
      <c r="CD169" s="74">
        <v>0</v>
      </c>
      <c r="CE169" s="74">
        <v>0</v>
      </c>
      <c r="CF169" s="74">
        <v>0</v>
      </c>
      <c r="CG169" s="74">
        <v>0</v>
      </c>
      <c r="CH169" s="94">
        <v>1000</v>
      </c>
      <c r="CI169" s="74">
        <v>0</v>
      </c>
      <c r="CJ169" s="143">
        <v>0</v>
      </c>
      <c r="CK169" s="143"/>
      <c r="CL169" s="142">
        <f t="shared" si="13"/>
        <v>0</v>
      </c>
      <c r="CM169" s="171">
        <v>0</v>
      </c>
      <c r="CN169" s="171">
        <v>0</v>
      </c>
      <c r="CO169" s="171">
        <v>0</v>
      </c>
      <c r="CP169" s="171">
        <v>0</v>
      </c>
      <c r="CQ169" s="171">
        <v>0</v>
      </c>
      <c r="CR169" s="171">
        <v>0</v>
      </c>
      <c r="CS169" s="171">
        <f t="shared" si="14"/>
        <v>0</v>
      </c>
      <c r="CT169" s="171">
        <f t="shared" si="15"/>
        <v>0</v>
      </c>
      <c r="CU169" s="171">
        <f t="shared" si="16"/>
        <v>0</v>
      </c>
      <c r="CV169" s="150">
        <v>1000</v>
      </c>
      <c r="CW169" s="150">
        <v>1000</v>
      </c>
      <c r="CX169" s="130">
        <v>3</v>
      </c>
      <c r="CY169" s="130">
        <v>3</v>
      </c>
      <c r="CZ169" s="130"/>
      <c r="DA169" s="130"/>
      <c r="DB169" s="130"/>
      <c r="DC169" s="130"/>
      <c r="DD169" s="130"/>
      <c r="DE169" s="131">
        <v>46307</v>
      </c>
      <c r="DF169" s="131">
        <v>46307</v>
      </c>
      <c r="DG169" s="132">
        <v>3</v>
      </c>
      <c r="DH169" s="131">
        <v>46308</v>
      </c>
      <c r="DI169" s="131">
        <v>46308</v>
      </c>
      <c r="DJ169" s="131">
        <v>46308</v>
      </c>
      <c r="DK169" s="131">
        <v>46309</v>
      </c>
      <c r="DL169" s="131">
        <v>46310</v>
      </c>
      <c r="DM169" s="131">
        <v>46311</v>
      </c>
      <c r="DN169" s="131">
        <v>46314</v>
      </c>
      <c r="DO169" s="131">
        <v>46315</v>
      </c>
      <c r="DP169" s="131">
        <v>46316</v>
      </c>
      <c r="DQ169" s="131">
        <v>46316</v>
      </c>
      <c r="DR169" s="132">
        <v>3</v>
      </c>
      <c r="DS169" s="131">
        <v>46317</v>
      </c>
      <c r="DT169" s="131">
        <v>46318</v>
      </c>
      <c r="DU169" s="131">
        <v>46321</v>
      </c>
      <c r="DV169" s="131">
        <v>46322</v>
      </c>
      <c r="DW169" s="131">
        <v>46322</v>
      </c>
      <c r="DX169" s="131">
        <v>46323</v>
      </c>
      <c r="DY169" s="131">
        <v>46323</v>
      </c>
      <c r="DZ169" s="132"/>
      <c r="EA169" s="132"/>
      <c r="EB169" s="132"/>
      <c r="EC169" s="132"/>
      <c r="ED169" s="131">
        <v>46324</v>
      </c>
      <c r="EE169" s="131">
        <v>46325</v>
      </c>
      <c r="EF169" s="131">
        <v>46325</v>
      </c>
      <c r="EG169" s="131"/>
      <c r="EH169" s="131"/>
      <c r="EI169" s="131"/>
      <c r="EJ169" s="131">
        <v>46325</v>
      </c>
      <c r="EK169" s="131">
        <v>46331</v>
      </c>
      <c r="EL169" s="132">
        <v>18</v>
      </c>
      <c r="EM169" s="133"/>
      <c r="EN169" s="133"/>
      <c r="EO169" s="133"/>
      <c r="EP169" s="133"/>
      <c r="EQ169" s="133"/>
      <c r="ER169" s="133"/>
      <c r="ES169" s="133"/>
      <c r="ET169" s="133"/>
      <c r="EU169" s="133"/>
      <c r="EV169" s="134"/>
      <c r="EW169" s="133">
        <v>46331</v>
      </c>
      <c r="EX169" s="133"/>
      <c r="EY169" s="135" t="s">
        <v>854</v>
      </c>
      <c r="EZ169" s="132" t="s">
        <v>876</v>
      </c>
      <c r="FA169" s="136"/>
      <c r="FB169" s="203">
        <v>46307</v>
      </c>
      <c r="FC169" s="203">
        <v>46307</v>
      </c>
      <c r="FD169" s="203">
        <v>46308</v>
      </c>
      <c r="FE169" s="203">
        <v>46308</v>
      </c>
      <c r="FF169" s="203">
        <v>46308</v>
      </c>
      <c r="FG169" s="203">
        <v>46309</v>
      </c>
      <c r="FH169" s="203">
        <v>46310</v>
      </c>
      <c r="FI169" s="203">
        <v>46311</v>
      </c>
      <c r="FJ169" s="203">
        <v>46314</v>
      </c>
      <c r="FK169" s="203">
        <v>46315</v>
      </c>
      <c r="FL169" s="203">
        <v>46316</v>
      </c>
      <c r="FM169" s="203">
        <v>46316</v>
      </c>
      <c r="FN169" s="203">
        <v>46317</v>
      </c>
      <c r="FO169" s="203">
        <v>46318</v>
      </c>
      <c r="FP169" s="203">
        <v>46321</v>
      </c>
      <c r="FQ169" s="203">
        <v>46322</v>
      </c>
      <c r="FR169" s="203">
        <v>46322</v>
      </c>
      <c r="FS169" s="203">
        <v>46323</v>
      </c>
      <c r="FT169" s="203">
        <v>46323</v>
      </c>
      <c r="FU169" s="203"/>
      <c r="FV169" s="203"/>
      <c r="FW169" s="203"/>
      <c r="FX169" s="203"/>
      <c r="FY169" s="203">
        <v>46324</v>
      </c>
      <c r="FZ169" s="203">
        <v>46325</v>
      </c>
      <c r="GA169" s="203">
        <v>46325</v>
      </c>
      <c r="GB169" s="203"/>
      <c r="GC169" s="203"/>
      <c r="GD169" s="203"/>
      <c r="GE169" s="203">
        <v>46325</v>
      </c>
      <c r="GF169" s="203">
        <v>46331</v>
      </c>
      <c r="GG169" s="203">
        <v>18</v>
      </c>
      <c r="GH169" s="203"/>
      <c r="GI169" s="203"/>
      <c r="GJ169" s="203"/>
      <c r="GK169" s="203"/>
      <c r="GL169" s="203"/>
      <c r="GM169" s="203"/>
      <c r="GN169" s="203"/>
      <c r="GO169" s="203"/>
      <c r="GP169" s="203"/>
      <c r="GQ169" s="203">
        <v>46331</v>
      </c>
      <c r="GR169" s="187"/>
      <c r="GS169" s="187" t="s">
        <v>1181</v>
      </c>
      <c r="GT169" s="187" t="s">
        <v>854</v>
      </c>
      <c r="GU169" s="187" t="s">
        <v>876</v>
      </c>
      <c r="GV169" s="187"/>
    </row>
    <row r="170" spans="1:204" s="68" customFormat="1" ht="14.45" customHeight="1" x14ac:dyDescent="0.25">
      <c r="A170" s="68" t="s">
        <v>693</v>
      </c>
      <c r="B170" s="82" t="s">
        <v>154</v>
      </c>
      <c r="C170" s="82" t="s">
        <v>172</v>
      </c>
      <c r="D170" s="82" t="s">
        <v>196</v>
      </c>
      <c r="E170" s="82" t="s">
        <v>309</v>
      </c>
      <c r="F170" s="82" t="s">
        <v>549</v>
      </c>
      <c r="G170" s="82" t="s">
        <v>137</v>
      </c>
      <c r="H170" s="82" t="s">
        <v>137</v>
      </c>
      <c r="I170" s="82" t="s">
        <v>66</v>
      </c>
      <c r="J170" s="82" t="s">
        <v>29</v>
      </c>
      <c r="K170" s="92" t="s">
        <v>137</v>
      </c>
      <c r="L170" s="92" t="s">
        <v>137</v>
      </c>
      <c r="M170" s="92" t="s">
        <v>137</v>
      </c>
      <c r="N170" s="92" t="s">
        <v>137</v>
      </c>
      <c r="O170" s="92" t="s">
        <v>137</v>
      </c>
      <c r="P170" s="92" t="s">
        <v>137</v>
      </c>
      <c r="Q170" s="82" t="s">
        <v>87</v>
      </c>
      <c r="R170" s="82" t="s">
        <v>714</v>
      </c>
      <c r="S170" s="82" t="s">
        <v>40</v>
      </c>
      <c r="T170" s="82" t="s">
        <v>2</v>
      </c>
      <c r="U170" s="83"/>
      <c r="V170" s="83">
        <v>0.05</v>
      </c>
      <c r="W170" s="83">
        <v>0.08</v>
      </c>
      <c r="X170" s="83">
        <v>0.15</v>
      </c>
      <c r="Y170" s="83">
        <v>0.2</v>
      </c>
      <c r="Z170" s="83">
        <v>0.25</v>
      </c>
      <c r="AA170" s="83">
        <v>0.37</v>
      </c>
      <c r="AB170" s="83">
        <v>0.42</v>
      </c>
      <c r="AC170" s="83">
        <v>0.57999999999999996</v>
      </c>
      <c r="AD170" s="83">
        <v>0.67</v>
      </c>
      <c r="AE170" s="83">
        <v>0.83</v>
      </c>
      <c r="AF170" s="83">
        <v>1</v>
      </c>
      <c r="AG170" s="82" t="s">
        <v>532</v>
      </c>
      <c r="AH170" s="82" t="s">
        <v>529</v>
      </c>
      <c r="AI170" s="88" t="s">
        <v>538</v>
      </c>
      <c r="AJ170" s="89" t="s">
        <v>538</v>
      </c>
      <c r="AK170" s="90">
        <v>46023</v>
      </c>
      <c r="AL170" s="90">
        <v>46387</v>
      </c>
      <c r="AM170" s="89"/>
      <c r="AN170" s="89"/>
      <c r="AO170" s="89"/>
      <c r="AP170" s="91" t="s">
        <v>539</v>
      </c>
      <c r="AQ170" s="90" cm="1">
        <f t="array" ref="AQ170">IFERROR(DATE(2026, _xlfn.AGGREGATE(15, 6, (COLUMN(BY170:CJ170)-COLUMN(BY170)+1)/(BY170:CJ170&lt;&gt;0), 1), 1),"N/A")</f>
        <v>46296</v>
      </c>
      <c r="AR170" s="90" cm="1">
        <f t="array" ref="AR170">IFERROR(EOMONTH(DATE(2026, _xlfn.AGGREGATE(14, 6, (COLUMN(BY170:CJ170)-COLUMN(BY170)+1)/(BY170:CJ170&lt;&gt;0), 1), 1), 0),"N/A")</f>
        <v>46326</v>
      </c>
      <c r="AS170" s="89"/>
      <c r="AT170" s="89"/>
      <c r="AU170" s="89"/>
      <c r="AV170" s="89"/>
      <c r="AW170" s="89"/>
      <c r="AX170" s="89"/>
      <c r="AY170" s="89"/>
      <c r="AZ170" s="89"/>
      <c r="BA170" s="89"/>
      <c r="BB170" s="89"/>
      <c r="BC170" s="89"/>
      <c r="BD170" s="89"/>
      <c r="BE170" s="82" t="s">
        <v>602</v>
      </c>
      <c r="BF170" s="82" t="s">
        <v>986</v>
      </c>
      <c r="BG170" s="82" t="str">
        <f t="shared" si="12"/>
        <v>000</v>
      </c>
      <c r="BH170" s="88">
        <v>530704</v>
      </c>
      <c r="BI170" s="92" t="s">
        <v>74</v>
      </c>
      <c r="BJ170" s="93">
        <v>2000</v>
      </c>
      <c r="BK170" s="74">
        <v>0</v>
      </c>
      <c r="BL170" s="74">
        <v>0</v>
      </c>
      <c r="BM170" s="74">
        <v>0</v>
      </c>
      <c r="BN170" s="74">
        <v>0</v>
      </c>
      <c r="BO170" s="74">
        <v>0</v>
      </c>
      <c r="BP170" s="74">
        <v>0</v>
      </c>
      <c r="BQ170" s="74">
        <v>0</v>
      </c>
      <c r="BR170" s="74">
        <v>0</v>
      </c>
      <c r="BS170" s="74">
        <v>0</v>
      </c>
      <c r="BT170" s="94">
        <v>2000</v>
      </c>
      <c r="BU170" s="74">
        <v>0</v>
      </c>
      <c r="BV170" s="143">
        <v>0</v>
      </c>
      <c r="BW170" s="143"/>
      <c r="BX170" s="143">
        <f t="shared" si="17"/>
        <v>2000</v>
      </c>
      <c r="BY170" s="74">
        <v>0</v>
      </c>
      <c r="BZ170" s="74">
        <v>0</v>
      </c>
      <c r="CA170" s="74">
        <v>0</v>
      </c>
      <c r="CB170" s="74">
        <v>0</v>
      </c>
      <c r="CC170" s="74">
        <v>0</v>
      </c>
      <c r="CD170" s="74">
        <v>0</v>
      </c>
      <c r="CE170" s="74">
        <v>0</v>
      </c>
      <c r="CF170" s="74">
        <v>0</v>
      </c>
      <c r="CG170" s="74">
        <v>0</v>
      </c>
      <c r="CH170" s="94">
        <v>2000</v>
      </c>
      <c r="CI170" s="74">
        <v>0</v>
      </c>
      <c r="CJ170" s="143">
        <v>0</v>
      </c>
      <c r="CK170" s="143"/>
      <c r="CL170" s="142">
        <f t="shared" si="13"/>
        <v>0</v>
      </c>
      <c r="CM170" s="171">
        <v>0</v>
      </c>
      <c r="CN170" s="171">
        <v>0</v>
      </c>
      <c r="CO170" s="171">
        <v>0</v>
      </c>
      <c r="CP170" s="171">
        <v>0</v>
      </c>
      <c r="CQ170" s="171">
        <v>0</v>
      </c>
      <c r="CR170" s="171">
        <v>0</v>
      </c>
      <c r="CS170" s="171">
        <f t="shared" si="14"/>
        <v>0</v>
      </c>
      <c r="CT170" s="171">
        <f t="shared" si="15"/>
        <v>0</v>
      </c>
      <c r="CU170" s="171">
        <f t="shared" si="16"/>
        <v>0</v>
      </c>
      <c r="CV170" s="150">
        <v>2000</v>
      </c>
      <c r="CW170" s="150">
        <v>2000</v>
      </c>
      <c r="CX170" s="130">
        <v>3</v>
      </c>
      <c r="CY170" s="130">
        <v>3</v>
      </c>
      <c r="CZ170" s="130"/>
      <c r="DA170" s="130"/>
      <c r="DB170" s="130"/>
      <c r="DC170" s="130"/>
      <c r="DD170" s="130"/>
      <c r="DE170" s="131">
        <v>46307</v>
      </c>
      <c r="DF170" s="131">
        <v>46307</v>
      </c>
      <c r="DG170" s="132">
        <v>3</v>
      </c>
      <c r="DH170" s="131">
        <v>46308</v>
      </c>
      <c r="DI170" s="131">
        <v>46308</v>
      </c>
      <c r="DJ170" s="131">
        <v>46308</v>
      </c>
      <c r="DK170" s="131">
        <v>46309</v>
      </c>
      <c r="DL170" s="131">
        <v>46310</v>
      </c>
      <c r="DM170" s="131">
        <v>46311</v>
      </c>
      <c r="DN170" s="131">
        <v>46314</v>
      </c>
      <c r="DO170" s="131">
        <v>46315</v>
      </c>
      <c r="DP170" s="131">
        <v>46316</v>
      </c>
      <c r="DQ170" s="131">
        <v>46316</v>
      </c>
      <c r="DR170" s="132">
        <v>3</v>
      </c>
      <c r="DS170" s="131">
        <v>46317</v>
      </c>
      <c r="DT170" s="131">
        <v>46318</v>
      </c>
      <c r="DU170" s="131">
        <v>46321</v>
      </c>
      <c r="DV170" s="131">
        <v>46322</v>
      </c>
      <c r="DW170" s="131">
        <v>46322</v>
      </c>
      <c r="DX170" s="131">
        <v>46323</v>
      </c>
      <c r="DY170" s="131">
        <v>46323</v>
      </c>
      <c r="DZ170" s="132"/>
      <c r="EA170" s="132"/>
      <c r="EB170" s="132"/>
      <c r="EC170" s="132"/>
      <c r="ED170" s="131">
        <v>46324</v>
      </c>
      <c r="EE170" s="131">
        <v>46325</v>
      </c>
      <c r="EF170" s="131">
        <v>46325</v>
      </c>
      <c r="EG170" s="131"/>
      <c r="EH170" s="131"/>
      <c r="EI170" s="131"/>
      <c r="EJ170" s="131">
        <v>46325</v>
      </c>
      <c r="EK170" s="131">
        <v>46331</v>
      </c>
      <c r="EL170" s="132">
        <v>18</v>
      </c>
      <c r="EM170" s="133"/>
      <c r="EN170" s="133"/>
      <c r="EO170" s="133"/>
      <c r="EP170" s="133"/>
      <c r="EQ170" s="133"/>
      <c r="ER170" s="133"/>
      <c r="ES170" s="133"/>
      <c r="ET170" s="133"/>
      <c r="EU170" s="133"/>
      <c r="EV170" s="134"/>
      <c r="EW170" s="133">
        <v>46331</v>
      </c>
      <c r="EX170" s="133"/>
      <c r="EY170" s="135" t="s">
        <v>854</v>
      </c>
      <c r="EZ170" s="132" t="s">
        <v>876</v>
      </c>
      <c r="FA170" s="130"/>
      <c r="FB170" s="203">
        <v>46307</v>
      </c>
      <c r="FC170" s="203">
        <v>46307</v>
      </c>
      <c r="FD170" s="203">
        <v>46308</v>
      </c>
      <c r="FE170" s="203">
        <v>46308</v>
      </c>
      <c r="FF170" s="203">
        <v>46308</v>
      </c>
      <c r="FG170" s="203">
        <v>46309</v>
      </c>
      <c r="FH170" s="203">
        <v>46310</v>
      </c>
      <c r="FI170" s="203">
        <v>46311</v>
      </c>
      <c r="FJ170" s="203">
        <v>46314</v>
      </c>
      <c r="FK170" s="203">
        <v>46315</v>
      </c>
      <c r="FL170" s="203">
        <v>46316</v>
      </c>
      <c r="FM170" s="203">
        <v>46316</v>
      </c>
      <c r="FN170" s="203">
        <v>46317</v>
      </c>
      <c r="FO170" s="203">
        <v>46318</v>
      </c>
      <c r="FP170" s="203">
        <v>46321</v>
      </c>
      <c r="FQ170" s="203">
        <v>46322</v>
      </c>
      <c r="FR170" s="203">
        <v>46322</v>
      </c>
      <c r="FS170" s="203">
        <v>46323</v>
      </c>
      <c r="FT170" s="203">
        <v>46323</v>
      </c>
      <c r="FU170" s="203"/>
      <c r="FV170" s="203"/>
      <c r="FW170" s="203"/>
      <c r="FX170" s="203"/>
      <c r="FY170" s="203">
        <v>46324</v>
      </c>
      <c r="FZ170" s="203">
        <v>46325</v>
      </c>
      <c r="GA170" s="203">
        <v>46325</v>
      </c>
      <c r="GB170" s="203"/>
      <c r="GC170" s="203"/>
      <c r="GD170" s="203"/>
      <c r="GE170" s="203">
        <v>46325</v>
      </c>
      <c r="GF170" s="203">
        <v>46331</v>
      </c>
      <c r="GG170" s="203">
        <v>18</v>
      </c>
      <c r="GH170" s="203"/>
      <c r="GI170" s="203"/>
      <c r="GJ170" s="203"/>
      <c r="GK170" s="203"/>
      <c r="GL170" s="203"/>
      <c r="GM170" s="203"/>
      <c r="GN170" s="203"/>
      <c r="GO170" s="203"/>
      <c r="GP170" s="203"/>
      <c r="GQ170" s="203">
        <v>46331</v>
      </c>
      <c r="GR170" s="187"/>
      <c r="GS170" s="187" t="s">
        <v>1181</v>
      </c>
      <c r="GT170" s="187" t="s">
        <v>854</v>
      </c>
      <c r="GU170" s="187" t="s">
        <v>876</v>
      </c>
      <c r="GV170" s="187"/>
    </row>
    <row r="171" spans="1:204" s="68" customFormat="1" ht="14.45" customHeight="1" x14ac:dyDescent="0.25">
      <c r="A171" s="68" t="s">
        <v>693</v>
      </c>
      <c r="B171" s="82" t="s">
        <v>154</v>
      </c>
      <c r="C171" s="82" t="s">
        <v>172</v>
      </c>
      <c r="D171" s="82" t="s">
        <v>196</v>
      </c>
      <c r="E171" s="82" t="s">
        <v>309</v>
      </c>
      <c r="F171" s="82" t="s">
        <v>549</v>
      </c>
      <c r="G171" s="82" t="s">
        <v>137</v>
      </c>
      <c r="H171" s="82" t="s">
        <v>137</v>
      </c>
      <c r="I171" s="82" t="s">
        <v>66</v>
      </c>
      <c r="J171" s="82" t="s">
        <v>29</v>
      </c>
      <c r="K171" s="92" t="s">
        <v>137</v>
      </c>
      <c r="L171" s="92" t="s">
        <v>137</v>
      </c>
      <c r="M171" s="92" t="s">
        <v>137</v>
      </c>
      <c r="N171" s="92" t="s">
        <v>137</v>
      </c>
      <c r="O171" s="92" t="s">
        <v>137</v>
      </c>
      <c r="P171" s="92" t="s">
        <v>137</v>
      </c>
      <c r="Q171" s="82" t="s">
        <v>87</v>
      </c>
      <c r="R171" s="82" t="s">
        <v>714</v>
      </c>
      <c r="S171" s="82" t="s">
        <v>40</v>
      </c>
      <c r="T171" s="82" t="s">
        <v>2</v>
      </c>
      <c r="U171" s="83"/>
      <c r="V171" s="83">
        <v>0.05</v>
      </c>
      <c r="W171" s="83">
        <v>0.08</v>
      </c>
      <c r="X171" s="83">
        <v>0.15</v>
      </c>
      <c r="Y171" s="83">
        <v>0.2</v>
      </c>
      <c r="Z171" s="83">
        <v>0.25</v>
      </c>
      <c r="AA171" s="83">
        <v>0.37</v>
      </c>
      <c r="AB171" s="83">
        <v>0.42</v>
      </c>
      <c r="AC171" s="83">
        <v>0.57999999999999996</v>
      </c>
      <c r="AD171" s="83">
        <v>0.67</v>
      </c>
      <c r="AE171" s="83">
        <v>0.83</v>
      </c>
      <c r="AF171" s="83">
        <v>1</v>
      </c>
      <c r="AG171" s="82" t="s">
        <v>532</v>
      </c>
      <c r="AH171" s="82" t="s">
        <v>529</v>
      </c>
      <c r="AI171" s="88" t="s">
        <v>538</v>
      </c>
      <c r="AJ171" s="89" t="s">
        <v>538</v>
      </c>
      <c r="AK171" s="90">
        <v>46023</v>
      </c>
      <c r="AL171" s="90">
        <v>46387</v>
      </c>
      <c r="AM171" s="89"/>
      <c r="AN171" s="89"/>
      <c r="AO171" s="89"/>
      <c r="AP171" s="91" t="s">
        <v>539</v>
      </c>
      <c r="AQ171" s="90" t="str" cm="1">
        <f t="array" ref="AQ171">IFERROR(DATE(2026, _xlfn.AGGREGATE(15, 6, (COLUMN(BY171:CJ171)-COLUMN(BY171)+1)/(BY171:CJ171&lt;&gt;0), 1), 1),"N/A")</f>
        <v>N/A</v>
      </c>
      <c r="AR171" s="90" t="str" cm="1">
        <f t="array" ref="AR171">IFERROR(EOMONTH(DATE(2026, _xlfn.AGGREGATE(14, 6, (COLUMN(BY171:CJ171)-COLUMN(BY171)+1)/(BY171:CJ171&lt;&gt;0), 1), 1), 0),"N/A")</f>
        <v>N/A</v>
      </c>
      <c r="AS171" s="89"/>
      <c r="AT171" s="89"/>
      <c r="AU171" s="89"/>
      <c r="AV171" s="89"/>
      <c r="AW171" s="89"/>
      <c r="AX171" s="89"/>
      <c r="AY171" s="89"/>
      <c r="AZ171" s="89"/>
      <c r="BA171" s="89"/>
      <c r="BB171" s="89"/>
      <c r="BC171" s="89"/>
      <c r="BD171" s="89"/>
      <c r="BE171" s="82" t="s">
        <v>591</v>
      </c>
      <c r="BF171" s="82" t="s">
        <v>1018</v>
      </c>
      <c r="BG171" s="82" t="str">
        <f t="shared" si="12"/>
        <v>000</v>
      </c>
      <c r="BH171" s="88">
        <v>530704</v>
      </c>
      <c r="BI171" s="92" t="s">
        <v>74</v>
      </c>
      <c r="BJ171" s="93">
        <v>1000</v>
      </c>
      <c r="BK171" s="74">
        <v>0</v>
      </c>
      <c r="BL171" s="74">
        <v>0</v>
      </c>
      <c r="BM171" s="74">
        <v>0</v>
      </c>
      <c r="BN171" s="74">
        <v>0</v>
      </c>
      <c r="BO171" s="74">
        <v>0</v>
      </c>
      <c r="BP171" s="74">
        <v>0</v>
      </c>
      <c r="BQ171" s="74">
        <v>0</v>
      </c>
      <c r="BR171" s="74">
        <v>0</v>
      </c>
      <c r="BS171" s="74">
        <v>0</v>
      </c>
      <c r="BT171" s="94">
        <v>1000</v>
      </c>
      <c r="BU171" s="74">
        <v>0</v>
      </c>
      <c r="BV171" s="143">
        <v>0</v>
      </c>
      <c r="BW171" s="143">
        <v>-1000</v>
      </c>
      <c r="BX171" s="143">
        <f t="shared" si="17"/>
        <v>0</v>
      </c>
      <c r="BY171" s="74">
        <v>0</v>
      </c>
      <c r="BZ171" s="74">
        <v>0</v>
      </c>
      <c r="CA171" s="74">
        <v>0</v>
      </c>
      <c r="CB171" s="74">
        <v>0</v>
      </c>
      <c r="CC171" s="74">
        <v>0</v>
      </c>
      <c r="CD171" s="74">
        <v>0</v>
      </c>
      <c r="CE171" s="74">
        <v>0</v>
      </c>
      <c r="CF171" s="74">
        <v>0</v>
      </c>
      <c r="CG171" s="74">
        <v>0</v>
      </c>
      <c r="CH171" s="94">
        <v>0</v>
      </c>
      <c r="CI171" s="74">
        <v>0</v>
      </c>
      <c r="CJ171" s="143">
        <v>0</v>
      </c>
      <c r="CK171" s="143"/>
      <c r="CL171" s="142">
        <f t="shared" si="13"/>
        <v>0</v>
      </c>
      <c r="CM171" s="171">
        <v>0</v>
      </c>
      <c r="CN171" s="171">
        <v>0</v>
      </c>
      <c r="CO171" s="171">
        <v>0</v>
      </c>
      <c r="CP171" s="171">
        <v>0</v>
      </c>
      <c r="CQ171" s="171">
        <v>0</v>
      </c>
      <c r="CR171" s="171">
        <v>0</v>
      </c>
      <c r="CS171" s="171">
        <f t="shared" si="14"/>
        <v>0</v>
      </c>
      <c r="CT171" s="171">
        <f t="shared" si="15"/>
        <v>0</v>
      </c>
      <c r="CU171" s="171">
        <f t="shared" si="16"/>
        <v>0</v>
      </c>
      <c r="CV171" s="150">
        <v>1000</v>
      </c>
      <c r="CW171" s="150">
        <v>0</v>
      </c>
      <c r="CX171" s="130">
        <v>3</v>
      </c>
      <c r="CY171" s="130">
        <v>0</v>
      </c>
      <c r="CZ171" s="130"/>
      <c r="DA171" s="130"/>
      <c r="DB171" s="130"/>
      <c r="DC171" s="130"/>
      <c r="DD171" s="130"/>
      <c r="DE171" s="131">
        <v>46307</v>
      </c>
      <c r="DF171" s="131">
        <v>46307</v>
      </c>
      <c r="DG171" s="132">
        <v>3</v>
      </c>
      <c r="DH171" s="131">
        <v>46308</v>
      </c>
      <c r="DI171" s="131">
        <v>46308</v>
      </c>
      <c r="DJ171" s="131">
        <v>46308</v>
      </c>
      <c r="DK171" s="131">
        <v>46309</v>
      </c>
      <c r="DL171" s="131">
        <v>46310</v>
      </c>
      <c r="DM171" s="131">
        <v>46311</v>
      </c>
      <c r="DN171" s="131">
        <v>46314</v>
      </c>
      <c r="DO171" s="131">
        <v>46315</v>
      </c>
      <c r="DP171" s="131">
        <v>46316</v>
      </c>
      <c r="DQ171" s="131">
        <v>46316</v>
      </c>
      <c r="DR171" s="132">
        <v>3</v>
      </c>
      <c r="DS171" s="131">
        <v>46317</v>
      </c>
      <c r="DT171" s="131">
        <v>46318</v>
      </c>
      <c r="DU171" s="131">
        <v>46321</v>
      </c>
      <c r="DV171" s="131">
        <v>46322</v>
      </c>
      <c r="DW171" s="131">
        <v>46322</v>
      </c>
      <c r="DX171" s="131">
        <v>46323</v>
      </c>
      <c r="DY171" s="131">
        <v>46323</v>
      </c>
      <c r="DZ171" s="132"/>
      <c r="EA171" s="132"/>
      <c r="EB171" s="132"/>
      <c r="EC171" s="132"/>
      <c r="ED171" s="131">
        <v>46324</v>
      </c>
      <c r="EE171" s="131">
        <v>46325</v>
      </c>
      <c r="EF171" s="131">
        <v>46325</v>
      </c>
      <c r="EG171" s="131"/>
      <c r="EH171" s="131"/>
      <c r="EI171" s="131"/>
      <c r="EJ171" s="131">
        <v>46325</v>
      </c>
      <c r="EK171" s="131">
        <v>46331</v>
      </c>
      <c r="EL171" s="132">
        <v>18</v>
      </c>
      <c r="EM171" s="133"/>
      <c r="EN171" s="133"/>
      <c r="EO171" s="133"/>
      <c r="EP171" s="133"/>
      <c r="EQ171" s="133"/>
      <c r="ER171" s="133"/>
      <c r="ES171" s="133"/>
      <c r="ET171" s="133"/>
      <c r="EU171" s="133"/>
      <c r="EV171" s="134"/>
      <c r="EW171" s="133">
        <v>46331</v>
      </c>
      <c r="EX171" s="133"/>
      <c r="EY171" s="135" t="s">
        <v>854</v>
      </c>
      <c r="EZ171" s="132" t="s">
        <v>876</v>
      </c>
      <c r="FA171" s="136"/>
      <c r="FB171" s="202" t="e">
        <v>#NUM!</v>
      </c>
      <c r="FC171" s="202" t="e">
        <v>#NUM!</v>
      </c>
      <c r="FD171" s="202" t="e">
        <v>#NUM!</v>
      </c>
      <c r="FE171" s="202" t="e">
        <v>#NUM!</v>
      </c>
      <c r="FF171" s="202" t="e">
        <v>#NUM!</v>
      </c>
      <c r="FG171" s="202" t="e">
        <v>#NUM!</v>
      </c>
      <c r="FH171" s="202" t="e">
        <v>#NUM!</v>
      </c>
      <c r="FI171" s="202" t="e">
        <v>#NUM!</v>
      </c>
      <c r="FJ171" s="202" t="e">
        <v>#NUM!</v>
      </c>
      <c r="FK171" s="202" t="e">
        <v>#NUM!</v>
      </c>
      <c r="FL171" s="202" t="e">
        <v>#NUM!</v>
      </c>
      <c r="FM171" s="202" t="e">
        <v>#NUM!</v>
      </c>
      <c r="FN171" s="202" t="e">
        <v>#NUM!</v>
      </c>
      <c r="FO171" s="202" t="e">
        <v>#NUM!</v>
      </c>
      <c r="FP171" s="202" t="e">
        <v>#NUM!</v>
      </c>
      <c r="FQ171" s="202" t="e">
        <v>#NUM!</v>
      </c>
      <c r="FR171" s="202" t="e">
        <v>#NUM!</v>
      </c>
      <c r="FS171" s="202" t="e">
        <v>#NUM!</v>
      </c>
      <c r="FT171" s="202" t="e">
        <v>#NUM!</v>
      </c>
      <c r="FU171" s="202"/>
      <c r="FV171" s="202"/>
      <c r="FW171" s="202"/>
      <c r="FX171" s="202"/>
      <c r="FY171" s="202" t="e">
        <v>#NUM!</v>
      </c>
      <c r="FZ171" s="202" t="e">
        <v>#NUM!</v>
      </c>
      <c r="GA171" s="202" t="e">
        <v>#NUM!</v>
      </c>
      <c r="GB171" s="202"/>
      <c r="GC171" s="202"/>
      <c r="GD171" s="202"/>
      <c r="GE171" s="202" t="e">
        <v>#NUM!</v>
      </c>
      <c r="GF171" s="202"/>
      <c r="GG171" s="202">
        <v>18</v>
      </c>
      <c r="GH171" s="202"/>
      <c r="GI171" s="202"/>
      <c r="GJ171" s="202"/>
      <c r="GK171" s="202"/>
      <c r="GL171" s="202"/>
      <c r="GM171" s="202"/>
      <c r="GN171" s="202"/>
      <c r="GO171" s="202"/>
      <c r="GP171" s="202"/>
      <c r="GQ171" s="202"/>
      <c r="GR171" s="189"/>
      <c r="GS171" s="189"/>
      <c r="GT171" s="189"/>
      <c r="GU171" s="189"/>
      <c r="GV171" s="189" t="s">
        <v>1160</v>
      </c>
    </row>
    <row r="172" spans="1:204" s="68" customFormat="1" ht="14.45" customHeight="1" x14ac:dyDescent="0.25">
      <c r="A172" s="68" t="s">
        <v>693</v>
      </c>
      <c r="B172" s="82" t="s">
        <v>154</v>
      </c>
      <c r="C172" s="82" t="s">
        <v>172</v>
      </c>
      <c r="D172" s="82" t="s">
        <v>196</v>
      </c>
      <c r="E172" s="82" t="s">
        <v>309</v>
      </c>
      <c r="F172" s="82" t="s">
        <v>549</v>
      </c>
      <c r="G172" s="82" t="s">
        <v>137</v>
      </c>
      <c r="H172" s="82" t="s">
        <v>137</v>
      </c>
      <c r="I172" s="82" t="s">
        <v>66</v>
      </c>
      <c r="J172" s="82" t="s">
        <v>29</v>
      </c>
      <c r="K172" s="92" t="s">
        <v>137</v>
      </c>
      <c r="L172" s="92" t="s">
        <v>137</v>
      </c>
      <c r="M172" s="92" t="s">
        <v>137</v>
      </c>
      <c r="N172" s="92" t="s">
        <v>137</v>
      </c>
      <c r="O172" s="92" t="s">
        <v>137</v>
      </c>
      <c r="P172" s="92" t="s">
        <v>137</v>
      </c>
      <c r="Q172" s="82" t="s">
        <v>87</v>
      </c>
      <c r="R172" s="82" t="s">
        <v>714</v>
      </c>
      <c r="S172" s="82" t="s">
        <v>40</v>
      </c>
      <c r="T172" s="82" t="s">
        <v>2</v>
      </c>
      <c r="U172" s="83"/>
      <c r="V172" s="83">
        <v>0.05</v>
      </c>
      <c r="W172" s="83">
        <v>0.08</v>
      </c>
      <c r="X172" s="83">
        <v>0.15</v>
      </c>
      <c r="Y172" s="83">
        <v>0.2</v>
      </c>
      <c r="Z172" s="83">
        <v>0.25</v>
      </c>
      <c r="AA172" s="83">
        <v>0.37</v>
      </c>
      <c r="AB172" s="83">
        <v>0.42</v>
      </c>
      <c r="AC172" s="83">
        <v>0.57999999999999996</v>
      </c>
      <c r="AD172" s="83">
        <v>0.67</v>
      </c>
      <c r="AE172" s="83">
        <v>0.83</v>
      </c>
      <c r="AF172" s="83">
        <v>1</v>
      </c>
      <c r="AG172" s="82" t="s">
        <v>532</v>
      </c>
      <c r="AH172" s="82" t="s">
        <v>529</v>
      </c>
      <c r="AI172" s="88" t="s">
        <v>538</v>
      </c>
      <c r="AJ172" s="89" t="s">
        <v>538</v>
      </c>
      <c r="AK172" s="90">
        <v>46023</v>
      </c>
      <c r="AL172" s="90">
        <v>46387</v>
      </c>
      <c r="AM172" s="89"/>
      <c r="AN172" s="89"/>
      <c r="AO172" s="89"/>
      <c r="AP172" s="91" t="s">
        <v>539</v>
      </c>
      <c r="AQ172" s="90" cm="1">
        <f t="array" ref="AQ172">IFERROR(DATE(2026, _xlfn.AGGREGATE(15, 6, (COLUMN(BY172:CJ172)-COLUMN(BY172)+1)/(BY172:CJ172&lt;&gt;0), 1), 1),"N/A")</f>
        <v>46296</v>
      </c>
      <c r="AR172" s="90" cm="1">
        <f t="array" ref="AR172">IFERROR(EOMONTH(DATE(2026, _xlfn.AGGREGATE(14, 6, (COLUMN(BY172:CJ172)-COLUMN(BY172)+1)/(BY172:CJ172&lt;&gt;0), 1), 1), 0),"N/A")</f>
        <v>46326</v>
      </c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2" t="s">
        <v>592</v>
      </c>
      <c r="BF172" s="82" t="s">
        <v>1019</v>
      </c>
      <c r="BG172" s="82" t="str">
        <f t="shared" si="12"/>
        <v>000</v>
      </c>
      <c r="BH172" s="88">
        <v>530704</v>
      </c>
      <c r="BI172" s="92" t="s">
        <v>74</v>
      </c>
      <c r="BJ172" s="93">
        <v>1000</v>
      </c>
      <c r="BK172" s="74">
        <v>0</v>
      </c>
      <c r="BL172" s="74">
        <v>0</v>
      </c>
      <c r="BM172" s="74">
        <v>0</v>
      </c>
      <c r="BN172" s="74">
        <v>0</v>
      </c>
      <c r="BO172" s="74">
        <v>0</v>
      </c>
      <c r="BP172" s="74">
        <v>0</v>
      </c>
      <c r="BQ172" s="74">
        <v>0</v>
      </c>
      <c r="BR172" s="74">
        <v>0</v>
      </c>
      <c r="BS172" s="74">
        <v>0</v>
      </c>
      <c r="BT172" s="94">
        <v>1000</v>
      </c>
      <c r="BU172" s="74">
        <v>0</v>
      </c>
      <c r="BV172" s="143">
        <v>0</v>
      </c>
      <c r="BW172" s="143"/>
      <c r="BX172" s="143">
        <f t="shared" si="17"/>
        <v>1000</v>
      </c>
      <c r="BY172" s="74">
        <v>0</v>
      </c>
      <c r="BZ172" s="74">
        <v>0</v>
      </c>
      <c r="CA172" s="74">
        <v>0</v>
      </c>
      <c r="CB172" s="74">
        <v>0</v>
      </c>
      <c r="CC172" s="74">
        <v>0</v>
      </c>
      <c r="CD172" s="74">
        <v>0</v>
      </c>
      <c r="CE172" s="74">
        <v>0</v>
      </c>
      <c r="CF172" s="74">
        <v>0</v>
      </c>
      <c r="CG172" s="74">
        <v>0</v>
      </c>
      <c r="CH172" s="94">
        <v>1000</v>
      </c>
      <c r="CI172" s="74">
        <v>0</v>
      </c>
      <c r="CJ172" s="143">
        <v>0</v>
      </c>
      <c r="CK172" s="143"/>
      <c r="CL172" s="142">
        <f t="shared" si="13"/>
        <v>0</v>
      </c>
      <c r="CM172" s="171">
        <v>0</v>
      </c>
      <c r="CN172" s="171">
        <v>0</v>
      </c>
      <c r="CO172" s="171">
        <v>0</v>
      </c>
      <c r="CP172" s="171">
        <v>0</v>
      </c>
      <c r="CQ172" s="171">
        <v>0</v>
      </c>
      <c r="CR172" s="171">
        <v>0</v>
      </c>
      <c r="CS172" s="171">
        <f t="shared" si="14"/>
        <v>0</v>
      </c>
      <c r="CT172" s="171">
        <f t="shared" si="15"/>
        <v>0</v>
      </c>
      <c r="CU172" s="171">
        <f t="shared" si="16"/>
        <v>0</v>
      </c>
      <c r="CV172" s="150">
        <v>1000</v>
      </c>
      <c r="CW172" s="150">
        <v>1000</v>
      </c>
      <c r="CX172" s="130">
        <v>3</v>
      </c>
      <c r="CY172" s="130">
        <v>3</v>
      </c>
      <c r="CZ172" s="130"/>
      <c r="DA172" s="130"/>
      <c r="DB172" s="130"/>
      <c r="DC172" s="130"/>
      <c r="DD172" s="130"/>
      <c r="DE172" s="131">
        <v>46307</v>
      </c>
      <c r="DF172" s="131">
        <v>46307</v>
      </c>
      <c r="DG172" s="132">
        <v>3</v>
      </c>
      <c r="DH172" s="131">
        <v>46308</v>
      </c>
      <c r="DI172" s="131">
        <v>46308</v>
      </c>
      <c r="DJ172" s="131">
        <v>46308</v>
      </c>
      <c r="DK172" s="131">
        <v>46309</v>
      </c>
      <c r="DL172" s="131">
        <v>46310</v>
      </c>
      <c r="DM172" s="131">
        <v>46311</v>
      </c>
      <c r="DN172" s="131">
        <v>46314</v>
      </c>
      <c r="DO172" s="131">
        <v>46315</v>
      </c>
      <c r="DP172" s="131">
        <v>46316</v>
      </c>
      <c r="DQ172" s="131">
        <v>46316</v>
      </c>
      <c r="DR172" s="132">
        <v>3</v>
      </c>
      <c r="DS172" s="131">
        <v>46317</v>
      </c>
      <c r="DT172" s="131">
        <v>46318</v>
      </c>
      <c r="DU172" s="131">
        <v>46321</v>
      </c>
      <c r="DV172" s="131">
        <v>46322</v>
      </c>
      <c r="DW172" s="131">
        <v>46322</v>
      </c>
      <c r="DX172" s="131">
        <v>46323</v>
      </c>
      <c r="DY172" s="131">
        <v>46323</v>
      </c>
      <c r="DZ172" s="132"/>
      <c r="EA172" s="132"/>
      <c r="EB172" s="132"/>
      <c r="EC172" s="132"/>
      <c r="ED172" s="131">
        <v>46324</v>
      </c>
      <c r="EE172" s="131">
        <v>46325</v>
      </c>
      <c r="EF172" s="131">
        <v>46325</v>
      </c>
      <c r="EG172" s="131"/>
      <c r="EH172" s="131"/>
      <c r="EI172" s="131"/>
      <c r="EJ172" s="131">
        <v>46325</v>
      </c>
      <c r="EK172" s="131">
        <v>46331</v>
      </c>
      <c r="EL172" s="132">
        <v>18</v>
      </c>
      <c r="EM172" s="133"/>
      <c r="EN172" s="133"/>
      <c r="EO172" s="133"/>
      <c r="EP172" s="133"/>
      <c r="EQ172" s="133"/>
      <c r="ER172" s="133"/>
      <c r="ES172" s="133"/>
      <c r="ET172" s="133"/>
      <c r="EU172" s="133"/>
      <c r="EV172" s="134"/>
      <c r="EW172" s="133">
        <v>46331</v>
      </c>
      <c r="EX172" s="130"/>
      <c r="EY172" s="130"/>
      <c r="EZ172" s="130"/>
      <c r="FA172" s="130"/>
      <c r="FB172" s="203">
        <v>46307</v>
      </c>
      <c r="FC172" s="203">
        <v>46307</v>
      </c>
      <c r="FD172" s="203">
        <v>46308</v>
      </c>
      <c r="FE172" s="203">
        <v>46308</v>
      </c>
      <c r="FF172" s="203">
        <v>46308</v>
      </c>
      <c r="FG172" s="203">
        <v>46309</v>
      </c>
      <c r="FH172" s="203">
        <v>46310</v>
      </c>
      <c r="FI172" s="203">
        <v>46311</v>
      </c>
      <c r="FJ172" s="203">
        <v>46314</v>
      </c>
      <c r="FK172" s="203">
        <v>46315</v>
      </c>
      <c r="FL172" s="203">
        <v>46316</v>
      </c>
      <c r="FM172" s="203">
        <v>46316</v>
      </c>
      <c r="FN172" s="203">
        <v>46317</v>
      </c>
      <c r="FO172" s="203">
        <v>46318</v>
      </c>
      <c r="FP172" s="203">
        <v>46321</v>
      </c>
      <c r="FQ172" s="203">
        <v>46322</v>
      </c>
      <c r="FR172" s="203">
        <v>46322</v>
      </c>
      <c r="FS172" s="203">
        <v>46323</v>
      </c>
      <c r="FT172" s="203">
        <v>46323</v>
      </c>
      <c r="FU172" s="203"/>
      <c r="FV172" s="203"/>
      <c r="FW172" s="203"/>
      <c r="FX172" s="203"/>
      <c r="FY172" s="203">
        <v>46324</v>
      </c>
      <c r="FZ172" s="203">
        <v>46325</v>
      </c>
      <c r="GA172" s="203">
        <v>46325</v>
      </c>
      <c r="GB172" s="203"/>
      <c r="GC172" s="203"/>
      <c r="GD172" s="203"/>
      <c r="GE172" s="203">
        <v>46325</v>
      </c>
      <c r="GF172" s="203">
        <v>46331</v>
      </c>
      <c r="GG172" s="203">
        <v>18</v>
      </c>
      <c r="GH172" s="203"/>
      <c r="GI172" s="203"/>
      <c r="GJ172" s="203"/>
      <c r="GK172" s="203"/>
      <c r="GL172" s="203"/>
      <c r="GM172" s="203"/>
      <c r="GN172" s="203"/>
      <c r="GO172" s="203"/>
      <c r="GP172" s="203"/>
      <c r="GQ172" s="203">
        <v>46331</v>
      </c>
      <c r="GR172" s="187"/>
      <c r="GS172" s="187" t="s">
        <v>1181</v>
      </c>
      <c r="GT172" s="187" t="s">
        <v>854</v>
      </c>
      <c r="GU172" s="187" t="s">
        <v>1175</v>
      </c>
      <c r="GV172" s="187"/>
    </row>
    <row r="173" spans="1:204" s="68" customFormat="1" ht="14.45" customHeight="1" x14ac:dyDescent="0.25">
      <c r="A173" s="68" t="s">
        <v>693</v>
      </c>
      <c r="B173" s="82" t="s">
        <v>154</v>
      </c>
      <c r="C173" s="82" t="s">
        <v>172</v>
      </c>
      <c r="D173" s="82" t="s">
        <v>196</v>
      </c>
      <c r="E173" s="82" t="s">
        <v>309</v>
      </c>
      <c r="F173" s="82" t="s">
        <v>549</v>
      </c>
      <c r="G173" s="82" t="s">
        <v>137</v>
      </c>
      <c r="H173" s="82" t="s">
        <v>137</v>
      </c>
      <c r="I173" s="82" t="s">
        <v>66</v>
      </c>
      <c r="J173" s="82" t="s">
        <v>29</v>
      </c>
      <c r="K173" s="92" t="s">
        <v>137</v>
      </c>
      <c r="L173" s="92" t="s">
        <v>137</v>
      </c>
      <c r="M173" s="92" t="s">
        <v>137</v>
      </c>
      <c r="N173" s="92" t="s">
        <v>137</v>
      </c>
      <c r="O173" s="92" t="s">
        <v>137</v>
      </c>
      <c r="P173" s="92" t="s">
        <v>137</v>
      </c>
      <c r="Q173" s="82" t="s">
        <v>87</v>
      </c>
      <c r="R173" s="82" t="s">
        <v>714</v>
      </c>
      <c r="S173" s="82" t="s">
        <v>40</v>
      </c>
      <c r="T173" s="82" t="s">
        <v>2</v>
      </c>
      <c r="U173" s="83"/>
      <c r="V173" s="83">
        <v>0.05</v>
      </c>
      <c r="W173" s="83">
        <v>0.08</v>
      </c>
      <c r="X173" s="83">
        <v>0.15</v>
      </c>
      <c r="Y173" s="83">
        <v>0.2</v>
      </c>
      <c r="Z173" s="83">
        <v>0.25</v>
      </c>
      <c r="AA173" s="83">
        <v>0.37</v>
      </c>
      <c r="AB173" s="83">
        <v>0.42</v>
      </c>
      <c r="AC173" s="83">
        <v>0.57999999999999996</v>
      </c>
      <c r="AD173" s="83">
        <v>0.67</v>
      </c>
      <c r="AE173" s="83">
        <v>0.83</v>
      </c>
      <c r="AF173" s="83">
        <v>1</v>
      </c>
      <c r="AG173" s="82" t="s">
        <v>532</v>
      </c>
      <c r="AH173" s="82" t="s">
        <v>529</v>
      </c>
      <c r="AI173" s="88" t="s">
        <v>538</v>
      </c>
      <c r="AJ173" s="89" t="s">
        <v>538</v>
      </c>
      <c r="AK173" s="90">
        <v>46023</v>
      </c>
      <c r="AL173" s="90">
        <v>46387</v>
      </c>
      <c r="AM173" s="89"/>
      <c r="AN173" s="89"/>
      <c r="AO173" s="89"/>
      <c r="AP173" s="91" t="s">
        <v>539</v>
      </c>
      <c r="AQ173" s="90" cm="1">
        <f t="array" ref="AQ173">IFERROR(DATE(2026, _xlfn.AGGREGATE(15, 6, (COLUMN(BY173:CJ173)-COLUMN(BY173)+1)/(BY173:CJ173&lt;&gt;0), 1), 1),"N/A")</f>
        <v>46327</v>
      </c>
      <c r="AR173" s="90" cm="1">
        <f t="array" ref="AR173">IFERROR(EOMONTH(DATE(2026, _xlfn.AGGREGATE(14, 6, (COLUMN(BY173:CJ173)-COLUMN(BY173)+1)/(BY173:CJ173&lt;&gt;0), 1), 1), 0),"N/A")</f>
        <v>46356</v>
      </c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2" t="s">
        <v>595</v>
      </c>
      <c r="BF173" s="82" t="s">
        <v>977</v>
      </c>
      <c r="BG173" s="82" t="str">
        <f t="shared" si="12"/>
        <v>000</v>
      </c>
      <c r="BH173" s="88">
        <v>530704</v>
      </c>
      <c r="BI173" s="92" t="s">
        <v>74</v>
      </c>
      <c r="BJ173" s="93">
        <v>1100</v>
      </c>
      <c r="BK173" s="74">
        <v>0</v>
      </c>
      <c r="BL173" s="74">
        <v>0</v>
      </c>
      <c r="BM173" s="74">
        <v>0</v>
      </c>
      <c r="BN173" s="74">
        <v>0</v>
      </c>
      <c r="BO173" s="74">
        <v>0</v>
      </c>
      <c r="BP173" s="74">
        <v>0</v>
      </c>
      <c r="BQ173" s="74">
        <v>0</v>
      </c>
      <c r="BR173" s="74">
        <v>0</v>
      </c>
      <c r="BS173" s="74">
        <v>0</v>
      </c>
      <c r="BT173" s="74">
        <v>0</v>
      </c>
      <c r="BU173" s="94">
        <v>1100</v>
      </c>
      <c r="BV173" s="143">
        <v>0</v>
      </c>
      <c r="BW173" s="143"/>
      <c r="BX173" s="143">
        <f t="shared" si="17"/>
        <v>1100</v>
      </c>
      <c r="BY173" s="74">
        <v>0</v>
      </c>
      <c r="BZ173" s="74">
        <v>0</v>
      </c>
      <c r="CA173" s="74">
        <v>0</v>
      </c>
      <c r="CB173" s="74">
        <v>0</v>
      </c>
      <c r="CC173" s="74">
        <v>0</v>
      </c>
      <c r="CD173" s="74">
        <v>0</v>
      </c>
      <c r="CE173" s="74">
        <v>0</v>
      </c>
      <c r="CF173" s="74">
        <v>0</v>
      </c>
      <c r="CG173" s="74">
        <v>0</v>
      </c>
      <c r="CH173" s="74">
        <v>0</v>
      </c>
      <c r="CI173" s="94">
        <v>1100</v>
      </c>
      <c r="CJ173" s="143">
        <v>0</v>
      </c>
      <c r="CK173" s="143"/>
      <c r="CL173" s="142">
        <f t="shared" si="13"/>
        <v>0</v>
      </c>
      <c r="CM173" s="171">
        <v>0</v>
      </c>
      <c r="CN173" s="171">
        <v>0</v>
      </c>
      <c r="CO173" s="171">
        <v>0</v>
      </c>
      <c r="CP173" s="171">
        <v>0</v>
      </c>
      <c r="CQ173" s="171">
        <v>0</v>
      </c>
      <c r="CR173" s="171">
        <v>0</v>
      </c>
      <c r="CS173" s="171">
        <f t="shared" si="14"/>
        <v>0</v>
      </c>
      <c r="CT173" s="171">
        <f t="shared" si="15"/>
        <v>0</v>
      </c>
      <c r="CU173" s="171">
        <f t="shared" si="16"/>
        <v>0</v>
      </c>
      <c r="CV173" s="150">
        <v>1100</v>
      </c>
      <c r="CW173" s="150">
        <v>1100</v>
      </c>
      <c r="CX173" s="130">
        <v>3</v>
      </c>
      <c r="CY173" s="130">
        <v>3</v>
      </c>
      <c r="CZ173" s="130"/>
      <c r="DA173" s="130"/>
      <c r="DB173" s="130"/>
      <c r="DC173" s="130"/>
      <c r="DD173" s="130"/>
      <c r="DE173" s="131">
        <v>46307</v>
      </c>
      <c r="DF173" s="131">
        <v>46307</v>
      </c>
      <c r="DG173" s="132">
        <v>3</v>
      </c>
      <c r="DH173" s="131">
        <v>46308</v>
      </c>
      <c r="DI173" s="131">
        <v>46308</v>
      </c>
      <c r="DJ173" s="131">
        <v>46308</v>
      </c>
      <c r="DK173" s="131">
        <v>46309</v>
      </c>
      <c r="DL173" s="131">
        <v>46310</v>
      </c>
      <c r="DM173" s="131">
        <v>46311</v>
      </c>
      <c r="DN173" s="131">
        <v>46314</v>
      </c>
      <c r="DO173" s="131">
        <v>46315</v>
      </c>
      <c r="DP173" s="131">
        <v>46316</v>
      </c>
      <c r="DQ173" s="131">
        <v>46316</v>
      </c>
      <c r="DR173" s="132">
        <v>3</v>
      </c>
      <c r="DS173" s="131">
        <v>46317</v>
      </c>
      <c r="DT173" s="131">
        <v>46318</v>
      </c>
      <c r="DU173" s="131">
        <v>46321</v>
      </c>
      <c r="DV173" s="131">
        <v>46322</v>
      </c>
      <c r="DW173" s="131">
        <v>46322</v>
      </c>
      <c r="DX173" s="131">
        <v>46323</v>
      </c>
      <c r="DY173" s="131">
        <v>46323</v>
      </c>
      <c r="DZ173" s="132"/>
      <c r="EA173" s="132"/>
      <c r="EB173" s="132"/>
      <c r="EC173" s="132"/>
      <c r="ED173" s="131">
        <v>46324</v>
      </c>
      <c r="EE173" s="131">
        <v>46325</v>
      </c>
      <c r="EF173" s="131">
        <v>46325</v>
      </c>
      <c r="EG173" s="131"/>
      <c r="EH173" s="131"/>
      <c r="EI173" s="131"/>
      <c r="EJ173" s="131">
        <v>46325</v>
      </c>
      <c r="EK173" s="131">
        <v>46331</v>
      </c>
      <c r="EL173" s="132">
        <v>18</v>
      </c>
      <c r="EM173" s="133"/>
      <c r="EN173" s="133"/>
      <c r="EO173" s="133"/>
      <c r="EP173" s="133"/>
      <c r="EQ173" s="133"/>
      <c r="ER173" s="133"/>
      <c r="ES173" s="133"/>
      <c r="ET173" s="133"/>
      <c r="EU173" s="133"/>
      <c r="EV173" s="134"/>
      <c r="EW173" s="133">
        <v>46331</v>
      </c>
      <c r="EX173" s="133"/>
      <c r="EY173" s="135" t="s">
        <v>854</v>
      </c>
      <c r="EZ173" s="132" t="s">
        <v>876</v>
      </c>
      <c r="FA173" s="136"/>
      <c r="FB173" s="203">
        <v>46307</v>
      </c>
      <c r="FC173" s="203">
        <v>46307</v>
      </c>
      <c r="FD173" s="203">
        <v>46308</v>
      </c>
      <c r="FE173" s="203">
        <v>46308</v>
      </c>
      <c r="FF173" s="203">
        <v>46308</v>
      </c>
      <c r="FG173" s="203">
        <v>46309</v>
      </c>
      <c r="FH173" s="203">
        <v>46310</v>
      </c>
      <c r="FI173" s="203">
        <v>46311</v>
      </c>
      <c r="FJ173" s="203">
        <v>46314</v>
      </c>
      <c r="FK173" s="203">
        <v>46315</v>
      </c>
      <c r="FL173" s="203">
        <v>46316</v>
      </c>
      <c r="FM173" s="203">
        <v>46316</v>
      </c>
      <c r="FN173" s="203">
        <v>46317</v>
      </c>
      <c r="FO173" s="203">
        <v>46318</v>
      </c>
      <c r="FP173" s="203">
        <v>46321</v>
      </c>
      <c r="FQ173" s="203">
        <v>46322</v>
      </c>
      <c r="FR173" s="203">
        <v>46322</v>
      </c>
      <c r="FS173" s="203">
        <v>46323</v>
      </c>
      <c r="FT173" s="203">
        <v>46323</v>
      </c>
      <c r="FU173" s="203"/>
      <c r="FV173" s="203"/>
      <c r="FW173" s="203"/>
      <c r="FX173" s="203"/>
      <c r="FY173" s="203">
        <v>46324</v>
      </c>
      <c r="FZ173" s="203">
        <v>46325</v>
      </c>
      <c r="GA173" s="203">
        <v>46325</v>
      </c>
      <c r="GB173" s="203"/>
      <c r="GC173" s="203"/>
      <c r="GD173" s="203"/>
      <c r="GE173" s="203">
        <v>46325</v>
      </c>
      <c r="GF173" s="203">
        <v>46331</v>
      </c>
      <c r="GG173" s="203">
        <v>18</v>
      </c>
      <c r="GH173" s="203"/>
      <c r="GI173" s="203"/>
      <c r="GJ173" s="203"/>
      <c r="GK173" s="203"/>
      <c r="GL173" s="203"/>
      <c r="GM173" s="203"/>
      <c r="GN173" s="203"/>
      <c r="GO173" s="203"/>
      <c r="GP173" s="203"/>
      <c r="GQ173" s="203">
        <v>46331</v>
      </c>
      <c r="GR173" s="187"/>
      <c r="GS173" s="187" t="s">
        <v>1181</v>
      </c>
      <c r="GT173" s="187" t="s">
        <v>854</v>
      </c>
      <c r="GU173" s="187" t="s">
        <v>1175</v>
      </c>
      <c r="GV173" s="187"/>
    </row>
    <row r="174" spans="1:204" s="68" customFormat="1" ht="14.45" customHeight="1" x14ac:dyDescent="0.25">
      <c r="A174" s="68" t="s">
        <v>693</v>
      </c>
      <c r="B174" s="82" t="s">
        <v>154</v>
      </c>
      <c r="C174" s="82" t="s">
        <v>172</v>
      </c>
      <c r="D174" s="82" t="s">
        <v>196</v>
      </c>
      <c r="E174" s="82" t="s">
        <v>309</v>
      </c>
      <c r="F174" s="82" t="s">
        <v>549</v>
      </c>
      <c r="G174" s="82" t="s">
        <v>137</v>
      </c>
      <c r="H174" s="82" t="s">
        <v>137</v>
      </c>
      <c r="I174" s="82" t="s">
        <v>66</v>
      </c>
      <c r="J174" s="82" t="s">
        <v>29</v>
      </c>
      <c r="K174" s="92" t="s">
        <v>137</v>
      </c>
      <c r="L174" s="92" t="s">
        <v>137</v>
      </c>
      <c r="M174" s="92" t="s">
        <v>137</v>
      </c>
      <c r="N174" s="92" t="s">
        <v>137</v>
      </c>
      <c r="O174" s="92" t="s">
        <v>137</v>
      </c>
      <c r="P174" s="92" t="s">
        <v>137</v>
      </c>
      <c r="Q174" s="82" t="s">
        <v>87</v>
      </c>
      <c r="R174" s="82" t="s">
        <v>714</v>
      </c>
      <c r="S174" s="82" t="s">
        <v>40</v>
      </c>
      <c r="T174" s="82" t="s">
        <v>2</v>
      </c>
      <c r="U174" s="83"/>
      <c r="V174" s="83">
        <v>0.05</v>
      </c>
      <c r="W174" s="83">
        <v>0.08</v>
      </c>
      <c r="X174" s="83">
        <v>0.15</v>
      </c>
      <c r="Y174" s="83">
        <v>0.2</v>
      </c>
      <c r="Z174" s="83">
        <v>0.25</v>
      </c>
      <c r="AA174" s="83">
        <v>0.37</v>
      </c>
      <c r="AB174" s="83">
        <v>0.42</v>
      </c>
      <c r="AC174" s="83">
        <v>0.57999999999999996</v>
      </c>
      <c r="AD174" s="83">
        <v>0.67</v>
      </c>
      <c r="AE174" s="83">
        <v>0.83</v>
      </c>
      <c r="AF174" s="83">
        <v>1</v>
      </c>
      <c r="AG174" s="82" t="s">
        <v>532</v>
      </c>
      <c r="AH174" s="82" t="s">
        <v>529</v>
      </c>
      <c r="AI174" s="88" t="s">
        <v>538</v>
      </c>
      <c r="AJ174" s="89" t="s">
        <v>538</v>
      </c>
      <c r="AK174" s="90">
        <v>46023</v>
      </c>
      <c r="AL174" s="90">
        <v>46387</v>
      </c>
      <c r="AM174" s="89"/>
      <c r="AN174" s="89"/>
      <c r="AO174" s="89"/>
      <c r="AP174" s="91" t="s">
        <v>539</v>
      </c>
      <c r="AQ174" s="90" t="str" cm="1">
        <f t="array" ref="AQ174">IFERROR(DATE(2026, _xlfn.AGGREGATE(15, 6, (COLUMN(BY174:CJ174)-COLUMN(BY174)+1)/(BY174:CJ174&lt;&gt;0), 1), 1),"N/A")</f>
        <v>N/A</v>
      </c>
      <c r="AR174" s="90" t="str" cm="1">
        <f t="array" ref="AR174">IFERROR(EOMONTH(DATE(2026, _xlfn.AGGREGATE(14, 6, (COLUMN(BY174:CJ174)-COLUMN(BY174)+1)/(BY174:CJ174&lt;&gt;0), 1), 1), 0),"N/A")</f>
        <v>N/A</v>
      </c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/>
      <c r="BE174" s="82" t="s">
        <v>593</v>
      </c>
      <c r="BF174" s="82" t="s">
        <v>767</v>
      </c>
      <c r="BG174" s="82" t="str">
        <f t="shared" si="12"/>
        <v>000</v>
      </c>
      <c r="BH174" s="88">
        <v>530704</v>
      </c>
      <c r="BI174" s="92" t="s">
        <v>74</v>
      </c>
      <c r="BJ174" s="93">
        <v>1000</v>
      </c>
      <c r="BK174" s="74">
        <v>0</v>
      </c>
      <c r="BL174" s="74">
        <v>0</v>
      </c>
      <c r="BM174" s="74">
        <v>0</v>
      </c>
      <c r="BN174" s="74">
        <v>0</v>
      </c>
      <c r="BO174" s="74">
        <v>0</v>
      </c>
      <c r="BP174" s="74">
        <v>0</v>
      </c>
      <c r="BQ174" s="74">
        <v>0</v>
      </c>
      <c r="BR174" s="74">
        <v>0</v>
      </c>
      <c r="BS174" s="74">
        <v>0</v>
      </c>
      <c r="BT174" s="74">
        <v>0</v>
      </c>
      <c r="BU174" s="94">
        <v>1000</v>
      </c>
      <c r="BV174" s="143">
        <v>0</v>
      </c>
      <c r="BW174" s="143">
        <v>-1000</v>
      </c>
      <c r="BX174" s="143">
        <f t="shared" si="17"/>
        <v>0</v>
      </c>
      <c r="BY174" s="74">
        <v>0</v>
      </c>
      <c r="BZ174" s="74">
        <v>0</v>
      </c>
      <c r="CA174" s="74">
        <v>0</v>
      </c>
      <c r="CB174" s="74">
        <v>0</v>
      </c>
      <c r="CC174" s="74">
        <v>0</v>
      </c>
      <c r="CD174" s="74">
        <v>0</v>
      </c>
      <c r="CE174" s="74">
        <v>0</v>
      </c>
      <c r="CF174" s="74">
        <v>0</v>
      </c>
      <c r="CG174" s="74">
        <v>0</v>
      </c>
      <c r="CH174" s="74">
        <v>0</v>
      </c>
      <c r="CI174" s="94">
        <v>0</v>
      </c>
      <c r="CJ174" s="143">
        <v>0</v>
      </c>
      <c r="CK174" s="143"/>
      <c r="CL174" s="142">
        <f t="shared" si="13"/>
        <v>0</v>
      </c>
      <c r="CM174" s="171">
        <v>0</v>
      </c>
      <c r="CN174" s="171">
        <v>0</v>
      </c>
      <c r="CO174" s="171">
        <v>0</v>
      </c>
      <c r="CP174" s="171">
        <v>0</v>
      </c>
      <c r="CQ174" s="171">
        <v>0</v>
      </c>
      <c r="CR174" s="171">
        <v>0</v>
      </c>
      <c r="CS174" s="171">
        <f t="shared" si="14"/>
        <v>0</v>
      </c>
      <c r="CT174" s="171">
        <f t="shared" si="15"/>
        <v>0</v>
      </c>
      <c r="CU174" s="171">
        <f t="shared" si="16"/>
        <v>0</v>
      </c>
      <c r="CV174" s="149"/>
      <c r="CW174" s="149"/>
      <c r="CX174" s="130"/>
      <c r="CY174" s="130"/>
      <c r="CZ174" s="130"/>
      <c r="DA174" s="130"/>
      <c r="DB174" s="130"/>
      <c r="DC174" s="130"/>
      <c r="DD174" s="130"/>
      <c r="DE174" s="130"/>
      <c r="DF174" s="130"/>
      <c r="DG174" s="130"/>
      <c r="DH174" s="130"/>
      <c r="DI174" s="130"/>
      <c r="DJ174" s="130"/>
      <c r="DK174" s="130"/>
      <c r="DL174" s="130"/>
      <c r="DM174" s="130"/>
      <c r="DN174" s="130"/>
      <c r="DO174" s="130"/>
      <c r="DP174" s="130"/>
      <c r="DQ174" s="130"/>
      <c r="DR174" s="130"/>
      <c r="DS174" s="130"/>
      <c r="DT174" s="130"/>
      <c r="DU174" s="130"/>
      <c r="DV174" s="130"/>
      <c r="DW174" s="130"/>
      <c r="DX174" s="130"/>
      <c r="DY174" s="130"/>
      <c r="DZ174" s="130"/>
      <c r="EA174" s="130"/>
      <c r="EB174" s="130"/>
      <c r="EC174" s="130"/>
      <c r="ED174" s="130"/>
      <c r="EE174" s="130"/>
      <c r="EF174" s="130"/>
      <c r="EG174" s="130"/>
      <c r="EH174" s="130"/>
      <c r="EI174" s="130"/>
      <c r="EJ174" s="130"/>
      <c r="EK174" s="130"/>
      <c r="EL174" s="130"/>
      <c r="EM174" s="130"/>
      <c r="EN174" s="130"/>
      <c r="EO174" s="130"/>
      <c r="EP174" s="130"/>
      <c r="EQ174" s="130"/>
      <c r="ER174" s="130"/>
      <c r="ES174" s="130"/>
      <c r="ET174" s="130"/>
      <c r="EU174" s="130"/>
      <c r="EV174" s="130"/>
      <c r="EW174" s="130"/>
      <c r="EX174" s="130"/>
      <c r="EY174" s="130"/>
      <c r="EZ174" s="130"/>
      <c r="FA174" s="130"/>
      <c r="FB174" s="201"/>
      <c r="FC174" s="201"/>
      <c r="FD174" s="201"/>
      <c r="FE174" s="201"/>
      <c r="FF174" s="201"/>
      <c r="FG174" s="201"/>
      <c r="FH174" s="201"/>
      <c r="FI174" s="201"/>
      <c r="FJ174" s="201"/>
      <c r="FK174" s="201"/>
      <c r="FL174" s="201"/>
      <c r="FM174" s="201"/>
      <c r="FN174" s="201"/>
      <c r="FO174" s="201"/>
      <c r="FP174" s="201"/>
      <c r="FQ174" s="201"/>
      <c r="FR174" s="201"/>
      <c r="FS174" s="201"/>
      <c r="FT174" s="201"/>
      <c r="FU174" s="201"/>
      <c r="FV174" s="201"/>
      <c r="FW174" s="201"/>
      <c r="FX174" s="201"/>
      <c r="FY174" s="201"/>
      <c r="FZ174" s="201"/>
      <c r="GA174" s="201"/>
      <c r="GB174" s="201"/>
      <c r="GC174" s="201"/>
      <c r="GD174" s="201"/>
      <c r="GE174" s="201"/>
      <c r="GF174" s="201"/>
      <c r="GG174" s="201"/>
      <c r="GH174" s="201"/>
      <c r="GI174" s="201"/>
      <c r="GJ174" s="201"/>
      <c r="GK174" s="201"/>
      <c r="GL174" s="201"/>
      <c r="GM174" s="201"/>
      <c r="GN174" s="201"/>
      <c r="GO174" s="201"/>
      <c r="GP174" s="201"/>
      <c r="GQ174" s="201"/>
    </row>
    <row r="175" spans="1:204" s="68" customFormat="1" ht="14.45" customHeight="1" x14ac:dyDescent="0.25">
      <c r="A175" s="68" t="s">
        <v>693</v>
      </c>
      <c r="B175" s="82" t="s">
        <v>154</v>
      </c>
      <c r="C175" s="82" t="s">
        <v>172</v>
      </c>
      <c r="D175" s="82" t="s">
        <v>196</v>
      </c>
      <c r="E175" s="82" t="s">
        <v>309</v>
      </c>
      <c r="F175" s="82" t="s">
        <v>549</v>
      </c>
      <c r="G175" s="82" t="s">
        <v>137</v>
      </c>
      <c r="H175" s="82" t="s">
        <v>137</v>
      </c>
      <c r="I175" s="82" t="s">
        <v>66</v>
      </c>
      <c r="J175" s="82" t="s">
        <v>29</v>
      </c>
      <c r="K175" s="92" t="s">
        <v>137</v>
      </c>
      <c r="L175" s="92" t="s">
        <v>137</v>
      </c>
      <c r="M175" s="92" t="s">
        <v>137</v>
      </c>
      <c r="N175" s="92" t="s">
        <v>137</v>
      </c>
      <c r="O175" s="92" t="s">
        <v>137</v>
      </c>
      <c r="P175" s="92" t="s">
        <v>137</v>
      </c>
      <c r="Q175" s="82" t="s">
        <v>87</v>
      </c>
      <c r="R175" s="82" t="s">
        <v>714</v>
      </c>
      <c r="S175" s="82" t="s">
        <v>40</v>
      </c>
      <c r="T175" s="82" t="s">
        <v>2</v>
      </c>
      <c r="U175" s="83"/>
      <c r="V175" s="83">
        <v>0.05</v>
      </c>
      <c r="W175" s="83">
        <v>0.08</v>
      </c>
      <c r="X175" s="83">
        <v>0.15</v>
      </c>
      <c r="Y175" s="83">
        <v>0.2</v>
      </c>
      <c r="Z175" s="83">
        <v>0.25</v>
      </c>
      <c r="AA175" s="83">
        <v>0.37</v>
      </c>
      <c r="AB175" s="83">
        <v>0.42</v>
      </c>
      <c r="AC175" s="83">
        <v>0.57999999999999996</v>
      </c>
      <c r="AD175" s="83">
        <v>0.67</v>
      </c>
      <c r="AE175" s="83">
        <v>0.83</v>
      </c>
      <c r="AF175" s="83">
        <v>1</v>
      </c>
      <c r="AG175" s="82" t="s">
        <v>532</v>
      </c>
      <c r="AH175" s="82" t="s">
        <v>529</v>
      </c>
      <c r="AI175" s="88" t="s">
        <v>538</v>
      </c>
      <c r="AJ175" s="89" t="s">
        <v>538</v>
      </c>
      <c r="AK175" s="90">
        <v>46023</v>
      </c>
      <c r="AL175" s="90">
        <v>46387</v>
      </c>
      <c r="AM175" s="89"/>
      <c r="AN175" s="89"/>
      <c r="AO175" s="89"/>
      <c r="AP175" s="91" t="s">
        <v>539</v>
      </c>
      <c r="AQ175" s="90" cm="1">
        <f t="array" ref="AQ175">IFERROR(DATE(2026, _xlfn.AGGREGATE(15, 6, (COLUMN(BY175:CJ175)-COLUMN(BY175)+1)/(BY175:CJ175&lt;&gt;0), 1), 1),"N/A")</f>
        <v>46327</v>
      </c>
      <c r="AR175" s="90" cm="1">
        <f t="array" ref="AR175">IFERROR(EOMONTH(DATE(2026, _xlfn.AGGREGATE(14, 6, (COLUMN(BY175:CJ175)-COLUMN(BY175)+1)/(BY175:CJ175&lt;&gt;0), 1), 1), 0),"N/A")</f>
        <v>46356</v>
      </c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/>
      <c r="BE175" s="82" t="s">
        <v>645</v>
      </c>
      <c r="BF175" s="82" t="s">
        <v>768</v>
      </c>
      <c r="BG175" s="82" t="str">
        <f t="shared" si="12"/>
        <v>000</v>
      </c>
      <c r="BH175" s="88">
        <v>530704</v>
      </c>
      <c r="BI175" s="92" t="s">
        <v>74</v>
      </c>
      <c r="BJ175" s="93">
        <v>10000</v>
      </c>
      <c r="BK175" s="74">
        <v>0</v>
      </c>
      <c r="BL175" s="74">
        <v>0</v>
      </c>
      <c r="BM175" s="74">
        <v>0</v>
      </c>
      <c r="BN175" s="74">
        <v>0</v>
      </c>
      <c r="BO175" s="74">
        <v>0</v>
      </c>
      <c r="BP175" s="74">
        <v>0</v>
      </c>
      <c r="BQ175" s="74">
        <v>0</v>
      </c>
      <c r="BR175" s="74">
        <v>0</v>
      </c>
      <c r="BS175" s="74">
        <v>0</v>
      </c>
      <c r="BT175" s="74">
        <v>0</v>
      </c>
      <c r="BU175" s="94">
        <v>10000</v>
      </c>
      <c r="BV175" s="143">
        <v>0</v>
      </c>
      <c r="BW175" s="143"/>
      <c r="BX175" s="143">
        <f t="shared" si="17"/>
        <v>10000</v>
      </c>
      <c r="BY175" s="74">
        <v>0</v>
      </c>
      <c r="BZ175" s="74">
        <v>0</v>
      </c>
      <c r="CA175" s="74">
        <v>0</v>
      </c>
      <c r="CB175" s="74">
        <v>0</v>
      </c>
      <c r="CC175" s="74">
        <v>0</v>
      </c>
      <c r="CD175" s="74">
        <v>0</v>
      </c>
      <c r="CE175" s="74">
        <v>0</v>
      </c>
      <c r="CF175" s="74">
        <v>0</v>
      </c>
      <c r="CG175" s="74">
        <v>0</v>
      </c>
      <c r="CH175" s="74">
        <v>0</v>
      </c>
      <c r="CI175" s="94">
        <v>10000</v>
      </c>
      <c r="CJ175" s="143">
        <v>0</v>
      </c>
      <c r="CK175" s="143"/>
      <c r="CL175" s="142">
        <f t="shared" si="13"/>
        <v>0</v>
      </c>
      <c r="CM175" s="171">
        <v>0</v>
      </c>
      <c r="CN175" s="171">
        <v>0</v>
      </c>
      <c r="CO175" s="171">
        <v>0</v>
      </c>
      <c r="CP175" s="171">
        <v>0</v>
      </c>
      <c r="CQ175" s="171">
        <v>0</v>
      </c>
      <c r="CR175" s="171">
        <v>0</v>
      </c>
      <c r="CS175" s="171">
        <f t="shared" si="14"/>
        <v>0</v>
      </c>
      <c r="CT175" s="171">
        <f t="shared" si="15"/>
        <v>0</v>
      </c>
      <c r="CU175" s="171">
        <f t="shared" si="16"/>
        <v>0</v>
      </c>
      <c r="CV175" s="150">
        <v>10000</v>
      </c>
      <c r="CW175" s="150">
        <v>10000</v>
      </c>
      <c r="CX175" s="130">
        <v>3</v>
      </c>
      <c r="CY175" s="130">
        <v>3</v>
      </c>
      <c r="CZ175" s="130"/>
      <c r="DA175" s="130"/>
      <c r="DB175" s="130"/>
      <c r="DC175" s="130"/>
      <c r="DD175" s="130"/>
      <c r="DE175" s="131">
        <v>46307</v>
      </c>
      <c r="DF175" s="131">
        <v>46307</v>
      </c>
      <c r="DG175" s="132">
        <v>3</v>
      </c>
      <c r="DH175" s="131">
        <v>46308</v>
      </c>
      <c r="DI175" s="131">
        <v>46308</v>
      </c>
      <c r="DJ175" s="131">
        <v>46308</v>
      </c>
      <c r="DK175" s="131">
        <v>46309</v>
      </c>
      <c r="DL175" s="131">
        <v>46310</v>
      </c>
      <c r="DM175" s="131">
        <v>46311</v>
      </c>
      <c r="DN175" s="131">
        <v>46314</v>
      </c>
      <c r="DO175" s="131">
        <v>46315</v>
      </c>
      <c r="DP175" s="131">
        <v>46316</v>
      </c>
      <c r="DQ175" s="131">
        <v>46316</v>
      </c>
      <c r="DR175" s="132">
        <v>3</v>
      </c>
      <c r="DS175" s="131">
        <v>46317</v>
      </c>
      <c r="DT175" s="131">
        <v>46318</v>
      </c>
      <c r="DU175" s="131">
        <v>46321</v>
      </c>
      <c r="DV175" s="131">
        <v>46322</v>
      </c>
      <c r="DW175" s="131">
        <v>46322</v>
      </c>
      <c r="DX175" s="131">
        <v>46323</v>
      </c>
      <c r="DY175" s="131">
        <v>46323</v>
      </c>
      <c r="DZ175" s="132"/>
      <c r="EA175" s="132"/>
      <c r="EB175" s="132"/>
      <c r="EC175" s="132"/>
      <c r="ED175" s="131">
        <v>46324</v>
      </c>
      <c r="EE175" s="131">
        <v>46325</v>
      </c>
      <c r="EF175" s="131">
        <v>46325</v>
      </c>
      <c r="EG175" s="131"/>
      <c r="EH175" s="131"/>
      <c r="EI175" s="131"/>
      <c r="EJ175" s="131">
        <v>46325</v>
      </c>
      <c r="EK175" s="131">
        <v>46331</v>
      </c>
      <c r="EL175" s="132">
        <v>18</v>
      </c>
      <c r="EM175" s="133"/>
      <c r="EN175" s="133"/>
      <c r="EO175" s="133"/>
      <c r="EP175" s="133"/>
      <c r="EQ175" s="133"/>
      <c r="ER175" s="133"/>
      <c r="ES175" s="133"/>
      <c r="ET175" s="133"/>
      <c r="EU175" s="133"/>
      <c r="EV175" s="134"/>
      <c r="EW175" s="133">
        <v>46331</v>
      </c>
      <c r="EX175" s="133"/>
      <c r="EY175" s="135" t="s">
        <v>854</v>
      </c>
      <c r="EZ175" s="132" t="s">
        <v>876</v>
      </c>
      <c r="FA175" s="136" t="s">
        <v>893</v>
      </c>
      <c r="FB175" s="203">
        <v>46307</v>
      </c>
      <c r="FC175" s="203">
        <v>46307</v>
      </c>
      <c r="FD175" s="203">
        <v>46308</v>
      </c>
      <c r="FE175" s="203">
        <v>46308</v>
      </c>
      <c r="FF175" s="203">
        <v>46308</v>
      </c>
      <c r="FG175" s="203">
        <v>46309</v>
      </c>
      <c r="FH175" s="203">
        <v>46310</v>
      </c>
      <c r="FI175" s="203">
        <v>46311</v>
      </c>
      <c r="FJ175" s="203">
        <v>46314</v>
      </c>
      <c r="FK175" s="203">
        <v>46315</v>
      </c>
      <c r="FL175" s="203">
        <v>46316</v>
      </c>
      <c r="FM175" s="203">
        <v>46316</v>
      </c>
      <c r="FN175" s="203">
        <v>46317</v>
      </c>
      <c r="FO175" s="203">
        <v>46318</v>
      </c>
      <c r="FP175" s="203">
        <v>46321</v>
      </c>
      <c r="FQ175" s="203">
        <v>46322</v>
      </c>
      <c r="FR175" s="203">
        <v>46322</v>
      </c>
      <c r="FS175" s="203">
        <v>46323</v>
      </c>
      <c r="FT175" s="203">
        <v>46323</v>
      </c>
      <c r="FU175" s="203"/>
      <c r="FV175" s="203"/>
      <c r="FW175" s="203"/>
      <c r="FX175" s="203"/>
      <c r="FY175" s="203">
        <v>46324</v>
      </c>
      <c r="FZ175" s="203">
        <v>46325</v>
      </c>
      <c r="GA175" s="203">
        <v>46325</v>
      </c>
      <c r="GB175" s="203"/>
      <c r="GC175" s="203"/>
      <c r="GD175" s="203"/>
      <c r="GE175" s="203">
        <v>46325</v>
      </c>
      <c r="GF175" s="203">
        <v>46331</v>
      </c>
      <c r="GG175" s="203">
        <v>18</v>
      </c>
      <c r="GH175" s="203"/>
      <c r="GI175" s="203"/>
      <c r="GJ175" s="203"/>
      <c r="GK175" s="203"/>
      <c r="GL175" s="203"/>
      <c r="GM175" s="203"/>
      <c r="GN175" s="203"/>
      <c r="GO175" s="203"/>
      <c r="GP175" s="203"/>
      <c r="GQ175" s="203">
        <v>46331</v>
      </c>
      <c r="GR175" s="187"/>
      <c r="GS175" s="187" t="s">
        <v>1181</v>
      </c>
      <c r="GT175" s="187" t="s">
        <v>854</v>
      </c>
      <c r="GU175" s="187" t="s">
        <v>1175</v>
      </c>
      <c r="GV175" s="187" t="s">
        <v>893</v>
      </c>
    </row>
    <row r="176" spans="1:204" s="68" customFormat="1" ht="14.45" customHeight="1" x14ac:dyDescent="0.25">
      <c r="A176" s="68" t="s">
        <v>692</v>
      </c>
      <c r="B176" s="82" t="s">
        <v>154</v>
      </c>
      <c r="C176" s="82" t="s">
        <v>172</v>
      </c>
      <c r="D176" s="82" t="s">
        <v>196</v>
      </c>
      <c r="E176" s="82" t="s">
        <v>309</v>
      </c>
      <c r="F176" s="82" t="s">
        <v>549</v>
      </c>
      <c r="G176" s="82" t="s">
        <v>137</v>
      </c>
      <c r="H176" s="82" t="s">
        <v>137</v>
      </c>
      <c r="I176" s="82" t="s">
        <v>66</v>
      </c>
      <c r="J176" s="82" t="s">
        <v>29</v>
      </c>
      <c r="K176" s="92" t="s">
        <v>137</v>
      </c>
      <c r="L176" s="92" t="s">
        <v>137</v>
      </c>
      <c r="M176" s="92" t="s">
        <v>137</v>
      </c>
      <c r="N176" s="92" t="s">
        <v>137</v>
      </c>
      <c r="O176" s="92" t="s">
        <v>137</v>
      </c>
      <c r="P176" s="92" t="s">
        <v>137</v>
      </c>
      <c r="Q176" s="82" t="s">
        <v>87</v>
      </c>
      <c r="R176" s="82" t="s">
        <v>714</v>
      </c>
      <c r="S176" s="82" t="s">
        <v>40</v>
      </c>
      <c r="T176" s="82" t="s">
        <v>2</v>
      </c>
      <c r="U176" s="83"/>
      <c r="V176" s="83">
        <v>0.05</v>
      </c>
      <c r="W176" s="83">
        <v>0.08</v>
      </c>
      <c r="X176" s="83">
        <v>0.15</v>
      </c>
      <c r="Y176" s="83">
        <v>0.2</v>
      </c>
      <c r="Z176" s="83">
        <v>0.25</v>
      </c>
      <c r="AA176" s="83">
        <v>0.37</v>
      </c>
      <c r="AB176" s="83">
        <v>0.42</v>
      </c>
      <c r="AC176" s="83">
        <v>0.57999999999999996</v>
      </c>
      <c r="AD176" s="83">
        <v>0.67</v>
      </c>
      <c r="AE176" s="83">
        <v>0.83</v>
      </c>
      <c r="AF176" s="83">
        <v>1</v>
      </c>
      <c r="AG176" s="82" t="s">
        <v>532</v>
      </c>
      <c r="AH176" s="82" t="s">
        <v>529</v>
      </c>
      <c r="AI176" s="88" t="s">
        <v>538</v>
      </c>
      <c r="AJ176" s="89" t="s">
        <v>538</v>
      </c>
      <c r="AK176" s="90">
        <v>46023</v>
      </c>
      <c r="AL176" s="90">
        <v>46387</v>
      </c>
      <c r="AM176" s="89"/>
      <c r="AN176" s="89"/>
      <c r="AO176" s="89"/>
      <c r="AP176" s="91" t="s">
        <v>539</v>
      </c>
      <c r="AQ176" s="90" cm="1">
        <f t="array" ref="AQ176">IFERROR(DATE(2026, _xlfn.AGGREGATE(15, 6, (COLUMN(BY176:CJ176)-COLUMN(BY176)+1)/(BY176:CJ176&lt;&gt;0), 1), 1),"N/A")</f>
        <v>46266</v>
      </c>
      <c r="AR176" s="90" cm="1">
        <f t="array" ref="AR176">IFERROR(EOMONTH(DATE(2026, _xlfn.AGGREGATE(14, 6, (COLUMN(BY176:CJ176)-COLUMN(BY176)+1)/(BY176:CJ176&lt;&gt;0), 1), 1), 0),"N/A")</f>
        <v>46295</v>
      </c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2" t="s">
        <v>586</v>
      </c>
      <c r="BF176" s="82" t="s">
        <v>947</v>
      </c>
      <c r="BG176" s="82" t="str">
        <f t="shared" si="12"/>
        <v>000</v>
      </c>
      <c r="BH176" s="88">
        <v>530404</v>
      </c>
      <c r="BI176" s="92" t="s">
        <v>74</v>
      </c>
      <c r="BJ176" s="93">
        <v>1000</v>
      </c>
      <c r="BK176" s="74">
        <v>0</v>
      </c>
      <c r="BL176" s="74">
        <v>0</v>
      </c>
      <c r="BM176" s="74">
        <v>0</v>
      </c>
      <c r="BN176" s="74">
        <v>0</v>
      </c>
      <c r="BO176" s="74">
        <v>0</v>
      </c>
      <c r="BP176" s="74">
        <v>0</v>
      </c>
      <c r="BQ176" s="74">
        <v>0</v>
      </c>
      <c r="BR176" s="74">
        <v>0</v>
      </c>
      <c r="BS176" s="94">
        <v>1000</v>
      </c>
      <c r="BT176" s="74">
        <v>0</v>
      </c>
      <c r="BU176" s="74">
        <v>0</v>
      </c>
      <c r="BV176" s="143">
        <v>0</v>
      </c>
      <c r="BW176" s="143"/>
      <c r="BX176" s="143">
        <f t="shared" si="17"/>
        <v>1000</v>
      </c>
      <c r="BY176" s="74">
        <v>0</v>
      </c>
      <c r="BZ176" s="74">
        <v>0</v>
      </c>
      <c r="CA176" s="74">
        <v>0</v>
      </c>
      <c r="CB176" s="74">
        <v>0</v>
      </c>
      <c r="CC176" s="74">
        <v>0</v>
      </c>
      <c r="CD176" s="74">
        <v>0</v>
      </c>
      <c r="CE176" s="74">
        <v>0</v>
      </c>
      <c r="CF176" s="74">
        <v>0</v>
      </c>
      <c r="CG176" s="94">
        <v>1000</v>
      </c>
      <c r="CH176" s="74">
        <v>0</v>
      </c>
      <c r="CI176" s="74">
        <v>0</v>
      </c>
      <c r="CJ176" s="143">
        <v>0</v>
      </c>
      <c r="CK176" s="143"/>
      <c r="CL176" s="142">
        <f t="shared" si="13"/>
        <v>0</v>
      </c>
      <c r="CM176" s="171">
        <v>0</v>
      </c>
      <c r="CN176" s="171">
        <v>0</v>
      </c>
      <c r="CO176" s="171">
        <v>0</v>
      </c>
      <c r="CP176" s="171">
        <v>0</v>
      </c>
      <c r="CQ176" s="171">
        <v>0</v>
      </c>
      <c r="CR176" s="171">
        <v>0</v>
      </c>
      <c r="CS176" s="171">
        <f t="shared" si="14"/>
        <v>0</v>
      </c>
      <c r="CT176" s="171">
        <f t="shared" si="15"/>
        <v>0</v>
      </c>
      <c r="CU176" s="171">
        <f t="shared" si="16"/>
        <v>0</v>
      </c>
      <c r="CV176" s="149"/>
      <c r="CW176" s="149"/>
      <c r="CX176" s="130"/>
      <c r="CY176" s="130"/>
      <c r="CZ176" s="130"/>
      <c r="DA176" s="130"/>
      <c r="DB176" s="130"/>
      <c r="DC176" s="130"/>
      <c r="DD176" s="130"/>
      <c r="DE176" s="130"/>
      <c r="DF176" s="130"/>
      <c r="DG176" s="130"/>
      <c r="DH176" s="130"/>
      <c r="DI176" s="130"/>
      <c r="DJ176" s="130"/>
      <c r="DK176" s="130"/>
      <c r="DL176" s="130"/>
      <c r="DM176" s="130"/>
      <c r="DN176" s="130"/>
      <c r="DO176" s="130"/>
      <c r="DP176" s="130"/>
      <c r="DQ176" s="130"/>
      <c r="DR176" s="130"/>
      <c r="DS176" s="130"/>
      <c r="DT176" s="130"/>
      <c r="DU176" s="130"/>
      <c r="DV176" s="130"/>
      <c r="DW176" s="130"/>
      <c r="DX176" s="130"/>
      <c r="DY176" s="130"/>
      <c r="DZ176" s="130"/>
      <c r="EA176" s="130"/>
      <c r="EB176" s="130"/>
      <c r="EC176" s="130"/>
      <c r="ED176" s="130"/>
      <c r="EE176" s="130"/>
      <c r="EF176" s="130"/>
      <c r="EG176" s="130"/>
      <c r="EH176" s="130"/>
      <c r="EI176" s="130"/>
      <c r="EJ176" s="130"/>
      <c r="EK176" s="130"/>
      <c r="EL176" s="130"/>
      <c r="EM176" s="130"/>
      <c r="EN176" s="130"/>
      <c r="EO176" s="130"/>
      <c r="EP176" s="130"/>
      <c r="EQ176" s="130"/>
      <c r="ER176" s="130"/>
      <c r="ES176" s="130"/>
      <c r="ET176" s="130"/>
      <c r="EU176" s="130"/>
      <c r="EV176" s="130"/>
      <c r="EW176" s="130"/>
      <c r="EX176" s="130"/>
      <c r="EY176" s="130"/>
      <c r="EZ176" s="130"/>
      <c r="FA176" s="130"/>
      <c r="FB176" s="201"/>
      <c r="FC176" s="201"/>
      <c r="FD176" s="201"/>
      <c r="FE176" s="201"/>
      <c r="FF176" s="201"/>
      <c r="FG176" s="201"/>
      <c r="FH176" s="201"/>
      <c r="FI176" s="201"/>
      <c r="FJ176" s="201"/>
      <c r="FK176" s="201"/>
      <c r="FL176" s="201"/>
      <c r="FM176" s="201"/>
      <c r="FN176" s="201"/>
      <c r="FO176" s="201"/>
      <c r="FP176" s="201"/>
      <c r="FQ176" s="201"/>
      <c r="FR176" s="201"/>
      <c r="FS176" s="201"/>
      <c r="FT176" s="201"/>
      <c r="FU176" s="201"/>
      <c r="FV176" s="201"/>
      <c r="FW176" s="201"/>
      <c r="FX176" s="201"/>
      <c r="FY176" s="201"/>
      <c r="FZ176" s="201"/>
      <c r="GA176" s="201"/>
      <c r="GB176" s="201"/>
      <c r="GC176" s="201"/>
      <c r="GD176" s="201"/>
      <c r="GE176" s="201"/>
      <c r="GF176" s="201"/>
      <c r="GG176" s="201"/>
      <c r="GH176" s="201"/>
      <c r="GI176" s="201"/>
      <c r="GJ176" s="201"/>
      <c r="GK176" s="201"/>
      <c r="GL176" s="201"/>
      <c r="GM176" s="201"/>
      <c r="GN176" s="201"/>
      <c r="GO176" s="201"/>
      <c r="GP176" s="201"/>
      <c r="GQ176" s="201"/>
    </row>
    <row r="177" spans="1:204" s="68" customFormat="1" ht="14.45" customHeight="1" x14ac:dyDescent="0.25">
      <c r="A177" s="68" t="s">
        <v>694</v>
      </c>
      <c r="B177" s="82" t="s">
        <v>154</v>
      </c>
      <c r="C177" s="82" t="s">
        <v>172</v>
      </c>
      <c r="D177" s="95" t="s">
        <v>196</v>
      </c>
      <c r="E177" s="82" t="s">
        <v>309</v>
      </c>
      <c r="F177" s="82" t="s">
        <v>549</v>
      </c>
      <c r="G177" s="82" t="s">
        <v>137</v>
      </c>
      <c r="H177" s="82" t="s">
        <v>137</v>
      </c>
      <c r="I177" s="82" t="s">
        <v>66</v>
      </c>
      <c r="J177" s="82" t="s">
        <v>531</v>
      </c>
      <c r="K177" s="92" t="s">
        <v>137</v>
      </c>
      <c r="L177" s="92" t="s">
        <v>137</v>
      </c>
      <c r="M177" s="92" t="s">
        <v>137</v>
      </c>
      <c r="N177" s="92" t="s">
        <v>137</v>
      </c>
      <c r="O177" s="92" t="s">
        <v>137</v>
      </c>
      <c r="P177" s="92" t="s">
        <v>137</v>
      </c>
      <c r="Q177" s="82" t="s">
        <v>552</v>
      </c>
      <c r="R177" s="82" t="s">
        <v>715</v>
      </c>
      <c r="S177" s="82" t="s">
        <v>555</v>
      </c>
      <c r="T177" s="82" t="s">
        <v>320</v>
      </c>
      <c r="U177" s="83">
        <v>0.95</v>
      </c>
      <c r="V177" s="83">
        <v>0.95</v>
      </c>
      <c r="W177" s="83">
        <v>0.95</v>
      </c>
      <c r="X177" s="83">
        <v>0.95</v>
      </c>
      <c r="Y177" s="83">
        <v>0.95</v>
      </c>
      <c r="Z177" s="83">
        <v>0.95</v>
      </c>
      <c r="AA177" s="83">
        <v>0.95</v>
      </c>
      <c r="AB177" s="83">
        <v>0.95</v>
      </c>
      <c r="AC177" s="83">
        <v>0.95</v>
      </c>
      <c r="AD177" s="83">
        <v>0.95</v>
      </c>
      <c r="AE177" s="83">
        <v>0.95</v>
      </c>
      <c r="AF177" s="83">
        <v>0.95</v>
      </c>
      <c r="AG177" s="82" t="s">
        <v>779</v>
      </c>
      <c r="AH177" s="82" t="s">
        <v>530</v>
      </c>
      <c r="AI177" s="88" t="s">
        <v>538</v>
      </c>
      <c r="AJ177" s="89" t="s">
        <v>538</v>
      </c>
      <c r="AK177" s="90">
        <v>46023</v>
      </c>
      <c r="AL177" s="90">
        <v>46387</v>
      </c>
      <c r="AM177" s="89"/>
      <c r="AN177" s="89"/>
      <c r="AO177" s="89"/>
      <c r="AP177" s="91" t="s">
        <v>540</v>
      </c>
      <c r="AQ177" s="90" t="str" cm="1">
        <f t="array" ref="AQ177">IFERROR(DATE(2026, _xlfn.AGGREGATE(15, 6, (COLUMN(BY177:CJ177)-COLUMN(BY177)+1)/(BY177:CJ177&lt;&gt;0), 1), 1),"N/A")</f>
        <v>N/A</v>
      </c>
      <c r="AR177" s="90" t="str" cm="1">
        <f t="array" ref="AR177">IFERROR(EOMONTH(DATE(2026, _xlfn.AGGREGATE(14, 6, (COLUMN(BY177:CJ177)-COLUMN(BY177)+1)/(BY177:CJ177&lt;&gt;0), 1), 1), 0),"N/A")</f>
        <v>N/A</v>
      </c>
      <c r="AS177" s="89"/>
      <c r="AT177" s="89"/>
      <c r="AU177" s="89"/>
      <c r="AV177" s="89"/>
      <c r="AW177" s="89"/>
      <c r="AX177" s="89"/>
      <c r="AY177" s="89"/>
      <c r="AZ177" s="89"/>
      <c r="BA177" s="89"/>
      <c r="BB177" s="89"/>
      <c r="BC177" s="89"/>
      <c r="BD177" s="89"/>
      <c r="BE177" s="82" t="s">
        <v>690</v>
      </c>
      <c r="BF177" s="82" t="s">
        <v>1030</v>
      </c>
      <c r="BG177" s="82" t="str">
        <f t="shared" si="12"/>
        <v>000</v>
      </c>
      <c r="BH177" s="88">
        <v>530201</v>
      </c>
      <c r="BI177" s="92" t="s">
        <v>74</v>
      </c>
      <c r="BJ177" s="93">
        <v>2500</v>
      </c>
      <c r="BK177" s="74">
        <v>0</v>
      </c>
      <c r="BL177" s="94">
        <v>150</v>
      </c>
      <c r="BM177" s="94">
        <v>150</v>
      </c>
      <c r="BN177" s="72">
        <v>150</v>
      </c>
      <c r="BO177" s="94">
        <v>150</v>
      </c>
      <c r="BP177" s="94">
        <v>150</v>
      </c>
      <c r="BQ177" s="94">
        <v>150</v>
      </c>
      <c r="BR177" s="94">
        <v>150</v>
      </c>
      <c r="BS177" s="94">
        <v>150</v>
      </c>
      <c r="BT177" s="94">
        <v>150</v>
      </c>
      <c r="BU177" s="94">
        <v>150</v>
      </c>
      <c r="BV177" s="142">
        <v>1000</v>
      </c>
      <c r="BW177" s="142"/>
      <c r="BX177" s="143">
        <f t="shared" si="17"/>
        <v>2500</v>
      </c>
      <c r="BY177" s="74">
        <v>0</v>
      </c>
      <c r="BZ177" s="94">
        <v>0</v>
      </c>
      <c r="CA177" s="94">
        <v>0</v>
      </c>
      <c r="CB177" s="72">
        <v>0</v>
      </c>
      <c r="CC177" s="94">
        <v>0</v>
      </c>
      <c r="CD177" s="94">
        <v>0</v>
      </c>
      <c r="CE177" s="94">
        <v>0</v>
      </c>
      <c r="CF177" s="94">
        <v>0</v>
      </c>
      <c r="CG177" s="94">
        <v>0</v>
      </c>
      <c r="CH177" s="94">
        <v>0</v>
      </c>
      <c r="CI177" s="94">
        <v>0</v>
      </c>
      <c r="CJ177" s="142">
        <v>0</v>
      </c>
      <c r="CK177" s="142">
        <v>2500</v>
      </c>
      <c r="CL177" s="142">
        <f t="shared" si="13"/>
        <v>0</v>
      </c>
      <c r="CM177" s="171">
        <v>0</v>
      </c>
      <c r="CN177" s="171">
        <v>0</v>
      </c>
      <c r="CO177" s="171">
        <v>0</v>
      </c>
      <c r="CP177" s="171">
        <v>0</v>
      </c>
      <c r="CQ177" s="171">
        <v>0</v>
      </c>
      <c r="CR177" s="171">
        <v>0</v>
      </c>
      <c r="CS177" s="171">
        <f t="shared" si="14"/>
        <v>0</v>
      </c>
      <c r="CT177" s="171">
        <f t="shared" si="15"/>
        <v>0</v>
      </c>
      <c r="CU177" s="171">
        <f t="shared" si="16"/>
        <v>0</v>
      </c>
      <c r="CV177" s="149"/>
      <c r="CW177" s="149"/>
      <c r="CX177" s="130"/>
      <c r="CY177" s="130"/>
      <c r="CZ177" s="130"/>
      <c r="DA177" s="130"/>
      <c r="DB177" s="130"/>
      <c r="DC177" s="130"/>
      <c r="DD177" s="130" t="s">
        <v>848</v>
      </c>
      <c r="DE177" s="130"/>
      <c r="DF177" s="130"/>
      <c r="DG177" s="130"/>
      <c r="DH177" s="130"/>
      <c r="DI177" s="130"/>
      <c r="DJ177" s="130"/>
      <c r="DK177" s="130"/>
      <c r="DL177" s="130"/>
      <c r="DM177" s="130"/>
      <c r="DN177" s="130"/>
      <c r="DO177" s="130"/>
      <c r="DP177" s="130"/>
      <c r="DQ177" s="130"/>
      <c r="DR177" s="130"/>
      <c r="DS177" s="130"/>
      <c r="DT177" s="130"/>
      <c r="DU177" s="130"/>
      <c r="DV177" s="130"/>
      <c r="DW177" s="130"/>
      <c r="DX177" s="130"/>
      <c r="DY177" s="130"/>
      <c r="DZ177" s="130"/>
      <c r="EA177" s="130"/>
      <c r="EB177" s="130"/>
      <c r="EC177" s="130"/>
      <c r="ED177" s="130"/>
      <c r="EE177" s="130"/>
      <c r="EF177" s="130"/>
      <c r="EG177" s="130"/>
      <c r="EH177" s="130"/>
      <c r="EI177" s="130"/>
      <c r="EJ177" s="130"/>
      <c r="EK177" s="130"/>
      <c r="EL177" s="130"/>
      <c r="EM177" s="130"/>
      <c r="EN177" s="130"/>
      <c r="EO177" s="130"/>
      <c r="EP177" s="130"/>
      <c r="EQ177" s="130"/>
      <c r="ER177" s="130"/>
      <c r="ES177" s="130"/>
      <c r="ET177" s="130"/>
      <c r="EU177" s="130"/>
      <c r="EV177" s="130"/>
      <c r="EW177" s="130"/>
      <c r="EX177" s="130"/>
      <c r="EY177" s="130"/>
      <c r="EZ177" s="130"/>
      <c r="FA177" s="130"/>
      <c r="FB177" s="201"/>
      <c r="FC177" s="201"/>
      <c r="FD177" s="201"/>
      <c r="FE177" s="201"/>
      <c r="FF177" s="201"/>
      <c r="FG177" s="201"/>
      <c r="FH177" s="201"/>
      <c r="FI177" s="201"/>
      <c r="FJ177" s="201"/>
      <c r="FK177" s="201"/>
      <c r="FL177" s="201"/>
      <c r="FM177" s="201"/>
      <c r="FN177" s="201"/>
      <c r="FO177" s="201"/>
      <c r="FP177" s="201"/>
      <c r="FQ177" s="201"/>
      <c r="FR177" s="201"/>
      <c r="FS177" s="201"/>
      <c r="FT177" s="201"/>
      <c r="FU177" s="201"/>
      <c r="FV177" s="201"/>
      <c r="FW177" s="201"/>
      <c r="FX177" s="201"/>
      <c r="FY177" s="201"/>
      <c r="FZ177" s="201"/>
      <c r="GA177" s="201"/>
      <c r="GB177" s="201"/>
      <c r="GC177" s="201"/>
      <c r="GD177" s="201"/>
      <c r="GE177" s="201"/>
      <c r="GF177" s="201"/>
      <c r="GG177" s="201"/>
      <c r="GH177" s="201"/>
      <c r="GI177" s="201"/>
      <c r="GJ177" s="201"/>
      <c r="GK177" s="201"/>
      <c r="GL177" s="201"/>
      <c r="GM177" s="201"/>
      <c r="GN177" s="201"/>
      <c r="GO177" s="201"/>
      <c r="GP177" s="201"/>
      <c r="GQ177" s="201"/>
    </row>
    <row r="178" spans="1:204" s="68" customFormat="1" ht="14.45" customHeight="1" x14ac:dyDescent="0.25">
      <c r="A178" s="68" t="s">
        <v>692</v>
      </c>
      <c r="B178" s="82" t="s">
        <v>154</v>
      </c>
      <c r="C178" s="82" t="s">
        <v>172</v>
      </c>
      <c r="D178" s="82" t="s">
        <v>196</v>
      </c>
      <c r="E178" s="82" t="s">
        <v>309</v>
      </c>
      <c r="F178" s="82" t="s">
        <v>549</v>
      </c>
      <c r="G178" s="82" t="s">
        <v>137</v>
      </c>
      <c r="H178" s="82" t="s">
        <v>137</v>
      </c>
      <c r="I178" s="82" t="s">
        <v>66</v>
      </c>
      <c r="J178" s="82" t="s">
        <v>29</v>
      </c>
      <c r="K178" s="92" t="s">
        <v>137</v>
      </c>
      <c r="L178" s="92" t="s">
        <v>137</v>
      </c>
      <c r="M178" s="92" t="s">
        <v>137</v>
      </c>
      <c r="N178" s="92" t="s">
        <v>137</v>
      </c>
      <c r="O178" s="92" t="s">
        <v>137</v>
      </c>
      <c r="P178" s="92" t="s">
        <v>137</v>
      </c>
      <c r="Q178" s="82" t="s">
        <v>87</v>
      </c>
      <c r="R178" s="82" t="s">
        <v>714</v>
      </c>
      <c r="S178" s="82" t="s">
        <v>40</v>
      </c>
      <c r="T178" s="82" t="s">
        <v>2</v>
      </c>
      <c r="U178" s="83"/>
      <c r="V178" s="83">
        <v>0.05</v>
      </c>
      <c r="W178" s="83">
        <v>0.08</v>
      </c>
      <c r="X178" s="83">
        <v>0.15</v>
      </c>
      <c r="Y178" s="83">
        <v>0.2</v>
      </c>
      <c r="Z178" s="83">
        <v>0.25</v>
      </c>
      <c r="AA178" s="83">
        <v>0.37</v>
      </c>
      <c r="AB178" s="83">
        <v>0.42</v>
      </c>
      <c r="AC178" s="83">
        <v>0.57999999999999996</v>
      </c>
      <c r="AD178" s="83">
        <v>0.67</v>
      </c>
      <c r="AE178" s="83">
        <v>0.83</v>
      </c>
      <c r="AF178" s="83">
        <v>1</v>
      </c>
      <c r="AG178" s="82" t="s">
        <v>532</v>
      </c>
      <c r="AH178" s="82" t="s">
        <v>529</v>
      </c>
      <c r="AI178" s="88" t="s">
        <v>538</v>
      </c>
      <c r="AJ178" s="89" t="s">
        <v>538</v>
      </c>
      <c r="AK178" s="90">
        <v>46023</v>
      </c>
      <c r="AL178" s="90">
        <v>46387</v>
      </c>
      <c r="AM178" s="89"/>
      <c r="AN178" s="89"/>
      <c r="AO178" s="89"/>
      <c r="AP178" s="91" t="s">
        <v>539</v>
      </c>
      <c r="AQ178" s="90" cm="1">
        <f t="array" ref="AQ178">IFERROR(DATE(2026, _xlfn.AGGREGATE(15, 6, (COLUMN(BY178:CJ178)-COLUMN(BY178)+1)/(BY178:CJ178&lt;&gt;0), 1), 1),"N/A")</f>
        <v>46204</v>
      </c>
      <c r="AR178" s="90" cm="1">
        <f t="array" ref="AR178">IFERROR(EOMONTH(DATE(2026, _xlfn.AGGREGATE(14, 6, (COLUMN(BY178:CJ178)-COLUMN(BY178)+1)/(BY178:CJ178&lt;&gt;0), 1), 1), 0),"N/A")</f>
        <v>46234</v>
      </c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2" t="s">
        <v>623</v>
      </c>
      <c r="BF178" s="82" t="s">
        <v>978</v>
      </c>
      <c r="BG178" s="82" t="str">
        <f t="shared" si="12"/>
        <v>000</v>
      </c>
      <c r="BH178" s="88">
        <v>530255</v>
      </c>
      <c r="BI178" s="92" t="s">
        <v>74</v>
      </c>
      <c r="BJ178" s="93">
        <v>6000</v>
      </c>
      <c r="BK178" s="74">
        <v>0</v>
      </c>
      <c r="BL178" s="74">
        <v>0</v>
      </c>
      <c r="BM178" s="74">
        <v>0</v>
      </c>
      <c r="BN178" s="74">
        <v>0</v>
      </c>
      <c r="BO178" s="74">
        <v>0</v>
      </c>
      <c r="BP178" s="74">
        <v>0</v>
      </c>
      <c r="BQ178" s="94">
        <v>6000</v>
      </c>
      <c r="BR178" s="74">
        <v>0</v>
      </c>
      <c r="BS178" s="74">
        <v>0</v>
      </c>
      <c r="BT178" s="74">
        <v>0</v>
      </c>
      <c r="BU178" s="74">
        <v>0</v>
      </c>
      <c r="BV178" s="143">
        <v>0</v>
      </c>
      <c r="BW178" s="143">
        <v>-1000</v>
      </c>
      <c r="BX178" s="143">
        <f t="shared" si="17"/>
        <v>5000</v>
      </c>
      <c r="BY178" s="74">
        <v>0</v>
      </c>
      <c r="BZ178" s="74">
        <v>0</v>
      </c>
      <c r="CA178" s="74">
        <v>0</v>
      </c>
      <c r="CB178" s="74">
        <v>0</v>
      </c>
      <c r="CC178" s="74">
        <v>0</v>
      </c>
      <c r="CD178" s="74">
        <v>0</v>
      </c>
      <c r="CE178" s="94">
        <v>5000</v>
      </c>
      <c r="CF178" s="74">
        <v>0</v>
      </c>
      <c r="CG178" s="74">
        <v>0</v>
      </c>
      <c r="CH178" s="74">
        <v>0</v>
      </c>
      <c r="CI178" s="74">
        <v>0</v>
      </c>
      <c r="CJ178" s="143">
        <v>0</v>
      </c>
      <c r="CK178" s="143"/>
      <c r="CL178" s="142">
        <f t="shared" si="13"/>
        <v>0</v>
      </c>
      <c r="CM178" s="171">
        <v>0</v>
      </c>
      <c r="CN178" s="171">
        <v>0</v>
      </c>
      <c r="CO178" s="171">
        <v>0</v>
      </c>
      <c r="CP178" s="171">
        <v>0</v>
      </c>
      <c r="CQ178" s="171">
        <v>0</v>
      </c>
      <c r="CR178" s="171">
        <v>0</v>
      </c>
      <c r="CS178" s="171">
        <f t="shared" si="14"/>
        <v>0</v>
      </c>
      <c r="CT178" s="171">
        <f t="shared" si="15"/>
        <v>0</v>
      </c>
      <c r="CU178" s="171">
        <f t="shared" si="16"/>
        <v>0</v>
      </c>
      <c r="CV178" s="150">
        <v>6000</v>
      </c>
      <c r="CW178" s="150">
        <v>6000</v>
      </c>
      <c r="CX178" s="130">
        <v>1</v>
      </c>
      <c r="CY178" s="130">
        <v>1</v>
      </c>
      <c r="CZ178" s="130"/>
      <c r="DA178" s="130"/>
      <c r="DB178" s="130"/>
      <c r="DC178" s="130"/>
      <c r="DD178" s="130"/>
      <c r="DE178" s="131">
        <v>46281</v>
      </c>
      <c r="DF178" s="131">
        <v>46281</v>
      </c>
      <c r="DG178" s="132">
        <v>3</v>
      </c>
      <c r="DH178" s="131">
        <v>46282</v>
      </c>
      <c r="DI178" s="131">
        <v>46282</v>
      </c>
      <c r="DJ178" s="131">
        <v>46282</v>
      </c>
      <c r="DK178" s="131">
        <v>46283</v>
      </c>
      <c r="DL178" s="131">
        <v>46286</v>
      </c>
      <c r="DM178" s="131">
        <v>46287</v>
      </c>
      <c r="DN178" s="131">
        <v>46288</v>
      </c>
      <c r="DO178" s="131">
        <v>46289</v>
      </c>
      <c r="DP178" s="131">
        <v>46290</v>
      </c>
      <c r="DQ178" s="131">
        <v>46290</v>
      </c>
      <c r="DR178" s="132">
        <v>3</v>
      </c>
      <c r="DS178" s="131">
        <v>46293</v>
      </c>
      <c r="DT178" s="131">
        <v>46294</v>
      </c>
      <c r="DU178" s="131">
        <v>46295</v>
      </c>
      <c r="DV178" s="131">
        <v>46296</v>
      </c>
      <c r="DW178" s="131">
        <v>46296</v>
      </c>
      <c r="DX178" s="131">
        <v>46297</v>
      </c>
      <c r="DY178" s="131">
        <v>46297</v>
      </c>
      <c r="DZ178" s="132"/>
      <c r="EA178" s="132"/>
      <c r="EB178" s="132"/>
      <c r="EC178" s="132"/>
      <c r="ED178" s="131">
        <v>46300</v>
      </c>
      <c r="EE178" s="131">
        <v>46301</v>
      </c>
      <c r="EF178" s="131">
        <v>46301</v>
      </c>
      <c r="EG178" s="131"/>
      <c r="EH178" s="131"/>
      <c r="EI178" s="131"/>
      <c r="EJ178" s="131">
        <v>46301</v>
      </c>
      <c r="EK178" s="131">
        <v>46306</v>
      </c>
      <c r="EL178" s="132">
        <v>18</v>
      </c>
      <c r="EM178" s="133"/>
      <c r="EN178" s="133"/>
      <c r="EO178" s="133"/>
      <c r="EP178" s="133"/>
      <c r="EQ178" s="133"/>
      <c r="ER178" s="133"/>
      <c r="ES178" s="133"/>
      <c r="ET178" s="133"/>
      <c r="EU178" s="133"/>
      <c r="EV178" s="134"/>
      <c r="EW178" s="133">
        <v>46306</v>
      </c>
      <c r="EX178" s="133"/>
      <c r="EY178" s="135" t="s">
        <v>854</v>
      </c>
      <c r="EZ178" s="132" t="s">
        <v>857</v>
      </c>
      <c r="FA178" s="130"/>
      <c r="FB178" s="203">
        <v>46078</v>
      </c>
      <c r="FC178" s="203">
        <v>46078</v>
      </c>
      <c r="FD178" s="203">
        <v>46079</v>
      </c>
      <c r="FE178" s="203">
        <v>46079</v>
      </c>
      <c r="FF178" s="203">
        <v>46079</v>
      </c>
      <c r="FG178" s="203">
        <v>46080</v>
      </c>
      <c r="FH178" s="203">
        <v>46083</v>
      </c>
      <c r="FI178" s="203">
        <v>46084</v>
      </c>
      <c r="FJ178" s="203">
        <v>46085</v>
      </c>
      <c r="FK178" s="203">
        <v>46086</v>
      </c>
      <c r="FL178" s="203">
        <v>46087</v>
      </c>
      <c r="FM178" s="203">
        <v>46087</v>
      </c>
      <c r="FN178" s="203">
        <v>46090</v>
      </c>
      <c r="FO178" s="203">
        <v>46091</v>
      </c>
      <c r="FP178" s="203">
        <v>46092</v>
      </c>
      <c r="FQ178" s="203">
        <v>46093</v>
      </c>
      <c r="FR178" s="203">
        <v>46093</v>
      </c>
      <c r="FS178" s="203">
        <v>46094</v>
      </c>
      <c r="FT178" s="203">
        <v>46094</v>
      </c>
      <c r="FU178" s="203"/>
      <c r="FV178" s="203"/>
      <c r="FW178" s="203"/>
      <c r="FX178" s="203"/>
      <c r="FY178" s="203">
        <v>46097</v>
      </c>
      <c r="FZ178" s="203">
        <v>46098</v>
      </c>
      <c r="GA178" s="203">
        <v>46098</v>
      </c>
      <c r="GB178" s="203"/>
      <c r="GC178" s="203"/>
      <c r="GD178" s="203"/>
      <c r="GE178" s="203">
        <v>46098</v>
      </c>
      <c r="GF178" s="203">
        <v>46104</v>
      </c>
      <c r="GG178" s="203">
        <v>18</v>
      </c>
      <c r="GH178" s="203"/>
      <c r="GI178" s="203"/>
      <c r="GJ178" s="203"/>
      <c r="GK178" s="203"/>
      <c r="GL178" s="203"/>
      <c r="GM178" s="203"/>
      <c r="GN178" s="203"/>
      <c r="GO178" s="203"/>
      <c r="GP178" s="203"/>
      <c r="GQ178" s="203">
        <v>46104</v>
      </c>
      <c r="GR178" s="187"/>
      <c r="GS178" s="187" t="s">
        <v>1181</v>
      </c>
      <c r="GT178" s="187" t="s">
        <v>854</v>
      </c>
      <c r="GU178" s="187" t="s">
        <v>857</v>
      </c>
      <c r="GV178" s="187" t="s">
        <v>1161</v>
      </c>
    </row>
    <row r="179" spans="1:204" s="68" customFormat="1" ht="14.45" customHeight="1" x14ac:dyDescent="0.25">
      <c r="A179" s="68" t="s">
        <v>692</v>
      </c>
      <c r="B179" s="82" t="s">
        <v>154</v>
      </c>
      <c r="C179" s="82" t="s">
        <v>172</v>
      </c>
      <c r="D179" s="82" t="s">
        <v>196</v>
      </c>
      <c r="E179" s="82" t="s">
        <v>309</v>
      </c>
      <c r="F179" s="82" t="s">
        <v>549</v>
      </c>
      <c r="G179" s="82" t="s">
        <v>137</v>
      </c>
      <c r="H179" s="82" t="s">
        <v>137</v>
      </c>
      <c r="I179" s="82" t="s">
        <v>66</v>
      </c>
      <c r="J179" s="82" t="s">
        <v>29</v>
      </c>
      <c r="K179" s="92" t="s">
        <v>137</v>
      </c>
      <c r="L179" s="92" t="s">
        <v>137</v>
      </c>
      <c r="M179" s="92" t="s">
        <v>137</v>
      </c>
      <c r="N179" s="92" t="s">
        <v>137</v>
      </c>
      <c r="O179" s="92" t="s">
        <v>137</v>
      </c>
      <c r="P179" s="92" t="s">
        <v>137</v>
      </c>
      <c r="Q179" s="82" t="s">
        <v>87</v>
      </c>
      <c r="R179" s="82" t="s">
        <v>714</v>
      </c>
      <c r="S179" s="82" t="s">
        <v>40</v>
      </c>
      <c r="T179" s="82" t="s">
        <v>2</v>
      </c>
      <c r="U179" s="83"/>
      <c r="V179" s="83">
        <v>0.05</v>
      </c>
      <c r="W179" s="83">
        <v>0.08</v>
      </c>
      <c r="X179" s="83">
        <v>0.15</v>
      </c>
      <c r="Y179" s="83">
        <v>0.2</v>
      </c>
      <c r="Z179" s="83">
        <v>0.25</v>
      </c>
      <c r="AA179" s="83">
        <v>0.37</v>
      </c>
      <c r="AB179" s="83">
        <v>0.42</v>
      </c>
      <c r="AC179" s="83">
        <v>0.57999999999999996</v>
      </c>
      <c r="AD179" s="83">
        <v>0.67</v>
      </c>
      <c r="AE179" s="83">
        <v>0.83</v>
      </c>
      <c r="AF179" s="83">
        <v>1</v>
      </c>
      <c r="AG179" s="82" t="s">
        <v>532</v>
      </c>
      <c r="AH179" s="82" t="s">
        <v>529</v>
      </c>
      <c r="AI179" s="88" t="s">
        <v>538</v>
      </c>
      <c r="AJ179" s="89" t="s">
        <v>538</v>
      </c>
      <c r="AK179" s="90">
        <v>46023</v>
      </c>
      <c r="AL179" s="90">
        <v>46387</v>
      </c>
      <c r="AM179" s="89"/>
      <c r="AN179" s="89"/>
      <c r="AO179" s="89"/>
      <c r="AP179" s="91" t="s">
        <v>539</v>
      </c>
      <c r="AQ179" s="90" cm="1">
        <f t="array" ref="AQ179">IFERROR(DATE(2026, _xlfn.AGGREGATE(15, 6, (COLUMN(BY179:CJ179)-COLUMN(BY179)+1)/(BY179:CJ179&lt;&gt;0), 1), 1),"N/A")</f>
        <v>46204</v>
      </c>
      <c r="AR179" s="90" cm="1">
        <f t="array" ref="AR179">IFERROR(EOMONTH(DATE(2026, _xlfn.AGGREGATE(14, 6, (COLUMN(BY179:CJ179)-COLUMN(BY179)+1)/(BY179:CJ179&lt;&gt;0), 1), 1), 0),"N/A")</f>
        <v>46234</v>
      </c>
      <c r="AS179" s="89"/>
      <c r="AT179" s="89"/>
      <c r="AU179" s="89"/>
      <c r="AV179" s="89"/>
      <c r="AW179" s="89"/>
      <c r="AX179" s="89"/>
      <c r="AY179" s="89"/>
      <c r="AZ179" s="89"/>
      <c r="BA179" s="89"/>
      <c r="BB179" s="89"/>
      <c r="BC179" s="89"/>
      <c r="BD179" s="89"/>
      <c r="BE179" s="82" t="s">
        <v>580</v>
      </c>
      <c r="BF179" s="82" t="s">
        <v>979</v>
      </c>
      <c r="BG179" s="82" t="str">
        <f t="shared" si="12"/>
        <v>000</v>
      </c>
      <c r="BH179" s="88">
        <v>570199</v>
      </c>
      <c r="BI179" s="92" t="s">
        <v>74</v>
      </c>
      <c r="BJ179" s="93">
        <v>900</v>
      </c>
      <c r="BK179" s="74">
        <v>0</v>
      </c>
      <c r="BL179" s="74">
        <v>0</v>
      </c>
      <c r="BM179" s="74">
        <v>0</v>
      </c>
      <c r="BN179" s="74">
        <v>0</v>
      </c>
      <c r="BO179" s="74">
        <v>0</v>
      </c>
      <c r="BP179" s="74">
        <v>0</v>
      </c>
      <c r="BQ179" s="94">
        <v>900</v>
      </c>
      <c r="BR179" s="74">
        <v>0</v>
      </c>
      <c r="BS179" s="74">
        <v>0</v>
      </c>
      <c r="BT179" s="74">
        <v>0</v>
      </c>
      <c r="BU179" s="74">
        <v>0</v>
      </c>
      <c r="BV179" s="143">
        <v>0</v>
      </c>
      <c r="BW179" s="143"/>
      <c r="BX179" s="143">
        <f t="shared" si="17"/>
        <v>900</v>
      </c>
      <c r="BY179" s="74">
        <v>0</v>
      </c>
      <c r="BZ179" s="74">
        <v>0</v>
      </c>
      <c r="CA179" s="74">
        <v>0</v>
      </c>
      <c r="CB179" s="74">
        <v>0</v>
      </c>
      <c r="CC179" s="74">
        <v>0</v>
      </c>
      <c r="CD179" s="74">
        <v>0</v>
      </c>
      <c r="CE179" s="94">
        <v>900</v>
      </c>
      <c r="CF179" s="74">
        <v>0</v>
      </c>
      <c r="CG179" s="74">
        <v>0</v>
      </c>
      <c r="CH179" s="74">
        <v>0</v>
      </c>
      <c r="CI179" s="74">
        <v>0</v>
      </c>
      <c r="CJ179" s="143">
        <v>0</v>
      </c>
      <c r="CK179" s="143"/>
      <c r="CL179" s="142">
        <f t="shared" si="13"/>
        <v>0</v>
      </c>
      <c r="CM179" s="171">
        <v>0</v>
      </c>
      <c r="CN179" s="171">
        <v>0</v>
      </c>
      <c r="CO179" s="171">
        <v>0</v>
      </c>
      <c r="CP179" s="171">
        <v>0</v>
      </c>
      <c r="CQ179" s="171">
        <v>0</v>
      </c>
      <c r="CR179" s="171">
        <v>0</v>
      </c>
      <c r="CS179" s="171">
        <f t="shared" si="14"/>
        <v>0</v>
      </c>
      <c r="CT179" s="171">
        <f t="shared" si="15"/>
        <v>0</v>
      </c>
      <c r="CU179" s="171">
        <f t="shared" si="16"/>
        <v>0</v>
      </c>
      <c r="CV179" s="149"/>
      <c r="CW179" s="149"/>
      <c r="CX179" s="130"/>
      <c r="CY179" s="130"/>
      <c r="CZ179" s="130"/>
      <c r="DA179" s="130"/>
      <c r="DB179" s="130"/>
      <c r="DC179" s="130"/>
      <c r="DD179" s="130"/>
      <c r="DE179" s="130"/>
      <c r="DF179" s="130"/>
      <c r="DG179" s="130"/>
      <c r="DH179" s="130"/>
      <c r="DI179" s="130"/>
      <c r="DJ179" s="130"/>
      <c r="DK179" s="130"/>
      <c r="DL179" s="130"/>
      <c r="DM179" s="130"/>
      <c r="DN179" s="130"/>
      <c r="DO179" s="130"/>
      <c r="DP179" s="130"/>
      <c r="DQ179" s="130"/>
      <c r="DR179" s="130"/>
      <c r="DS179" s="130"/>
      <c r="DT179" s="130"/>
      <c r="DU179" s="130"/>
      <c r="DV179" s="130"/>
      <c r="DW179" s="130"/>
      <c r="DX179" s="130"/>
      <c r="DY179" s="130"/>
      <c r="DZ179" s="130"/>
      <c r="EA179" s="130"/>
      <c r="EB179" s="130"/>
      <c r="EC179" s="130"/>
      <c r="ED179" s="130"/>
      <c r="EE179" s="130"/>
      <c r="EF179" s="130"/>
      <c r="EG179" s="130"/>
      <c r="EH179" s="130"/>
      <c r="EI179" s="130"/>
      <c r="EJ179" s="130"/>
      <c r="EK179" s="130"/>
      <c r="EL179" s="130"/>
      <c r="EM179" s="130"/>
      <c r="EN179" s="130"/>
      <c r="EO179" s="130"/>
      <c r="EP179" s="130"/>
      <c r="EQ179" s="130"/>
      <c r="ER179" s="130"/>
      <c r="ES179" s="130"/>
      <c r="ET179" s="130"/>
      <c r="EU179" s="130"/>
      <c r="EV179" s="130"/>
      <c r="EW179" s="130"/>
      <c r="EX179" s="130"/>
      <c r="EY179" s="130"/>
      <c r="EZ179" s="130"/>
      <c r="FA179" s="130"/>
      <c r="FB179" s="201"/>
      <c r="FC179" s="201"/>
      <c r="FD179" s="201"/>
      <c r="FE179" s="201"/>
      <c r="FF179" s="201"/>
      <c r="FG179" s="201"/>
      <c r="FH179" s="201"/>
      <c r="FI179" s="201"/>
      <c r="FJ179" s="201"/>
      <c r="FK179" s="201"/>
      <c r="FL179" s="201"/>
      <c r="FM179" s="201"/>
      <c r="FN179" s="201"/>
      <c r="FO179" s="201"/>
      <c r="FP179" s="201"/>
      <c r="FQ179" s="201"/>
      <c r="FR179" s="201"/>
      <c r="FS179" s="201"/>
      <c r="FT179" s="201"/>
      <c r="FU179" s="201"/>
      <c r="FV179" s="201"/>
      <c r="FW179" s="201"/>
      <c r="FX179" s="201"/>
      <c r="FY179" s="201"/>
      <c r="FZ179" s="201"/>
      <c r="GA179" s="201"/>
      <c r="GB179" s="201"/>
      <c r="GC179" s="201"/>
      <c r="GD179" s="201"/>
      <c r="GE179" s="201"/>
      <c r="GF179" s="201"/>
      <c r="GG179" s="201"/>
      <c r="GH179" s="201"/>
      <c r="GI179" s="201"/>
      <c r="GJ179" s="201"/>
      <c r="GK179" s="201"/>
      <c r="GL179" s="201"/>
      <c r="GM179" s="201"/>
      <c r="GN179" s="201"/>
      <c r="GO179" s="201"/>
      <c r="GP179" s="201"/>
      <c r="GQ179" s="201"/>
    </row>
    <row r="180" spans="1:204" s="68" customFormat="1" ht="14.45" customHeight="1" x14ac:dyDescent="0.25">
      <c r="A180" s="68" t="s">
        <v>692</v>
      </c>
      <c r="B180" s="82" t="s">
        <v>154</v>
      </c>
      <c r="C180" s="82" t="s">
        <v>172</v>
      </c>
      <c r="D180" s="82" t="s">
        <v>196</v>
      </c>
      <c r="E180" s="82" t="s">
        <v>309</v>
      </c>
      <c r="F180" s="82" t="s">
        <v>549</v>
      </c>
      <c r="G180" s="82" t="s">
        <v>137</v>
      </c>
      <c r="H180" s="82" t="s">
        <v>137</v>
      </c>
      <c r="I180" s="82" t="s">
        <v>66</v>
      </c>
      <c r="J180" s="82" t="s">
        <v>29</v>
      </c>
      <c r="K180" s="92" t="s">
        <v>137</v>
      </c>
      <c r="L180" s="92" t="s">
        <v>137</v>
      </c>
      <c r="M180" s="92" t="s">
        <v>137</v>
      </c>
      <c r="N180" s="92" t="s">
        <v>137</v>
      </c>
      <c r="O180" s="92" t="s">
        <v>137</v>
      </c>
      <c r="P180" s="92" t="s">
        <v>137</v>
      </c>
      <c r="Q180" s="82" t="s">
        <v>87</v>
      </c>
      <c r="R180" s="82" t="s">
        <v>714</v>
      </c>
      <c r="S180" s="82" t="s">
        <v>40</v>
      </c>
      <c r="T180" s="82" t="s">
        <v>2</v>
      </c>
      <c r="U180" s="83"/>
      <c r="V180" s="83">
        <v>0.05</v>
      </c>
      <c r="W180" s="83">
        <v>0.08</v>
      </c>
      <c r="X180" s="83">
        <v>0.15</v>
      </c>
      <c r="Y180" s="83">
        <v>0.2</v>
      </c>
      <c r="Z180" s="83">
        <v>0.25</v>
      </c>
      <c r="AA180" s="83">
        <v>0.37</v>
      </c>
      <c r="AB180" s="83">
        <v>0.42</v>
      </c>
      <c r="AC180" s="83">
        <v>0.57999999999999996</v>
      </c>
      <c r="AD180" s="83">
        <v>0.67</v>
      </c>
      <c r="AE180" s="83">
        <v>0.83</v>
      </c>
      <c r="AF180" s="83">
        <v>1</v>
      </c>
      <c r="AG180" s="82" t="s">
        <v>532</v>
      </c>
      <c r="AH180" s="82" t="s">
        <v>529</v>
      </c>
      <c r="AI180" s="88" t="s">
        <v>538</v>
      </c>
      <c r="AJ180" s="89" t="s">
        <v>538</v>
      </c>
      <c r="AK180" s="90">
        <v>46023</v>
      </c>
      <c r="AL180" s="90">
        <v>46387</v>
      </c>
      <c r="AM180" s="89"/>
      <c r="AN180" s="89"/>
      <c r="AO180" s="89"/>
      <c r="AP180" s="91" t="s">
        <v>539</v>
      </c>
      <c r="AQ180" s="90" cm="1">
        <f t="array" ref="AQ180">IFERROR(DATE(2026, _xlfn.AGGREGATE(15, 6, (COLUMN(BY180:CJ180)-COLUMN(BY180)+1)/(BY180:CJ180&lt;&gt;0), 1), 1),"N/A")</f>
        <v>46204</v>
      </c>
      <c r="AR180" s="90" cm="1">
        <f t="array" ref="AR180">IFERROR(EOMONTH(DATE(2026, _xlfn.AGGREGATE(14, 6, (COLUMN(BY180:CJ180)-COLUMN(BY180)+1)/(BY180:CJ180&lt;&gt;0), 1), 1), 0),"N/A")</f>
        <v>46234</v>
      </c>
      <c r="AS180" s="89"/>
      <c r="AT180" s="89"/>
      <c r="AU180" s="89"/>
      <c r="AV180" s="89"/>
      <c r="AW180" s="89"/>
      <c r="AX180" s="89"/>
      <c r="AY180" s="89"/>
      <c r="AZ180" s="89"/>
      <c r="BA180" s="89"/>
      <c r="BB180" s="89"/>
      <c r="BC180" s="89"/>
      <c r="BD180" s="89"/>
      <c r="BE180" s="82" t="s">
        <v>628</v>
      </c>
      <c r="BF180" s="82" t="s">
        <v>925</v>
      </c>
      <c r="BG180" s="82" t="str">
        <f t="shared" si="12"/>
        <v>000</v>
      </c>
      <c r="BH180" s="88">
        <v>530255</v>
      </c>
      <c r="BI180" s="92" t="s">
        <v>74</v>
      </c>
      <c r="BJ180" s="93">
        <v>6600</v>
      </c>
      <c r="BK180" s="74">
        <v>0</v>
      </c>
      <c r="BL180" s="74">
        <v>0</v>
      </c>
      <c r="BM180" s="74">
        <v>0</v>
      </c>
      <c r="BN180" s="74">
        <v>0</v>
      </c>
      <c r="BO180" s="74">
        <v>0</v>
      </c>
      <c r="BP180" s="74">
        <v>0</v>
      </c>
      <c r="BQ180" s="94">
        <v>6600</v>
      </c>
      <c r="BR180" s="74">
        <v>0</v>
      </c>
      <c r="BS180" s="74">
        <v>0</v>
      </c>
      <c r="BT180" s="74">
        <v>0</v>
      </c>
      <c r="BU180" s="74">
        <v>0</v>
      </c>
      <c r="BV180" s="143">
        <v>0</v>
      </c>
      <c r="BW180" s="143"/>
      <c r="BX180" s="143">
        <f t="shared" si="17"/>
        <v>6600</v>
      </c>
      <c r="BY180" s="74">
        <v>0</v>
      </c>
      <c r="BZ180" s="74">
        <v>0</v>
      </c>
      <c r="CA180" s="74">
        <v>0</v>
      </c>
      <c r="CB180" s="74">
        <v>0</v>
      </c>
      <c r="CC180" s="74">
        <v>0</v>
      </c>
      <c r="CD180" s="74">
        <v>0</v>
      </c>
      <c r="CE180" s="94">
        <v>6600</v>
      </c>
      <c r="CF180" s="74">
        <v>0</v>
      </c>
      <c r="CG180" s="74">
        <v>0</v>
      </c>
      <c r="CH180" s="74">
        <v>0</v>
      </c>
      <c r="CI180" s="74">
        <v>0</v>
      </c>
      <c r="CJ180" s="143">
        <v>0</v>
      </c>
      <c r="CK180" s="143"/>
      <c r="CL180" s="142">
        <f t="shared" si="13"/>
        <v>0</v>
      </c>
      <c r="CM180" s="171">
        <v>0</v>
      </c>
      <c r="CN180" s="171">
        <v>0</v>
      </c>
      <c r="CO180" s="171">
        <v>0</v>
      </c>
      <c r="CP180" s="171">
        <v>0</v>
      </c>
      <c r="CQ180" s="171">
        <v>0</v>
      </c>
      <c r="CR180" s="171">
        <v>0</v>
      </c>
      <c r="CS180" s="171">
        <f t="shared" si="14"/>
        <v>0</v>
      </c>
      <c r="CT180" s="171">
        <f t="shared" si="15"/>
        <v>0</v>
      </c>
      <c r="CU180" s="171">
        <f t="shared" si="16"/>
        <v>0</v>
      </c>
      <c r="CV180" s="149"/>
      <c r="CW180" s="149"/>
      <c r="CX180" s="130"/>
      <c r="CY180" s="130"/>
      <c r="CZ180" s="130"/>
      <c r="DA180" s="130"/>
      <c r="DB180" s="130"/>
      <c r="DC180" s="130"/>
      <c r="DD180" s="130"/>
      <c r="DE180" s="130"/>
      <c r="DF180" s="130"/>
      <c r="DG180" s="130"/>
      <c r="DH180" s="130"/>
      <c r="DI180" s="130"/>
      <c r="DJ180" s="130"/>
      <c r="DK180" s="130"/>
      <c r="DL180" s="130"/>
      <c r="DM180" s="130"/>
      <c r="DN180" s="130"/>
      <c r="DO180" s="130"/>
      <c r="DP180" s="130"/>
      <c r="DQ180" s="130"/>
      <c r="DR180" s="130"/>
      <c r="DS180" s="130"/>
      <c r="DT180" s="130"/>
      <c r="DU180" s="130"/>
      <c r="DV180" s="130"/>
      <c r="DW180" s="130"/>
      <c r="DX180" s="130"/>
      <c r="DY180" s="130"/>
      <c r="DZ180" s="130"/>
      <c r="EA180" s="130"/>
      <c r="EB180" s="130"/>
      <c r="EC180" s="130"/>
      <c r="ED180" s="130"/>
      <c r="EE180" s="130"/>
      <c r="EF180" s="130"/>
      <c r="EG180" s="130"/>
      <c r="EH180" s="130"/>
      <c r="EI180" s="130"/>
      <c r="EJ180" s="130"/>
      <c r="EK180" s="130"/>
      <c r="EL180" s="130"/>
      <c r="EM180" s="130"/>
      <c r="EN180" s="130"/>
      <c r="EO180" s="130"/>
      <c r="EP180" s="130"/>
      <c r="EQ180" s="130"/>
      <c r="ER180" s="130"/>
      <c r="ES180" s="130"/>
      <c r="ET180" s="130"/>
      <c r="EU180" s="130"/>
      <c r="EV180" s="130"/>
      <c r="EW180" s="130"/>
      <c r="EX180" s="130"/>
      <c r="EY180" s="130"/>
      <c r="EZ180" s="130"/>
      <c r="FA180" s="130"/>
      <c r="FB180" s="201"/>
      <c r="FC180" s="201"/>
      <c r="FD180" s="201"/>
      <c r="FE180" s="201"/>
      <c r="FF180" s="201"/>
      <c r="FG180" s="201"/>
      <c r="FH180" s="201"/>
      <c r="FI180" s="201"/>
      <c r="FJ180" s="201"/>
      <c r="FK180" s="201"/>
      <c r="FL180" s="201"/>
      <c r="FM180" s="201"/>
      <c r="FN180" s="201"/>
      <c r="FO180" s="201"/>
      <c r="FP180" s="201"/>
      <c r="FQ180" s="201"/>
      <c r="FR180" s="201"/>
      <c r="FS180" s="201"/>
      <c r="FT180" s="201"/>
      <c r="FU180" s="201"/>
      <c r="FV180" s="201"/>
      <c r="FW180" s="201"/>
      <c r="FX180" s="201"/>
      <c r="FY180" s="201"/>
      <c r="FZ180" s="201"/>
      <c r="GA180" s="201"/>
      <c r="GB180" s="201"/>
      <c r="GC180" s="201"/>
      <c r="GD180" s="201"/>
      <c r="GE180" s="201"/>
      <c r="GF180" s="201"/>
      <c r="GG180" s="201"/>
      <c r="GH180" s="201"/>
      <c r="GI180" s="201"/>
      <c r="GJ180" s="201"/>
      <c r="GK180" s="201"/>
      <c r="GL180" s="201"/>
      <c r="GM180" s="201"/>
      <c r="GN180" s="201"/>
      <c r="GO180" s="201"/>
      <c r="GP180" s="201"/>
      <c r="GQ180" s="201"/>
    </row>
    <row r="181" spans="1:204" s="68" customFormat="1" ht="14.45" customHeight="1" x14ac:dyDescent="0.25">
      <c r="A181" s="68" t="s">
        <v>692</v>
      </c>
      <c r="B181" s="82" t="s">
        <v>154</v>
      </c>
      <c r="C181" s="82" t="s">
        <v>172</v>
      </c>
      <c r="D181" s="82" t="s">
        <v>196</v>
      </c>
      <c r="E181" s="82" t="s">
        <v>309</v>
      </c>
      <c r="F181" s="82" t="s">
        <v>549</v>
      </c>
      <c r="G181" s="82" t="s">
        <v>137</v>
      </c>
      <c r="H181" s="82" t="s">
        <v>137</v>
      </c>
      <c r="I181" s="82" t="s">
        <v>66</v>
      </c>
      <c r="J181" s="82" t="s">
        <v>29</v>
      </c>
      <c r="K181" s="92" t="s">
        <v>137</v>
      </c>
      <c r="L181" s="92" t="s">
        <v>137</v>
      </c>
      <c r="M181" s="92" t="s">
        <v>137</v>
      </c>
      <c r="N181" s="92" t="s">
        <v>137</v>
      </c>
      <c r="O181" s="92" t="s">
        <v>137</v>
      </c>
      <c r="P181" s="92" t="s">
        <v>137</v>
      </c>
      <c r="Q181" s="82" t="s">
        <v>87</v>
      </c>
      <c r="R181" s="82" t="s">
        <v>714</v>
      </c>
      <c r="S181" s="82" t="s">
        <v>40</v>
      </c>
      <c r="T181" s="82" t="s">
        <v>2</v>
      </c>
      <c r="U181" s="83"/>
      <c r="V181" s="83">
        <v>0.05</v>
      </c>
      <c r="W181" s="83">
        <v>0.08</v>
      </c>
      <c r="X181" s="83">
        <v>0.15</v>
      </c>
      <c r="Y181" s="83">
        <v>0.2</v>
      </c>
      <c r="Z181" s="83">
        <v>0.25</v>
      </c>
      <c r="AA181" s="83">
        <v>0.37</v>
      </c>
      <c r="AB181" s="83">
        <v>0.42</v>
      </c>
      <c r="AC181" s="83">
        <v>0.57999999999999996</v>
      </c>
      <c r="AD181" s="83">
        <v>0.67</v>
      </c>
      <c r="AE181" s="83">
        <v>0.83</v>
      </c>
      <c r="AF181" s="83">
        <v>1</v>
      </c>
      <c r="AG181" s="82" t="s">
        <v>778</v>
      </c>
      <c r="AH181" s="82" t="s">
        <v>530</v>
      </c>
      <c r="AI181" s="88" t="s">
        <v>538</v>
      </c>
      <c r="AJ181" s="89" t="s">
        <v>538</v>
      </c>
      <c r="AK181" s="90">
        <v>46023</v>
      </c>
      <c r="AL181" s="90">
        <v>46387</v>
      </c>
      <c r="AM181" s="89"/>
      <c r="AN181" s="89"/>
      <c r="AO181" s="89"/>
      <c r="AP181" s="91" t="s">
        <v>539</v>
      </c>
      <c r="AQ181" s="90" cm="1">
        <f t="array" ref="AQ181">IFERROR(DATE(2026, _xlfn.AGGREGATE(15, 6, (COLUMN(BY181:CJ181)-COLUMN(BY181)+1)/(BY181:CJ181&lt;&gt;0), 1), 1),"N/A")</f>
        <v>46235</v>
      </c>
      <c r="AR181" s="90" cm="1">
        <f t="array" ref="AR181">IFERROR(EOMONTH(DATE(2026, _xlfn.AGGREGATE(14, 6, (COLUMN(BY181:CJ181)-COLUMN(BY181)+1)/(BY181:CJ181&lt;&gt;0), 1), 1), 0),"N/A")</f>
        <v>46265</v>
      </c>
      <c r="AS181" s="89"/>
      <c r="AT181" s="89"/>
      <c r="AU181" s="89"/>
      <c r="AV181" s="89"/>
      <c r="AW181" s="89"/>
      <c r="AX181" s="89"/>
      <c r="AY181" s="89"/>
      <c r="AZ181" s="89"/>
      <c r="BA181" s="89"/>
      <c r="BB181" s="89"/>
      <c r="BC181" s="89"/>
      <c r="BD181" s="89"/>
      <c r="BE181" s="82" t="s">
        <v>574</v>
      </c>
      <c r="BF181" s="82" t="s">
        <v>745</v>
      </c>
      <c r="BG181" s="82" t="str">
        <f t="shared" si="12"/>
        <v>000</v>
      </c>
      <c r="BH181" s="88">
        <v>530105</v>
      </c>
      <c r="BI181" s="92" t="s">
        <v>74</v>
      </c>
      <c r="BJ181" s="93">
        <v>283</v>
      </c>
      <c r="BK181" s="74">
        <v>0</v>
      </c>
      <c r="BL181" s="74">
        <v>0</v>
      </c>
      <c r="BM181" s="74">
        <v>0</v>
      </c>
      <c r="BN181" s="74">
        <v>0</v>
      </c>
      <c r="BO181" s="74">
        <v>0</v>
      </c>
      <c r="BP181" s="74">
        <v>0</v>
      </c>
      <c r="BQ181" s="74">
        <v>0</v>
      </c>
      <c r="BR181" s="94">
        <v>283</v>
      </c>
      <c r="BS181" s="74">
        <v>0</v>
      </c>
      <c r="BT181" s="74">
        <v>0</v>
      </c>
      <c r="BU181" s="74">
        <v>0</v>
      </c>
      <c r="BV181" s="143">
        <v>0</v>
      </c>
      <c r="BW181" s="143"/>
      <c r="BX181" s="143">
        <f t="shared" si="17"/>
        <v>283</v>
      </c>
      <c r="BY181" s="74">
        <v>0</v>
      </c>
      <c r="BZ181" s="74">
        <v>0</v>
      </c>
      <c r="CA181" s="74">
        <v>0</v>
      </c>
      <c r="CB181" s="74">
        <v>0</v>
      </c>
      <c r="CC181" s="74">
        <v>0</v>
      </c>
      <c r="CD181" s="74">
        <v>0</v>
      </c>
      <c r="CE181" s="74">
        <v>0</v>
      </c>
      <c r="CF181" s="94">
        <v>283</v>
      </c>
      <c r="CG181" s="74">
        <v>0</v>
      </c>
      <c r="CH181" s="74">
        <v>0</v>
      </c>
      <c r="CI181" s="74">
        <v>0</v>
      </c>
      <c r="CJ181" s="143">
        <v>0</v>
      </c>
      <c r="CK181" s="143"/>
      <c r="CL181" s="142">
        <f t="shared" si="13"/>
        <v>0</v>
      </c>
      <c r="CM181" s="171">
        <v>0</v>
      </c>
      <c r="CN181" s="171">
        <v>283</v>
      </c>
      <c r="CO181" s="171">
        <v>0</v>
      </c>
      <c r="CP181" s="171">
        <v>0</v>
      </c>
      <c r="CQ181" s="171">
        <v>0</v>
      </c>
      <c r="CR181" s="171">
        <v>283</v>
      </c>
      <c r="CS181" s="171">
        <f t="shared" si="14"/>
        <v>0</v>
      </c>
      <c r="CT181" s="171">
        <f t="shared" si="15"/>
        <v>283</v>
      </c>
      <c r="CU181" s="171">
        <f t="shared" si="16"/>
        <v>283</v>
      </c>
      <c r="CV181" s="150">
        <v>283</v>
      </c>
      <c r="CW181" s="150">
        <v>283</v>
      </c>
      <c r="CX181" s="130">
        <v>1</v>
      </c>
      <c r="CY181" s="130">
        <v>1</v>
      </c>
      <c r="CZ181" s="130"/>
      <c r="DA181" s="130"/>
      <c r="DB181" s="130"/>
      <c r="DC181" s="130"/>
      <c r="DD181" s="130" t="s">
        <v>890</v>
      </c>
      <c r="DE181" s="131">
        <v>46281</v>
      </c>
      <c r="DF181" s="131">
        <v>46281</v>
      </c>
      <c r="DG181" s="132">
        <v>3</v>
      </c>
      <c r="DH181" s="131">
        <v>46282</v>
      </c>
      <c r="DI181" s="131">
        <v>46282</v>
      </c>
      <c r="DJ181" s="131">
        <v>46282</v>
      </c>
      <c r="DK181" s="131">
        <v>46283</v>
      </c>
      <c r="DL181" s="131">
        <v>46286</v>
      </c>
      <c r="DM181" s="131">
        <v>46287</v>
      </c>
      <c r="DN181" s="131">
        <v>46288</v>
      </c>
      <c r="DO181" s="131">
        <v>46289</v>
      </c>
      <c r="DP181" s="131">
        <v>46290</v>
      </c>
      <c r="DQ181" s="131">
        <v>46290</v>
      </c>
      <c r="DR181" s="132">
        <v>3</v>
      </c>
      <c r="DS181" s="131">
        <v>46293</v>
      </c>
      <c r="DT181" s="131">
        <v>46294</v>
      </c>
      <c r="DU181" s="131">
        <v>46295</v>
      </c>
      <c r="DV181" s="131">
        <v>46296</v>
      </c>
      <c r="DW181" s="131">
        <v>46296</v>
      </c>
      <c r="DX181" s="131">
        <v>46297</v>
      </c>
      <c r="DY181" s="131">
        <v>46297</v>
      </c>
      <c r="DZ181" s="132"/>
      <c r="EA181" s="132"/>
      <c r="EB181" s="132"/>
      <c r="EC181" s="132"/>
      <c r="ED181" s="131">
        <v>46300</v>
      </c>
      <c r="EE181" s="131">
        <v>46301</v>
      </c>
      <c r="EF181" s="131">
        <v>46301</v>
      </c>
      <c r="EG181" s="131"/>
      <c r="EH181" s="131"/>
      <c r="EI181" s="131"/>
      <c r="EJ181" s="131">
        <v>46301</v>
      </c>
      <c r="EK181" s="131">
        <v>46307</v>
      </c>
      <c r="EL181" s="132">
        <v>18</v>
      </c>
      <c r="EM181" s="133"/>
      <c r="EN181" s="133"/>
      <c r="EO181" s="133"/>
      <c r="EP181" s="133"/>
      <c r="EQ181" s="133"/>
      <c r="ER181" s="133"/>
      <c r="ES181" s="133"/>
      <c r="ET181" s="133"/>
      <c r="EU181" s="133"/>
      <c r="EV181" s="134"/>
      <c r="EW181" s="133">
        <v>46307</v>
      </c>
      <c r="EX181" s="133"/>
      <c r="EY181" s="135" t="s">
        <v>854</v>
      </c>
      <c r="EZ181" s="132" t="s">
        <v>857</v>
      </c>
      <c r="FA181" s="130"/>
      <c r="FB181" s="203">
        <v>46079</v>
      </c>
      <c r="FC181" s="203">
        <v>46079</v>
      </c>
      <c r="FD181" s="203">
        <v>46080</v>
      </c>
      <c r="FE181" s="203">
        <v>46080</v>
      </c>
      <c r="FF181" s="203">
        <v>46080</v>
      </c>
      <c r="FG181" s="203">
        <v>46083</v>
      </c>
      <c r="FH181" s="203">
        <v>46084</v>
      </c>
      <c r="FI181" s="203">
        <v>46085</v>
      </c>
      <c r="FJ181" s="203">
        <v>46086</v>
      </c>
      <c r="FK181" s="203">
        <v>46087</v>
      </c>
      <c r="FL181" s="203">
        <v>46090</v>
      </c>
      <c r="FM181" s="203">
        <v>46090</v>
      </c>
      <c r="FN181" s="203">
        <v>46091</v>
      </c>
      <c r="FO181" s="203">
        <v>46092</v>
      </c>
      <c r="FP181" s="203">
        <v>46093</v>
      </c>
      <c r="FQ181" s="203">
        <v>46094</v>
      </c>
      <c r="FR181" s="203">
        <v>46094</v>
      </c>
      <c r="FS181" s="203">
        <v>46097</v>
      </c>
      <c r="FT181" s="203">
        <v>46097</v>
      </c>
      <c r="FU181" s="203"/>
      <c r="FV181" s="203"/>
      <c r="FW181" s="203"/>
      <c r="FX181" s="203"/>
      <c r="FY181" s="203">
        <v>46098</v>
      </c>
      <c r="FZ181" s="203">
        <v>46099</v>
      </c>
      <c r="GA181" s="203">
        <v>46099</v>
      </c>
      <c r="GB181" s="203"/>
      <c r="GC181" s="203"/>
      <c r="GD181" s="203"/>
      <c r="GE181" s="203">
        <v>46099</v>
      </c>
      <c r="GF181" s="203">
        <v>46105</v>
      </c>
      <c r="GG181" s="203">
        <v>18</v>
      </c>
      <c r="GH181" s="203"/>
      <c r="GI181" s="203"/>
      <c r="GJ181" s="203"/>
      <c r="GK181" s="203"/>
      <c r="GL181" s="203"/>
      <c r="GM181" s="203"/>
      <c r="GN181" s="203"/>
      <c r="GO181" s="203"/>
      <c r="GP181" s="203"/>
      <c r="GQ181" s="203">
        <v>46105</v>
      </c>
      <c r="GR181" s="187"/>
      <c r="GS181" s="187" t="s">
        <v>1181</v>
      </c>
      <c r="GT181" s="187" t="s">
        <v>854</v>
      </c>
      <c r="GU181" s="187" t="s">
        <v>857</v>
      </c>
      <c r="GV181" s="187" t="s">
        <v>1162</v>
      </c>
    </row>
    <row r="182" spans="1:204" s="68" customFormat="1" ht="14.45" customHeight="1" x14ac:dyDescent="0.25">
      <c r="A182" s="68" t="s">
        <v>697</v>
      </c>
      <c r="B182" s="82" t="s">
        <v>154</v>
      </c>
      <c r="C182" s="82" t="s">
        <v>172</v>
      </c>
      <c r="D182" s="95" t="s">
        <v>196</v>
      </c>
      <c r="E182" s="82" t="s">
        <v>309</v>
      </c>
      <c r="F182" s="82" t="s">
        <v>549</v>
      </c>
      <c r="G182" s="82" t="s">
        <v>137</v>
      </c>
      <c r="H182" s="82" t="s">
        <v>137</v>
      </c>
      <c r="I182" s="82" t="s">
        <v>66</v>
      </c>
      <c r="J182" s="82" t="s">
        <v>531</v>
      </c>
      <c r="K182" s="92" t="s">
        <v>137</v>
      </c>
      <c r="L182" s="92" t="s">
        <v>137</v>
      </c>
      <c r="M182" s="92" t="s">
        <v>137</v>
      </c>
      <c r="N182" s="92" t="s">
        <v>137</v>
      </c>
      <c r="O182" s="92" t="s">
        <v>137</v>
      </c>
      <c r="P182" s="92" t="s">
        <v>137</v>
      </c>
      <c r="Q182" s="82" t="s">
        <v>552</v>
      </c>
      <c r="R182" s="82" t="s">
        <v>715</v>
      </c>
      <c r="S182" s="82" t="s">
        <v>555</v>
      </c>
      <c r="T182" s="82" t="s">
        <v>320</v>
      </c>
      <c r="U182" s="83">
        <v>0.95</v>
      </c>
      <c r="V182" s="83">
        <v>0.95</v>
      </c>
      <c r="W182" s="83">
        <v>0.95</v>
      </c>
      <c r="X182" s="83">
        <v>0.95</v>
      </c>
      <c r="Y182" s="83">
        <v>0.95</v>
      </c>
      <c r="Z182" s="83">
        <v>0.95</v>
      </c>
      <c r="AA182" s="83">
        <v>0.95</v>
      </c>
      <c r="AB182" s="83">
        <v>0.95</v>
      </c>
      <c r="AC182" s="83">
        <v>0.95</v>
      </c>
      <c r="AD182" s="83">
        <v>0.95</v>
      </c>
      <c r="AE182" s="83">
        <v>0.95</v>
      </c>
      <c r="AF182" s="83">
        <v>0.95</v>
      </c>
      <c r="AG182" s="82" t="s">
        <v>533</v>
      </c>
      <c r="AH182" s="82" t="s">
        <v>529</v>
      </c>
      <c r="AI182" s="88" t="s">
        <v>538</v>
      </c>
      <c r="AJ182" s="89" t="s">
        <v>538</v>
      </c>
      <c r="AK182" s="90">
        <v>46023</v>
      </c>
      <c r="AL182" s="90">
        <v>46387</v>
      </c>
      <c r="AM182" s="89"/>
      <c r="AN182" s="89"/>
      <c r="AO182" s="89"/>
      <c r="AP182" s="91" t="s">
        <v>542</v>
      </c>
      <c r="AQ182" s="90" cm="1">
        <f t="array" ref="AQ182">IFERROR(DATE(2026, _xlfn.AGGREGATE(15, 6, (COLUMN(BY182:CJ182)-COLUMN(BY182)+1)/(BY182:CJ182&lt;&gt;0), 1), 1),"N/A")</f>
        <v>46204</v>
      </c>
      <c r="AR182" s="90" cm="1">
        <f t="array" ref="AR182">IFERROR(EOMONTH(DATE(2026, _xlfn.AGGREGATE(14, 6, (COLUMN(BY182:CJ182)-COLUMN(BY182)+1)/(BY182:CJ182&lt;&gt;0), 1), 1), 0),"N/A")</f>
        <v>46387</v>
      </c>
      <c r="AS182" s="89"/>
      <c r="AT182" s="89"/>
      <c r="AU182" s="89"/>
      <c r="AV182" s="89"/>
      <c r="AW182" s="89"/>
      <c r="AX182" s="89"/>
      <c r="AY182" s="89"/>
      <c r="AZ182" s="89"/>
      <c r="BA182" s="89"/>
      <c r="BB182" s="89"/>
      <c r="BC182" s="89"/>
      <c r="BD182" s="89"/>
      <c r="BE182" s="82" t="s">
        <v>787</v>
      </c>
      <c r="BF182" s="82" t="s">
        <v>1034</v>
      </c>
      <c r="BG182" s="82" t="str">
        <f t="shared" si="12"/>
        <v>001</v>
      </c>
      <c r="BH182" s="88">
        <v>630207</v>
      </c>
      <c r="BI182" s="92" t="s">
        <v>74</v>
      </c>
      <c r="BJ182" s="93">
        <v>293975</v>
      </c>
      <c r="BK182" s="74">
        <v>0</v>
      </c>
      <c r="BL182" s="74">
        <v>0</v>
      </c>
      <c r="BM182" s="74">
        <v>0</v>
      </c>
      <c r="BN182" s="72">
        <v>29950</v>
      </c>
      <c r="BO182" s="94">
        <v>5000</v>
      </c>
      <c r="BP182" s="94">
        <v>5000</v>
      </c>
      <c r="BQ182" s="94">
        <v>30000</v>
      </c>
      <c r="BR182" s="94">
        <v>30000</v>
      </c>
      <c r="BS182" s="94">
        <v>5000</v>
      </c>
      <c r="BT182" s="94">
        <v>85000</v>
      </c>
      <c r="BU182" s="94">
        <v>89000</v>
      </c>
      <c r="BV182" s="142">
        <v>15025</v>
      </c>
      <c r="BW182" s="142">
        <v>145000</v>
      </c>
      <c r="BX182" s="143">
        <f t="shared" si="17"/>
        <v>438975</v>
      </c>
      <c r="BY182" s="74">
        <v>0</v>
      </c>
      <c r="BZ182" s="74">
        <v>0</v>
      </c>
      <c r="CA182" s="74">
        <v>0</v>
      </c>
      <c r="CB182" s="72"/>
      <c r="CC182" s="94"/>
      <c r="CD182" s="94"/>
      <c r="CE182" s="94">
        <v>10000</v>
      </c>
      <c r="CF182" s="94">
        <v>20000</v>
      </c>
      <c r="CG182" s="94">
        <v>30000</v>
      </c>
      <c r="CH182" s="94">
        <v>40000</v>
      </c>
      <c r="CI182" s="94">
        <v>100000</v>
      </c>
      <c r="CJ182" s="142">
        <v>238975</v>
      </c>
      <c r="CK182" s="142"/>
      <c r="CL182" s="142">
        <f t="shared" si="13"/>
        <v>0</v>
      </c>
      <c r="CM182" s="171">
        <v>0</v>
      </c>
      <c r="CN182" s="171">
        <v>0</v>
      </c>
      <c r="CO182" s="171">
        <v>0</v>
      </c>
      <c r="CP182" s="171">
        <v>0</v>
      </c>
      <c r="CQ182" s="171">
        <v>0</v>
      </c>
      <c r="CR182" s="171">
        <v>0</v>
      </c>
      <c r="CS182" s="171">
        <f t="shared" si="14"/>
        <v>0</v>
      </c>
      <c r="CT182" s="171">
        <f t="shared" si="15"/>
        <v>0</v>
      </c>
      <c r="CU182" s="171">
        <f t="shared" si="16"/>
        <v>0</v>
      </c>
      <c r="CV182" s="149"/>
      <c r="CW182" s="149">
        <v>1127950</v>
      </c>
      <c r="CX182" s="130"/>
      <c r="CY182" s="130">
        <v>1</v>
      </c>
      <c r="CZ182" s="130"/>
      <c r="DA182" s="130"/>
      <c r="DB182" s="130"/>
      <c r="DC182" s="130"/>
      <c r="DD182" s="130"/>
      <c r="DE182" s="130"/>
      <c r="DF182" s="130"/>
      <c r="DG182" s="130"/>
      <c r="DH182" s="130"/>
      <c r="DI182" s="130"/>
      <c r="DJ182" s="130"/>
      <c r="DK182" s="130"/>
      <c r="DL182" s="130"/>
      <c r="DM182" s="130"/>
      <c r="DN182" s="130"/>
      <c r="DO182" s="130"/>
      <c r="DP182" s="130"/>
      <c r="DQ182" s="130"/>
      <c r="DR182" s="130"/>
      <c r="DS182" s="130"/>
      <c r="DT182" s="130"/>
      <c r="DU182" s="130"/>
      <c r="DV182" s="130"/>
      <c r="DW182" s="130"/>
      <c r="DX182" s="130"/>
      <c r="DY182" s="130"/>
      <c r="DZ182" s="130"/>
      <c r="EA182" s="130"/>
      <c r="EB182" s="130"/>
      <c r="EC182" s="130"/>
      <c r="ED182" s="130"/>
      <c r="EE182" s="130"/>
      <c r="EF182" s="130"/>
      <c r="EG182" s="130"/>
      <c r="EH182" s="130"/>
      <c r="EI182" s="130"/>
      <c r="EJ182" s="130"/>
      <c r="EK182" s="130"/>
      <c r="EL182" s="130"/>
      <c r="EM182" s="130"/>
      <c r="EN182" s="130"/>
      <c r="EO182" s="130"/>
      <c r="EP182" s="130"/>
      <c r="EQ182" s="130"/>
      <c r="ER182" s="130"/>
      <c r="ES182" s="130"/>
      <c r="ET182" s="130"/>
      <c r="EU182" s="130"/>
      <c r="EV182" s="130"/>
      <c r="EW182" s="130"/>
      <c r="EX182" s="130"/>
      <c r="EY182" s="130"/>
      <c r="EZ182" s="130"/>
      <c r="FA182" s="130"/>
      <c r="FB182" s="203">
        <v>46031</v>
      </c>
      <c r="FC182" s="203">
        <v>46031</v>
      </c>
      <c r="FD182" s="203">
        <v>46034</v>
      </c>
      <c r="FE182" s="203">
        <v>46034</v>
      </c>
      <c r="FF182" s="203">
        <v>46034</v>
      </c>
      <c r="FG182" s="203">
        <v>46035</v>
      </c>
      <c r="FH182" s="203">
        <v>46036</v>
      </c>
      <c r="FI182" s="203">
        <v>46037</v>
      </c>
      <c r="FJ182" s="203">
        <v>46038</v>
      </c>
      <c r="FK182" s="203">
        <v>46041</v>
      </c>
      <c r="FL182" s="203">
        <v>46042</v>
      </c>
      <c r="FM182" s="203">
        <v>46042</v>
      </c>
      <c r="FN182" s="203">
        <v>46043</v>
      </c>
      <c r="FO182" s="203">
        <v>46044</v>
      </c>
      <c r="FP182" s="203">
        <v>46045</v>
      </c>
      <c r="FQ182" s="203">
        <v>46048</v>
      </c>
      <c r="FR182" s="203">
        <v>46048</v>
      </c>
      <c r="FS182" s="203">
        <v>46049</v>
      </c>
      <c r="FT182" s="203">
        <v>46049</v>
      </c>
      <c r="FU182" s="203"/>
      <c r="FV182" s="203"/>
      <c r="FW182" s="203"/>
      <c r="FX182" s="203"/>
      <c r="FY182" s="203">
        <v>46050</v>
      </c>
      <c r="FZ182" s="203">
        <v>46051</v>
      </c>
      <c r="GA182" s="203">
        <v>46051</v>
      </c>
      <c r="GB182" s="203">
        <v>46052</v>
      </c>
      <c r="GC182" s="203">
        <v>46055</v>
      </c>
      <c r="GD182" s="203">
        <v>46056</v>
      </c>
      <c r="GE182" s="203">
        <v>46057</v>
      </c>
      <c r="GF182" s="203">
        <v>46080</v>
      </c>
      <c r="GG182" s="203">
        <v>35</v>
      </c>
      <c r="GH182" s="203">
        <v>46090</v>
      </c>
      <c r="GI182" s="203">
        <v>46092</v>
      </c>
      <c r="GJ182" s="203">
        <v>46100</v>
      </c>
      <c r="GK182" s="203">
        <v>46101</v>
      </c>
      <c r="GL182" s="203">
        <v>46104</v>
      </c>
      <c r="GM182" s="203">
        <v>46106</v>
      </c>
      <c r="GN182" s="203">
        <v>46107</v>
      </c>
      <c r="GO182" s="203">
        <v>46107</v>
      </c>
      <c r="GP182" s="203">
        <v>46112</v>
      </c>
      <c r="GQ182" s="203">
        <v>46115</v>
      </c>
      <c r="GR182" s="187"/>
      <c r="GS182" s="187" t="s">
        <v>1181</v>
      </c>
      <c r="GT182" s="187" t="s">
        <v>1169</v>
      </c>
      <c r="GU182" s="187" t="s">
        <v>861</v>
      </c>
      <c r="GV182" s="187" t="s">
        <v>1161</v>
      </c>
    </row>
    <row r="183" spans="1:204" s="68" customFormat="1" ht="14.45" customHeight="1" x14ac:dyDescent="0.25">
      <c r="A183" s="68" t="s">
        <v>695</v>
      </c>
      <c r="B183" s="82" t="s">
        <v>154</v>
      </c>
      <c r="C183" s="82" t="s">
        <v>172</v>
      </c>
      <c r="D183" s="95" t="s">
        <v>196</v>
      </c>
      <c r="E183" s="82" t="s">
        <v>309</v>
      </c>
      <c r="F183" s="82" t="s">
        <v>549</v>
      </c>
      <c r="G183" s="82" t="s">
        <v>137</v>
      </c>
      <c r="H183" s="82" t="s">
        <v>137</v>
      </c>
      <c r="I183" s="82" t="s">
        <v>66</v>
      </c>
      <c r="J183" s="82" t="s">
        <v>531</v>
      </c>
      <c r="K183" s="92" t="s">
        <v>137</v>
      </c>
      <c r="L183" s="92" t="s">
        <v>137</v>
      </c>
      <c r="M183" s="92" t="s">
        <v>137</v>
      </c>
      <c r="N183" s="92" t="s">
        <v>137</v>
      </c>
      <c r="O183" s="92" t="s">
        <v>137</v>
      </c>
      <c r="P183" s="92" t="s">
        <v>137</v>
      </c>
      <c r="Q183" s="82" t="s">
        <v>552</v>
      </c>
      <c r="R183" s="82" t="s">
        <v>715</v>
      </c>
      <c r="S183" s="82" t="s">
        <v>555</v>
      </c>
      <c r="T183" s="82" t="s">
        <v>320</v>
      </c>
      <c r="U183" s="83">
        <v>0.95</v>
      </c>
      <c r="V183" s="83">
        <v>0.95</v>
      </c>
      <c r="W183" s="83">
        <v>0.95</v>
      </c>
      <c r="X183" s="83">
        <v>0.95</v>
      </c>
      <c r="Y183" s="83">
        <v>0.95</v>
      </c>
      <c r="Z183" s="83">
        <v>0.95</v>
      </c>
      <c r="AA183" s="83">
        <v>0.95</v>
      </c>
      <c r="AB183" s="83">
        <v>0.95</v>
      </c>
      <c r="AC183" s="83">
        <v>0.95</v>
      </c>
      <c r="AD183" s="83">
        <v>0.95</v>
      </c>
      <c r="AE183" s="83">
        <v>0.95</v>
      </c>
      <c r="AF183" s="83">
        <v>0.95</v>
      </c>
      <c r="AG183" s="82" t="s">
        <v>533</v>
      </c>
      <c r="AH183" s="82" t="s">
        <v>529</v>
      </c>
      <c r="AI183" s="88" t="s">
        <v>538</v>
      </c>
      <c r="AJ183" s="89" t="s">
        <v>538</v>
      </c>
      <c r="AK183" s="90">
        <v>46023</v>
      </c>
      <c r="AL183" s="90">
        <v>46387</v>
      </c>
      <c r="AM183" s="89"/>
      <c r="AN183" s="89"/>
      <c r="AO183" s="89"/>
      <c r="AP183" s="91" t="s">
        <v>542</v>
      </c>
      <c r="AQ183" s="90" cm="1">
        <f t="array" ref="AQ183">IFERROR(DATE(2026, _xlfn.AGGREGATE(15, 6, (COLUMN(BY183:CJ183)-COLUMN(BY183)+1)/(BY183:CJ183&lt;&gt;0), 1), 1),"N/A")</f>
        <v>46143</v>
      </c>
      <c r="AR183" s="90" cm="1">
        <f t="array" ref="AR183">IFERROR(EOMONTH(DATE(2026, _xlfn.AGGREGATE(14, 6, (COLUMN(BY183:CJ183)-COLUMN(BY183)+1)/(BY183:CJ183&lt;&gt;0), 1), 1), 0),"N/A")</f>
        <v>46326</v>
      </c>
      <c r="AS183" s="89"/>
      <c r="AT183" s="89"/>
      <c r="AU183" s="89"/>
      <c r="AV183" s="89"/>
      <c r="AW183" s="89"/>
      <c r="AX183" s="89"/>
      <c r="AY183" s="89"/>
      <c r="AZ183" s="89"/>
      <c r="BA183" s="89"/>
      <c r="BB183" s="89"/>
      <c r="BC183" s="89"/>
      <c r="BD183" s="89"/>
      <c r="BE183" s="82" t="s">
        <v>787</v>
      </c>
      <c r="BF183" s="82" t="s">
        <v>1033</v>
      </c>
      <c r="BG183" s="82" t="str">
        <f t="shared" si="12"/>
        <v>000</v>
      </c>
      <c r="BH183" s="88">
        <v>630207</v>
      </c>
      <c r="BI183" s="92" t="s">
        <v>74</v>
      </c>
      <c r="BJ183" s="93">
        <v>125000</v>
      </c>
      <c r="BK183" s="74">
        <v>0</v>
      </c>
      <c r="BL183" s="94"/>
      <c r="BM183" s="94"/>
      <c r="BN183" s="72"/>
      <c r="BO183" s="94">
        <v>20025</v>
      </c>
      <c r="BP183" s="94">
        <v>20025</v>
      </c>
      <c r="BQ183" s="94">
        <v>22025</v>
      </c>
      <c r="BR183" s="94">
        <v>28025</v>
      </c>
      <c r="BS183" s="94">
        <v>14875</v>
      </c>
      <c r="BT183" s="94">
        <v>20025</v>
      </c>
      <c r="BU183" s="94"/>
      <c r="BV183" s="142"/>
      <c r="BW183" s="142"/>
      <c r="BX183" s="143">
        <f t="shared" si="17"/>
        <v>125000</v>
      </c>
      <c r="BY183" s="74">
        <v>0</v>
      </c>
      <c r="BZ183" s="94"/>
      <c r="CA183" s="94"/>
      <c r="CB183" s="72"/>
      <c r="CC183" s="94">
        <v>20025</v>
      </c>
      <c r="CD183" s="94">
        <v>20025</v>
      </c>
      <c r="CE183" s="94">
        <v>22025</v>
      </c>
      <c r="CF183" s="94">
        <v>28025</v>
      </c>
      <c r="CG183" s="94">
        <v>14875</v>
      </c>
      <c r="CH183" s="94">
        <v>20025</v>
      </c>
      <c r="CI183" s="94"/>
      <c r="CJ183" s="142"/>
      <c r="CK183" s="142"/>
      <c r="CL183" s="142">
        <f t="shared" si="13"/>
        <v>0</v>
      </c>
      <c r="CM183" s="171">
        <v>0</v>
      </c>
      <c r="CN183" s="171">
        <v>0</v>
      </c>
      <c r="CO183" s="171">
        <v>0</v>
      </c>
      <c r="CP183" s="171">
        <v>0</v>
      </c>
      <c r="CQ183" s="171">
        <v>0</v>
      </c>
      <c r="CR183" s="171">
        <v>0</v>
      </c>
      <c r="CS183" s="171">
        <f t="shared" si="14"/>
        <v>0</v>
      </c>
      <c r="CT183" s="171">
        <f t="shared" si="15"/>
        <v>0</v>
      </c>
      <c r="CU183" s="171">
        <f t="shared" si="16"/>
        <v>0</v>
      </c>
      <c r="CV183" s="149"/>
      <c r="CW183" s="149"/>
      <c r="CX183" s="130"/>
      <c r="CY183" s="130"/>
      <c r="CZ183" s="130"/>
      <c r="DA183" s="130"/>
      <c r="DB183" s="130"/>
      <c r="DC183" s="130"/>
      <c r="DD183" s="130"/>
      <c r="DE183" s="130"/>
      <c r="DF183" s="130"/>
      <c r="DG183" s="130"/>
      <c r="DH183" s="130"/>
      <c r="DI183" s="130"/>
      <c r="DJ183" s="130"/>
      <c r="DK183" s="130"/>
      <c r="DL183" s="130"/>
      <c r="DM183" s="130"/>
      <c r="DN183" s="130"/>
      <c r="DO183" s="130"/>
      <c r="DP183" s="130"/>
      <c r="DQ183" s="130"/>
      <c r="DR183" s="130"/>
      <c r="DS183" s="130"/>
      <c r="DT183" s="130"/>
      <c r="DU183" s="130"/>
      <c r="DV183" s="130"/>
      <c r="DW183" s="130"/>
      <c r="DX183" s="130"/>
      <c r="DY183" s="130"/>
      <c r="DZ183" s="130"/>
      <c r="EA183" s="130"/>
      <c r="EB183" s="130"/>
      <c r="EC183" s="130"/>
      <c r="ED183" s="130"/>
      <c r="EE183" s="130"/>
      <c r="EF183" s="130"/>
      <c r="EG183" s="130"/>
      <c r="EH183" s="130"/>
      <c r="EI183" s="130"/>
      <c r="EJ183" s="130"/>
      <c r="EK183" s="130"/>
      <c r="EL183" s="130"/>
      <c r="EM183" s="130"/>
      <c r="EN183" s="130"/>
      <c r="EO183" s="130"/>
      <c r="EP183" s="130"/>
      <c r="EQ183" s="130"/>
      <c r="ER183" s="130"/>
      <c r="ES183" s="130"/>
      <c r="ET183" s="130"/>
      <c r="EU183" s="130"/>
      <c r="EV183" s="130"/>
      <c r="EW183" s="130"/>
      <c r="EX183" s="130"/>
      <c r="EY183" s="130"/>
      <c r="EZ183" s="130"/>
      <c r="FA183" s="130"/>
      <c r="FB183" s="201"/>
      <c r="FC183" s="201"/>
      <c r="FD183" s="201"/>
      <c r="FE183" s="201"/>
      <c r="FF183" s="201"/>
      <c r="FG183" s="201"/>
      <c r="FH183" s="201"/>
      <c r="FI183" s="201"/>
      <c r="FJ183" s="201"/>
      <c r="FK183" s="201"/>
      <c r="FL183" s="201"/>
      <c r="FM183" s="201"/>
      <c r="FN183" s="201"/>
      <c r="FO183" s="201"/>
      <c r="FP183" s="201"/>
      <c r="FQ183" s="201"/>
      <c r="FR183" s="201"/>
      <c r="FS183" s="201"/>
      <c r="FT183" s="201"/>
      <c r="FU183" s="201"/>
      <c r="FV183" s="201"/>
      <c r="FW183" s="201"/>
      <c r="FX183" s="201"/>
      <c r="FY183" s="201"/>
      <c r="FZ183" s="201"/>
      <c r="GA183" s="201"/>
      <c r="GB183" s="201"/>
      <c r="GC183" s="201"/>
      <c r="GD183" s="201"/>
      <c r="GE183" s="201"/>
      <c r="GF183" s="201"/>
      <c r="GG183" s="201"/>
      <c r="GH183" s="201"/>
      <c r="GI183" s="201"/>
      <c r="GJ183" s="201"/>
      <c r="GK183" s="201"/>
      <c r="GL183" s="201"/>
      <c r="GM183" s="201"/>
      <c r="GN183" s="201"/>
      <c r="GO183" s="201"/>
      <c r="GP183" s="201"/>
      <c r="GQ183" s="201"/>
    </row>
    <row r="184" spans="1:204" s="68" customFormat="1" ht="14.45" customHeight="1" x14ac:dyDescent="0.25">
      <c r="A184" s="68" t="s">
        <v>697</v>
      </c>
      <c r="B184" s="82" t="s">
        <v>154</v>
      </c>
      <c r="C184" s="82" t="s">
        <v>172</v>
      </c>
      <c r="D184" s="95" t="s">
        <v>196</v>
      </c>
      <c r="E184" s="82" t="s">
        <v>309</v>
      </c>
      <c r="F184" s="82" t="s">
        <v>549</v>
      </c>
      <c r="G184" s="82" t="s">
        <v>137</v>
      </c>
      <c r="H184" s="82" t="s">
        <v>137</v>
      </c>
      <c r="I184" s="82" t="s">
        <v>66</v>
      </c>
      <c r="J184" s="82" t="s">
        <v>531</v>
      </c>
      <c r="K184" s="92" t="s">
        <v>137</v>
      </c>
      <c r="L184" s="92" t="s">
        <v>137</v>
      </c>
      <c r="M184" s="92" t="s">
        <v>137</v>
      </c>
      <c r="N184" s="92" t="s">
        <v>137</v>
      </c>
      <c r="O184" s="92" t="s">
        <v>137</v>
      </c>
      <c r="P184" s="92" t="s">
        <v>137</v>
      </c>
      <c r="Q184" s="82" t="s">
        <v>552</v>
      </c>
      <c r="R184" s="82" t="s">
        <v>715</v>
      </c>
      <c r="S184" s="82" t="s">
        <v>555</v>
      </c>
      <c r="T184" s="82" t="s">
        <v>320</v>
      </c>
      <c r="U184" s="83">
        <v>0.95</v>
      </c>
      <c r="V184" s="83">
        <v>0.95</v>
      </c>
      <c r="W184" s="83">
        <v>0.95</v>
      </c>
      <c r="X184" s="83">
        <v>0.95</v>
      </c>
      <c r="Y184" s="83">
        <v>0.95</v>
      </c>
      <c r="Z184" s="83">
        <v>0.95</v>
      </c>
      <c r="AA184" s="83">
        <v>0.95</v>
      </c>
      <c r="AB184" s="83">
        <v>0.95</v>
      </c>
      <c r="AC184" s="83">
        <v>0.95</v>
      </c>
      <c r="AD184" s="83">
        <v>0.95</v>
      </c>
      <c r="AE184" s="83">
        <v>0.95</v>
      </c>
      <c r="AF184" s="83">
        <v>0.95</v>
      </c>
      <c r="AG184" s="82" t="s">
        <v>533</v>
      </c>
      <c r="AH184" s="82" t="s">
        <v>529</v>
      </c>
      <c r="AI184" s="88" t="s">
        <v>538</v>
      </c>
      <c r="AJ184" s="89" t="s">
        <v>538</v>
      </c>
      <c r="AK184" s="90">
        <v>46023</v>
      </c>
      <c r="AL184" s="90">
        <v>46387</v>
      </c>
      <c r="AM184" s="89"/>
      <c r="AN184" s="89"/>
      <c r="AO184" s="89"/>
      <c r="AP184" s="91" t="s">
        <v>542</v>
      </c>
      <c r="AQ184" s="90" cm="1">
        <f t="array" ref="AQ184">IFERROR(DATE(2026, _xlfn.AGGREGATE(15, 6, (COLUMN(BY184:CJ184)-COLUMN(BY184)+1)/(BY184:CJ184&lt;&gt;0), 1), 1),"N/A")</f>
        <v>46204</v>
      </c>
      <c r="AR184" s="90" cm="1">
        <f t="array" ref="AR184">IFERROR(EOMONTH(DATE(2026, _xlfn.AGGREGATE(14, 6, (COLUMN(BY184:CJ184)-COLUMN(BY184)+1)/(BY184:CJ184&lt;&gt;0), 1), 1), 0),"N/A")</f>
        <v>46387</v>
      </c>
      <c r="AS184" s="89"/>
      <c r="AT184" s="89"/>
      <c r="AU184" s="89"/>
      <c r="AV184" s="89"/>
      <c r="AW184" s="89"/>
      <c r="AX184" s="89"/>
      <c r="AY184" s="89"/>
      <c r="AZ184" s="89"/>
      <c r="BA184" s="89"/>
      <c r="BB184" s="89"/>
      <c r="BC184" s="89"/>
      <c r="BD184" s="89"/>
      <c r="BE184" s="82" t="s">
        <v>788</v>
      </c>
      <c r="BF184" s="82" t="s">
        <v>1035</v>
      </c>
      <c r="BG184" s="82" t="str">
        <f t="shared" si="12"/>
        <v>000</v>
      </c>
      <c r="BH184" s="88">
        <v>630207</v>
      </c>
      <c r="BI184" s="92" t="s">
        <v>74</v>
      </c>
      <c r="BJ184" s="96">
        <v>350000</v>
      </c>
      <c r="BK184" s="74">
        <v>0</v>
      </c>
      <c r="BL184" s="94">
        <v>70000</v>
      </c>
      <c r="BM184" s="94">
        <v>10000</v>
      </c>
      <c r="BN184" s="72">
        <v>40000</v>
      </c>
      <c r="BO184" s="94">
        <v>10000</v>
      </c>
      <c r="BP184" s="94">
        <v>20000</v>
      </c>
      <c r="BQ184" s="94">
        <v>50000</v>
      </c>
      <c r="BR184" s="94">
        <v>15000</v>
      </c>
      <c r="BS184" s="94">
        <v>17000</v>
      </c>
      <c r="BT184" s="94">
        <v>15000</v>
      </c>
      <c r="BU184" s="94">
        <v>50000</v>
      </c>
      <c r="BV184" s="142">
        <v>53000</v>
      </c>
      <c r="BW184" s="142">
        <v>145000</v>
      </c>
      <c r="BX184" s="143">
        <f t="shared" si="17"/>
        <v>495000</v>
      </c>
      <c r="BY184" s="74">
        <v>0</v>
      </c>
      <c r="BZ184" s="94"/>
      <c r="CA184" s="94"/>
      <c r="CB184" s="72"/>
      <c r="CC184" s="94"/>
      <c r="CD184" s="94"/>
      <c r="CE184" s="94">
        <v>10000</v>
      </c>
      <c r="CF184" s="94">
        <v>20000</v>
      </c>
      <c r="CG184" s="94">
        <v>30000</v>
      </c>
      <c r="CH184" s="94">
        <v>40000</v>
      </c>
      <c r="CI184" s="94">
        <v>100000</v>
      </c>
      <c r="CJ184" s="142">
        <v>295000</v>
      </c>
      <c r="CK184" s="142"/>
      <c r="CL184" s="142">
        <f t="shared" si="13"/>
        <v>0</v>
      </c>
      <c r="CM184" s="171">
        <v>0</v>
      </c>
      <c r="CN184" s="171">
        <v>0</v>
      </c>
      <c r="CO184" s="171">
        <v>0</v>
      </c>
      <c r="CP184" s="171">
        <v>0</v>
      </c>
      <c r="CQ184" s="171">
        <v>0</v>
      </c>
      <c r="CR184" s="171">
        <v>0</v>
      </c>
      <c r="CS184" s="171">
        <f t="shared" si="14"/>
        <v>0</v>
      </c>
      <c r="CT184" s="171">
        <f t="shared" si="15"/>
        <v>0</v>
      </c>
      <c r="CU184" s="171">
        <f t="shared" si="16"/>
        <v>0</v>
      </c>
      <c r="CV184" s="149"/>
      <c r="CW184" s="149">
        <v>1057000</v>
      </c>
      <c r="CX184" s="130"/>
      <c r="CY184" s="130">
        <v>1</v>
      </c>
      <c r="CZ184" s="130"/>
      <c r="DA184" s="130"/>
      <c r="DB184" s="130"/>
      <c r="DC184" s="130"/>
      <c r="DD184" s="130"/>
      <c r="DE184" s="130"/>
      <c r="DF184" s="130"/>
      <c r="DG184" s="130"/>
      <c r="DH184" s="130"/>
      <c r="DI184" s="130"/>
      <c r="DJ184" s="130"/>
      <c r="DK184" s="130"/>
      <c r="DL184" s="130"/>
      <c r="DM184" s="130"/>
      <c r="DN184" s="130"/>
      <c r="DO184" s="130"/>
      <c r="DP184" s="130"/>
      <c r="DQ184" s="130"/>
      <c r="DR184" s="130"/>
      <c r="DS184" s="130"/>
      <c r="DT184" s="130"/>
      <c r="DU184" s="130"/>
      <c r="DV184" s="130"/>
      <c r="DW184" s="130"/>
      <c r="DX184" s="130"/>
      <c r="DY184" s="130"/>
      <c r="DZ184" s="130"/>
      <c r="EA184" s="130"/>
      <c r="EB184" s="130"/>
      <c r="EC184" s="130"/>
      <c r="ED184" s="130"/>
      <c r="EE184" s="130"/>
      <c r="EF184" s="130"/>
      <c r="EG184" s="130"/>
      <c r="EH184" s="130"/>
      <c r="EI184" s="130"/>
      <c r="EJ184" s="130"/>
      <c r="EK184" s="130"/>
      <c r="EL184" s="130"/>
      <c r="EM184" s="130"/>
      <c r="EN184" s="130"/>
      <c r="EO184" s="130"/>
      <c r="EP184" s="130"/>
      <c r="EQ184" s="130"/>
      <c r="ER184" s="130"/>
      <c r="ES184" s="130"/>
      <c r="ET184" s="130"/>
      <c r="EU184" s="130"/>
      <c r="EV184" s="130"/>
      <c r="EW184" s="130"/>
      <c r="EX184" s="130"/>
      <c r="EY184" s="130"/>
      <c r="EZ184" s="130"/>
      <c r="FA184" s="130"/>
      <c r="FB184" s="203">
        <v>46031</v>
      </c>
      <c r="FC184" s="203">
        <v>46031</v>
      </c>
      <c r="FD184" s="203">
        <v>46034</v>
      </c>
      <c r="FE184" s="203">
        <v>46034</v>
      </c>
      <c r="FF184" s="203">
        <v>46034</v>
      </c>
      <c r="FG184" s="203">
        <v>46035</v>
      </c>
      <c r="FH184" s="203">
        <v>46036</v>
      </c>
      <c r="FI184" s="203">
        <v>46037</v>
      </c>
      <c r="FJ184" s="203">
        <v>46038</v>
      </c>
      <c r="FK184" s="203">
        <v>46041</v>
      </c>
      <c r="FL184" s="203">
        <v>46042</v>
      </c>
      <c r="FM184" s="203">
        <v>46042</v>
      </c>
      <c r="FN184" s="203">
        <v>46043</v>
      </c>
      <c r="FO184" s="203">
        <v>46044</v>
      </c>
      <c r="FP184" s="203">
        <v>46045</v>
      </c>
      <c r="FQ184" s="203">
        <v>46048</v>
      </c>
      <c r="FR184" s="203">
        <v>46048</v>
      </c>
      <c r="FS184" s="203">
        <v>46049</v>
      </c>
      <c r="FT184" s="203">
        <v>46049</v>
      </c>
      <c r="FU184" s="203"/>
      <c r="FV184" s="203"/>
      <c r="FW184" s="203"/>
      <c r="FX184" s="203"/>
      <c r="FY184" s="203">
        <v>46050</v>
      </c>
      <c r="FZ184" s="203">
        <v>46051</v>
      </c>
      <c r="GA184" s="203">
        <v>46051</v>
      </c>
      <c r="GB184" s="203">
        <v>46052</v>
      </c>
      <c r="GC184" s="203">
        <v>46055</v>
      </c>
      <c r="GD184" s="203">
        <v>46056</v>
      </c>
      <c r="GE184" s="203">
        <v>46057</v>
      </c>
      <c r="GF184" s="203">
        <v>46080</v>
      </c>
      <c r="GG184" s="203">
        <v>35</v>
      </c>
      <c r="GH184" s="203">
        <v>46090</v>
      </c>
      <c r="GI184" s="203">
        <v>46092</v>
      </c>
      <c r="GJ184" s="203">
        <v>46100</v>
      </c>
      <c r="GK184" s="203">
        <v>46101</v>
      </c>
      <c r="GL184" s="203">
        <v>46104</v>
      </c>
      <c r="GM184" s="203">
        <v>46106</v>
      </c>
      <c r="GN184" s="203">
        <v>46107</v>
      </c>
      <c r="GO184" s="203">
        <v>46107</v>
      </c>
      <c r="GP184" s="203">
        <v>46112</v>
      </c>
      <c r="GQ184" s="203">
        <v>46115</v>
      </c>
      <c r="GR184" s="187"/>
      <c r="GS184" s="187" t="s">
        <v>1181</v>
      </c>
      <c r="GT184" s="187" t="s">
        <v>1169</v>
      </c>
      <c r="GU184" s="187" t="s">
        <v>904</v>
      </c>
      <c r="GV184" s="187" t="s">
        <v>1161</v>
      </c>
    </row>
    <row r="185" spans="1:204" s="68" customFormat="1" ht="14.45" customHeight="1" x14ac:dyDescent="0.25">
      <c r="A185" s="68" t="s">
        <v>695</v>
      </c>
      <c r="B185" s="82" t="s">
        <v>154</v>
      </c>
      <c r="C185" s="82" t="s">
        <v>172</v>
      </c>
      <c r="D185" s="95" t="s">
        <v>196</v>
      </c>
      <c r="E185" s="82" t="s">
        <v>309</v>
      </c>
      <c r="F185" s="82" t="s">
        <v>549</v>
      </c>
      <c r="G185" s="82" t="s">
        <v>137</v>
      </c>
      <c r="H185" s="82" t="s">
        <v>137</v>
      </c>
      <c r="I185" s="82" t="s">
        <v>66</v>
      </c>
      <c r="J185" s="82" t="s">
        <v>531</v>
      </c>
      <c r="K185" s="92" t="s">
        <v>137</v>
      </c>
      <c r="L185" s="92" t="s">
        <v>137</v>
      </c>
      <c r="M185" s="92" t="s">
        <v>137</v>
      </c>
      <c r="N185" s="92" t="s">
        <v>137</v>
      </c>
      <c r="O185" s="92" t="s">
        <v>137</v>
      </c>
      <c r="P185" s="92" t="s">
        <v>137</v>
      </c>
      <c r="Q185" s="82" t="s">
        <v>552</v>
      </c>
      <c r="R185" s="82" t="s">
        <v>715</v>
      </c>
      <c r="S185" s="82" t="s">
        <v>555</v>
      </c>
      <c r="T185" s="82" t="s">
        <v>320</v>
      </c>
      <c r="U185" s="83">
        <v>0.95</v>
      </c>
      <c r="V185" s="83">
        <v>0.95</v>
      </c>
      <c r="W185" s="83">
        <v>0.95</v>
      </c>
      <c r="X185" s="83">
        <v>0.95</v>
      </c>
      <c r="Y185" s="83">
        <v>0.95</v>
      </c>
      <c r="Z185" s="83">
        <v>0.95</v>
      </c>
      <c r="AA185" s="83">
        <v>0.95</v>
      </c>
      <c r="AB185" s="83">
        <v>0.95</v>
      </c>
      <c r="AC185" s="83">
        <v>0.95</v>
      </c>
      <c r="AD185" s="83">
        <v>0.95</v>
      </c>
      <c r="AE185" s="83">
        <v>0.95</v>
      </c>
      <c r="AF185" s="83">
        <v>0.95</v>
      </c>
      <c r="AG185" s="82" t="s">
        <v>533</v>
      </c>
      <c r="AH185" s="82" t="s">
        <v>529</v>
      </c>
      <c r="AI185" s="88" t="s">
        <v>538</v>
      </c>
      <c r="AJ185" s="89" t="s">
        <v>538</v>
      </c>
      <c r="AK185" s="90">
        <v>46023</v>
      </c>
      <c r="AL185" s="90">
        <v>46387</v>
      </c>
      <c r="AM185" s="89"/>
      <c r="AN185" s="89"/>
      <c r="AO185" s="89"/>
      <c r="AP185" s="91" t="s">
        <v>542</v>
      </c>
      <c r="AQ185" s="90" cm="1">
        <f t="array" ref="AQ185">IFERROR(DATE(2026, _xlfn.AGGREGATE(15, 6, (COLUMN(BY185:CJ185)-COLUMN(BY185)+1)/(BY185:CJ185&lt;&gt;0), 1), 1),"N/A")</f>
        <v>46143</v>
      </c>
      <c r="AR185" s="90" cm="1">
        <f t="array" ref="AR185">IFERROR(EOMONTH(DATE(2026, _xlfn.AGGREGATE(14, 6, (COLUMN(BY185:CJ185)-COLUMN(BY185)+1)/(BY185:CJ185&lt;&gt;0), 1), 1), 0),"N/A")</f>
        <v>46387</v>
      </c>
      <c r="AS185" s="89"/>
      <c r="AT185" s="89"/>
      <c r="AU185" s="89"/>
      <c r="AV185" s="89"/>
      <c r="AW185" s="89"/>
      <c r="AX185" s="89"/>
      <c r="AY185" s="89"/>
      <c r="AZ185" s="89"/>
      <c r="BA185" s="89"/>
      <c r="BB185" s="89"/>
      <c r="BC185" s="89"/>
      <c r="BD185" s="89"/>
      <c r="BE185" s="82" t="s">
        <v>788</v>
      </c>
      <c r="BF185" s="82" t="s">
        <v>1036</v>
      </c>
      <c r="BG185" s="82" t="str">
        <f t="shared" si="12"/>
        <v>001</v>
      </c>
      <c r="BH185" s="88">
        <v>630207</v>
      </c>
      <c r="BI185" s="92" t="s">
        <v>74</v>
      </c>
      <c r="BJ185" s="93">
        <v>33500</v>
      </c>
      <c r="BK185" s="74">
        <v>0</v>
      </c>
      <c r="BL185" s="74">
        <v>0</v>
      </c>
      <c r="BM185" s="74">
        <v>0</v>
      </c>
      <c r="BN185" s="74">
        <v>0</v>
      </c>
      <c r="BO185" s="94">
        <v>7500</v>
      </c>
      <c r="BP185" s="74">
        <v>0</v>
      </c>
      <c r="BQ185" s="74">
        <v>0</v>
      </c>
      <c r="BR185" s="94">
        <v>7500</v>
      </c>
      <c r="BS185" s="74">
        <v>0</v>
      </c>
      <c r="BT185" s="74">
        <v>0</v>
      </c>
      <c r="BU185" s="74">
        <v>0</v>
      </c>
      <c r="BV185" s="142">
        <v>18500</v>
      </c>
      <c r="BW185" s="142"/>
      <c r="BX185" s="143">
        <f t="shared" si="17"/>
        <v>33500</v>
      </c>
      <c r="BY185" s="74">
        <v>0</v>
      </c>
      <c r="BZ185" s="74">
        <v>0</v>
      </c>
      <c r="CA185" s="74">
        <v>0</v>
      </c>
      <c r="CB185" s="74">
        <v>0</v>
      </c>
      <c r="CC185" s="94">
        <v>7500</v>
      </c>
      <c r="CD185" s="74">
        <v>0</v>
      </c>
      <c r="CE185" s="74">
        <v>0</v>
      </c>
      <c r="CF185" s="94">
        <v>7500</v>
      </c>
      <c r="CG185" s="74">
        <v>0</v>
      </c>
      <c r="CH185" s="74">
        <v>0</v>
      </c>
      <c r="CI185" s="74">
        <v>0</v>
      </c>
      <c r="CJ185" s="142">
        <v>18500</v>
      </c>
      <c r="CK185" s="142"/>
      <c r="CL185" s="142">
        <f t="shared" si="13"/>
        <v>0</v>
      </c>
      <c r="CM185" s="171">
        <v>0</v>
      </c>
      <c r="CN185" s="171">
        <v>0</v>
      </c>
      <c r="CO185" s="171">
        <v>0</v>
      </c>
      <c r="CP185" s="171">
        <v>0</v>
      </c>
      <c r="CQ185" s="171">
        <v>0</v>
      </c>
      <c r="CR185" s="171">
        <v>0</v>
      </c>
      <c r="CS185" s="171">
        <f t="shared" si="14"/>
        <v>0</v>
      </c>
      <c r="CT185" s="171">
        <f t="shared" si="15"/>
        <v>0</v>
      </c>
      <c r="CU185" s="171">
        <f t="shared" si="16"/>
        <v>0</v>
      </c>
      <c r="CV185" s="149"/>
      <c r="CW185" s="149"/>
      <c r="CX185" s="130"/>
      <c r="CY185" s="130"/>
      <c r="CZ185" s="130"/>
      <c r="DA185" s="130"/>
      <c r="DB185" s="130"/>
      <c r="DC185" s="130"/>
      <c r="DD185" s="130"/>
      <c r="DE185" s="130"/>
      <c r="DF185" s="130"/>
      <c r="DG185" s="130"/>
      <c r="DH185" s="130"/>
      <c r="DI185" s="130"/>
      <c r="DJ185" s="130"/>
      <c r="DK185" s="130"/>
      <c r="DL185" s="130"/>
      <c r="DM185" s="130"/>
      <c r="DN185" s="130"/>
      <c r="DO185" s="130"/>
      <c r="DP185" s="130"/>
      <c r="DQ185" s="130"/>
      <c r="DR185" s="130"/>
      <c r="DS185" s="130"/>
      <c r="DT185" s="130"/>
      <c r="DU185" s="130"/>
      <c r="DV185" s="130"/>
      <c r="DW185" s="130"/>
      <c r="DX185" s="130"/>
      <c r="DY185" s="130"/>
      <c r="DZ185" s="130"/>
      <c r="EA185" s="130"/>
      <c r="EB185" s="130"/>
      <c r="EC185" s="130"/>
      <c r="ED185" s="130"/>
      <c r="EE185" s="130"/>
      <c r="EF185" s="130"/>
      <c r="EG185" s="130"/>
      <c r="EH185" s="130"/>
      <c r="EI185" s="130"/>
      <c r="EJ185" s="130"/>
      <c r="EK185" s="130"/>
      <c r="EL185" s="130"/>
      <c r="EM185" s="130"/>
      <c r="EN185" s="130"/>
      <c r="EO185" s="130"/>
      <c r="EP185" s="130"/>
      <c r="EQ185" s="130"/>
      <c r="ER185" s="130"/>
      <c r="ES185" s="130"/>
      <c r="ET185" s="130"/>
      <c r="EU185" s="130"/>
      <c r="EV185" s="130"/>
      <c r="EW185" s="130"/>
      <c r="EX185" s="130"/>
      <c r="EY185" s="130"/>
      <c r="EZ185" s="130"/>
      <c r="FA185" s="130"/>
      <c r="FB185" s="201"/>
      <c r="FC185" s="201"/>
      <c r="FD185" s="201"/>
      <c r="FE185" s="201"/>
      <c r="FF185" s="201"/>
      <c r="FG185" s="201"/>
      <c r="FH185" s="201"/>
      <c r="FI185" s="201"/>
      <c r="FJ185" s="201"/>
      <c r="FK185" s="201"/>
      <c r="FL185" s="201"/>
      <c r="FM185" s="201"/>
      <c r="FN185" s="201"/>
      <c r="FO185" s="201"/>
      <c r="FP185" s="201"/>
      <c r="FQ185" s="201"/>
      <c r="FR185" s="201"/>
      <c r="FS185" s="201"/>
      <c r="FT185" s="201"/>
      <c r="FU185" s="201"/>
      <c r="FV185" s="201"/>
      <c r="FW185" s="201"/>
      <c r="FX185" s="201"/>
      <c r="FY185" s="201"/>
      <c r="FZ185" s="201"/>
      <c r="GA185" s="201"/>
      <c r="GB185" s="201"/>
      <c r="GC185" s="201"/>
      <c r="GD185" s="201"/>
      <c r="GE185" s="201"/>
      <c r="GF185" s="201"/>
      <c r="GG185" s="201"/>
      <c r="GH185" s="201"/>
      <c r="GI185" s="201"/>
      <c r="GJ185" s="201"/>
      <c r="GK185" s="201"/>
      <c r="GL185" s="201"/>
      <c r="GM185" s="201"/>
      <c r="GN185" s="201"/>
      <c r="GO185" s="201"/>
      <c r="GP185" s="201"/>
      <c r="GQ185" s="201"/>
    </row>
    <row r="186" spans="1:204" s="68" customFormat="1" ht="14.45" customHeight="1" x14ac:dyDescent="0.25">
      <c r="A186" s="68" t="s">
        <v>692</v>
      </c>
      <c r="B186" s="82" t="s">
        <v>154</v>
      </c>
      <c r="C186" s="82" t="s">
        <v>172</v>
      </c>
      <c r="D186" s="82" t="s">
        <v>196</v>
      </c>
      <c r="E186" s="82" t="s">
        <v>309</v>
      </c>
      <c r="F186" s="82" t="s">
        <v>549</v>
      </c>
      <c r="G186" s="82" t="s">
        <v>137</v>
      </c>
      <c r="H186" s="82" t="s">
        <v>137</v>
      </c>
      <c r="I186" s="82" t="s">
        <v>66</v>
      </c>
      <c r="J186" s="82" t="s">
        <v>29</v>
      </c>
      <c r="K186" s="92" t="s">
        <v>137</v>
      </c>
      <c r="L186" s="92" t="s">
        <v>137</v>
      </c>
      <c r="M186" s="92" t="s">
        <v>137</v>
      </c>
      <c r="N186" s="92" t="s">
        <v>137</v>
      </c>
      <c r="O186" s="92" t="s">
        <v>137</v>
      </c>
      <c r="P186" s="92" t="s">
        <v>137</v>
      </c>
      <c r="Q186" s="82" t="s">
        <v>87</v>
      </c>
      <c r="R186" s="82" t="s">
        <v>714</v>
      </c>
      <c r="S186" s="82" t="s">
        <v>40</v>
      </c>
      <c r="T186" s="82" t="s">
        <v>2</v>
      </c>
      <c r="U186" s="83"/>
      <c r="V186" s="83">
        <v>0.05</v>
      </c>
      <c r="W186" s="83">
        <v>0.08</v>
      </c>
      <c r="X186" s="83">
        <v>0.15</v>
      </c>
      <c r="Y186" s="83">
        <v>0.2</v>
      </c>
      <c r="Z186" s="83">
        <v>0.25</v>
      </c>
      <c r="AA186" s="83">
        <v>0.37</v>
      </c>
      <c r="AB186" s="83">
        <v>0.42</v>
      </c>
      <c r="AC186" s="83">
        <v>0.57999999999999996</v>
      </c>
      <c r="AD186" s="83">
        <v>0.67</v>
      </c>
      <c r="AE186" s="83">
        <v>0.83</v>
      </c>
      <c r="AF186" s="83">
        <v>1</v>
      </c>
      <c r="AG186" s="82" t="s">
        <v>778</v>
      </c>
      <c r="AH186" s="82" t="s">
        <v>530</v>
      </c>
      <c r="AI186" s="88" t="s">
        <v>538</v>
      </c>
      <c r="AJ186" s="89" t="s">
        <v>538</v>
      </c>
      <c r="AK186" s="90">
        <v>46023</v>
      </c>
      <c r="AL186" s="90">
        <v>46387</v>
      </c>
      <c r="AM186" s="89"/>
      <c r="AN186" s="89"/>
      <c r="AO186" s="89"/>
      <c r="AP186" s="91" t="s">
        <v>539</v>
      </c>
      <c r="AQ186" s="90" cm="1">
        <f t="array" ref="AQ186">IFERROR(DATE(2026, _xlfn.AGGREGATE(15, 6, (COLUMN(BY186:CJ186)-COLUMN(BY186)+1)/(BY186:CJ186&lt;&gt;0), 1), 1),"N/A")</f>
        <v>46023</v>
      </c>
      <c r="AR186" s="90" cm="1">
        <f t="array" ref="AR186">IFERROR(EOMONTH(DATE(2026, _xlfn.AGGREGATE(14, 6, (COLUMN(BY186:CJ186)-COLUMN(BY186)+1)/(BY186:CJ186&lt;&gt;0), 1), 1), 0),"N/A")</f>
        <v>46203</v>
      </c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2" t="s">
        <v>679</v>
      </c>
      <c r="BF186" s="82" t="s">
        <v>746</v>
      </c>
      <c r="BG186" s="82" t="str">
        <f t="shared" si="12"/>
        <v>000</v>
      </c>
      <c r="BH186" s="88">
        <v>530208</v>
      </c>
      <c r="BI186" s="92" t="s">
        <v>74</v>
      </c>
      <c r="BJ186" s="93">
        <v>96030</v>
      </c>
      <c r="BK186" s="94">
        <v>16005</v>
      </c>
      <c r="BL186" s="94">
        <v>16005</v>
      </c>
      <c r="BM186" s="94">
        <v>16005</v>
      </c>
      <c r="BN186" s="94">
        <v>16005</v>
      </c>
      <c r="BO186" s="94">
        <v>16005</v>
      </c>
      <c r="BP186" s="94">
        <v>16005</v>
      </c>
      <c r="BQ186" s="94"/>
      <c r="BR186" s="94"/>
      <c r="BS186" s="94"/>
      <c r="BT186" s="94"/>
      <c r="BU186" s="94"/>
      <c r="BV186" s="142"/>
      <c r="BW186" s="142"/>
      <c r="BX186" s="143">
        <f t="shared" si="17"/>
        <v>96030</v>
      </c>
      <c r="BY186" s="94">
        <v>12830</v>
      </c>
      <c r="BZ186" s="94">
        <v>12830</v>
      </c>
      <c r="CA186" s="94">
        <v>12830</v>
      </c>
      <c r="CB186" s="94">
        <v>12830</v>
      </c>
      <c r="CC186" s="94">
        <v>12830</v>
      </c>
      <c r="CD186" s="94">
        <v>12830</v>
      </c>
      <c r="CE186" s="94"/>
      <c r="CF186" s="94"/>
      <c r="CG186" s="94"/>
      <c r="CH186" s="94"/>
      <c r="CI186" s="94"/>
      <c r="CJ186" s="142"/>
      <c r="CK186" s="142">
        <v>19050</v>
      </c>
      <c r="CL186" s="142">
        <f t="shared" si="13"/>
        <v>0</v>
      </c>
      <c r="CM186" s="171">
        <v>0</v>
      </c>
      <c r="CN186" s="171">
        <v>0</v>
      </c>
      <c r="CO186" s="171">
        <v>76980</v>
      </c>
      <c r="CP186" s="171">
        <v>0</v>
      </c>
      <c r="CQ186" s="171">
        <v>0</v>
      </c>
      <c r="CR186" s="171">
        <v>0</v>
      </c>
      <c r="CS186" s="171">
        <f t="shared" si="14"/>
        <v>0</v>
      </c>
      <c r="CT186" s="171">
        <f t="shared" si="15"/>
        <v>0</v>
      </c>
      <c r="CU186" s="171">
        <f t="shared" si="16"/>
        <v>76980</v>
      </c>
      <c r="CV186" s="149"/>
      <c r="CW186" s="149"/>
      <c r="CX186" s="130"/>
      <c r="CY186" s="130"/>
      <c r="CZ186" s="130"/>
      <c r="DA186" s="130"/>
      <c r="DB186" s="130"/>
      <c r="DC186" s="130"/>
      <c r="DD186" s="130" t="s">
        <v>901</v>
      </c>
      <c r="DE186" s="130"/>
      <c r="DF186" s="130"/>
      <c r="DG186" s="130"/>
      <c r="DH186" s="130"/>
      <c r="DI186" s="130"/>
      <c r="DJ186" s="130"/>
      <c r="DK186" s="130"/>
      <c r="DL186" s="130"/>
      <c r="DM186" s="130"/>
      <c r="DN186" s="130"/>
      <c r="DO186" s="130"/>
      <c r="DP186" s="130"/>
      <c r="DQ186" s="130"/>
      <c r="DR186" s="130"/>
      <c r="DS186" s="130"/>
      <c r="DT186" s="130"/>
      <c r="DU186" s="130"/>
      <c r="DV186" s="130"/>
      <c r="DW186" s="130"/>
      <c r="DX186" s="130"/>
      <c r="DY186" s="130"/>
      <c r="DZ186" s="130"/>
      <c r="EA186" s="130"/>
      <c r="EB186" s="130"/>
      <c r="EC186" s="130"/>
      <c r="ED186" s="130"/>
      <c r="EE186" s="130"/>
      <c r="EF186" s="130"/>
      <c r="EG186" s="130"/>
      <c r="EH186" s="130"/>
      <c r="EI186" s="130"/>
      <c r="EJ186" s="130"/>
      <c r="EK186" s="130"/>
      <c r="EL186" s="130"/>
      <c r="EM186" s="130"/>
      <c r="EN186" s="130"/>
      <c r="EO186" s="130"/>
      <c r="EP186" s="130"/>
      <c r="EQ186" s="130"/>
      <c r="ER186" s="130"/>
      <c r="ES186" s="130"/>
      <c r="ET186" s="130"/>
      <c r="EU186" s="130"/>
      <c r="EV186" s="130"/>
      <c r="EW186" s="130"/>
      <c r="EX186" s="130"/>
      <c r="EY186" s="130"/>
      <c r="EZ186" s="130"/>
      <c r="FA186" s="130"/>
      <c r="FB186" s="201"/>
      <c r="FC186" s="201"/>
      <c r="FD186" s="201"/>
      <c r="FE186" s="201"/>
      <c r="FF186" s="201"/>
      <c r="FG186" s="201"/>
      <c r="FH186" s="201"/>
      <c r="FI186" s="201"/>
      <c r="FJ186" s="201"/>
      <c r="FK186" s="201"/>
      <c r="FL186" s="201"/>
      <c r="FM186" s="201"/>
      <c r="FN186" s="201"/>
      <c r="FO186" s="201"/>
      <c r="FP186" s="201"/>
      <c r="FQ186" s="201"/>
      <c r="FR186" s="201"/>
      <c r="FS186" s="201"/>
      <c r="FT186" s="201"/>
      <c r="FU186" s="201"/>
      <c r="FV186" s="201"/>
      <c r="FW186" s="201"/>
      <c r="FX186" s="201"/>
      <c r="FY186" s="201"/>
      <c r="FZ186" s="201"/>
      <c r="GA186" s="201"/>
      <c r="GB186" s="201"/>
      <c r="GC186" s="201"/>
      <c r="GD186" s="201"/>
      <c r="GE186" s="201"/>
      <c r="GF186" s="201"/>
      <c r="GG186" s="201"/>
      <c r="GH186" s="201"/>
      <c r="GI186" s="201"/>
      <c r="GJ186" s="201"/>
      <c r="GK186" s="201"/>
      <c r="GL186" s="201"/>
      <c r="GM186" s="201"/>
      <c r="GN186" s="201"/>
      <c r="GO186" s="201"/>
      <c r="GP186" s="201"/>
      <c r="GQ186" s="201"/>
    </row>
    <row r="187" spans="1:204" s="68" customFormat="1" ht="14.45" customHeight="1" x14ac:dyDescent="0.25">
      <c r="A187" s="68" t="s">
        <v>692</v>
      </c>
      <c r="B187" s="82" t="s">
        <v>154</v>
      </c>
      <c r="C187" s="82" t="s">
        <v>172</v>
      </c>
      <c r="D187" s="95" t="s">
        <v>196</v>
      </c>
      <c r="E187" s="82" t="s">
        <v>309</v>
      </c>
      <c r="F187" s="82" t="s">
        <v>549</v>
      </c>
      <c r="G187" s="82" t="s">
        <v>137</v>
      </c>
      <c r="H187" s="82" t="s">
        <v>137</v>
      </c>
      <c r="I187" s="82" t="s">
        <v>66</v>
      </c>
      <c r="J187" s="82" t="s">
        <v>29</v>
      </c>
      <c r="K187" s="92" t="s">
        <v>137</v>
      </c>
      <c r="L187" s="92" t="s">
        <v>137</v>
      </c>
      <c r="M187" s="92" t="s">
        <v>137</v>
      </c>
      <c r="N187" s="92" t="s">
        <v>137</v>
      </c>
      <c r="O187" s="92" t="s">
        <v>137</v>
      </c>
      <c r="P187" s="92" t="s">
        <v>137</v>
      </c>
      <c r="Q187" s="82" t="s">
        <v>87</v>
      </c>
      <c r="R187" s="82" t="s">
        <v>714</v>
      </c>
      <c r="S187" s="82" t="s">
        <v>40</v>
      </c>
      <c r="T187" s="82" t="s">
        <v>2</v>
      </c>
      <c r="U187" s="83"/>
      <c r="V187" s="83">
        <v>0.05</v>
      </c>
      <c r="W187" s="83">
        <v>0.08</v>
      </c>
      <c r="X187" s="83">
        <v>0.15</v>
      </c>
      <c r="Y187" s="83">
        <v>0.2</v>
      </c>
      <c r="Z187" s="83">
        <v>0.25</v>
      </c>
      <c r="AA187" s="83">
        <v>0.37</v>
      </c>
      <c r="AB187" s="83">
        <v>0.42</v>
      </c>
      <c r="AC187" s="83">
        <v>0.57999999999999996</v>
      </c>
      <c r="AD187" s="83">
        <v>0.67</v>
      </c>
      <c r="AE187" s="83">
        <v>0.83</v>
      </c>
      <c r="AF187" s="83">
        <v>1</v>
      </c>
      <c r="AG187" s="82" t="s">
        <v>532</v>
      </c>
      <c r="AH187" s="82" t="s">
        <v>529</v>
      </c>
      <c r="AI187" s="88" t="s">
        <v>538</v>
      </c>
      <c r="AJ187" s="89" t="s">
        <v>538</v>
      </c>
      <c r="AK187" s="90">
        <v>46023</v>
      </c>
      <c r="AL187" s="90">
        <v>46387</v>
      </c>
      <c r="AM187" s="89"/>
      <c r="AN187" s="89"/>
      <c r="AO187" s="89"/>
      <c r="AP187" s="91" t="s">
        <v>539</v>
      </c>
      <c r="AQ187" s="90" cm="1">
        <f t="array" ref="AQ187">IFERROR(DATE(2026, _xlfn.AGGREGATE(15, 6, (COLUMN(BY187:CJ187)-COLUMN(BY187)+1)/(BY187:CJ187&lt;&gt;0), 1), 1),"N/A")</f>
        <v>46204</v>
      </c>
      <c r="AR187" s="90" cm="1">
        <f t="array" ref="AR187">IFERROR(EOMONTH(DATE(2026, _xlfn.AGGREGATE(14, 6, (COLUMN(BY187:CJ187)-COLUMN(BY187)+1)/(BY187:CJ187&lt;&gt;0), 1), 1), 0),"N/A")</f>
        <v>46387</v>
      </c>
      <c r="AS187" s="89"/>
      <c r="AT187" s="89"/>
      <c r="AU187" s="89"/>
      <c r="AV187" s="89"/>
      <c r="AW187" s="89"/>
      <c r="AX187" s="89"/>
      <c r="AY187" s="89"/>
      <c r="AZ187" s="89"/>
      <c r="BA187" s="89"/>
      <c r="BB187" s="89"/>
      <c r="BC187" s="89"/>
      <c r="BD187" s="89"/>
      <c r="BE187" s="82" t="s">
        <v>708</v>
      </c>
      <c r="BF187" s="82" t="s">
        <v>998</v>
      </c>
      <c r="BG187" s="82" t="str">
        <f t="shared" si="12"/>
        <v>000</v>
      </c>
      <c r="BH187" s="88">
        <v>530208</v>
      </c>
      <c r="BI187" s="92" t="s">
        <v>74</v>
      </c>
      <c r="BJ187" s="93">
        <v>76980</v>
      </c>
      <c r="BK187" s="74"/>
      <c r="BL187" s="74"/>
      <c r="BM187" s="74"/>
      <c r="BN187" s="74"/>
      <c r="BO187" s="74"/>
      <c r="BP187" s="94"/>
      <c r="BQ187" s="74">
        <v>12830</v>
      </c>
      <c r="BR187" s="74">
        <v>12830</v>
      </c>
      <c r="BS187" s="74">
        <v>12830</v>
      </c>
      <c r="BT187" s="74">
        <v>12830</v>
      </c>
      <c r="BU187" s="74">
        <v>12830</v>
      </c>
      <c r="BV187" s="143">
        <v>12830</v>
      </c>
      <c r="BW187" s="143"/>
      <c r="BX187" s="143">
        <f t="shared" si="17"/>
        <v>76980</v>
      </c>
      <c r="BY187" s="74"/>
      <c r="BZ187" s="74"/>
      <c r="CA187" s="74"/>
      <c r="CB187" s="74"/>
      <c r="CC187" s="74"/>
      <c r="CD187" s="94"/>
      <c r="CE187" s="74">
        <v>12830</v>
      </c>
      <c r="CF187" s="74">
        <v>12830</v>
      </c>
      <c r="CG187" s="74">
        <v>12830</v>
      </c>
      <c r="CH187" s="74">
        <v>12830</v>
      </c>
      <c r="CI187" s="74">
        <v>12830</v>
      </c>
      <c r="CJ187" s="143">
        <v>12830</v>
      </c>
      <c r="CK187" s="143"/>
      <c r="CL187" s="142">
        <f t="shared" si="13"/>
        <v>0</v>
      </c>
      <c r="CM187" s="171">
        <v>0</v>
      </c>
      <c r="CN187" s="171">
        <v>0</v>
      </c>
      <c r="CO187" s="171">
        <v>0</v>
      </c>
      <c r="CP187" s="171">
        <v>0</v>
      </c>
      <c r="CQ187" s="171">
        <v>0</v>
      </c>
      <c r="CR187" s="171">
        <v>0</v>
      </c>
      <c r="CS187" s="171">
        <f t="shared" si="14"/>
        <v>0</v>
      </c>
      <c r="CT187" s="171">
        <f t="shared" si="15"/>
        <v>0</v>
      </c>
      <c r="CU187" s="171">
        <f t="shared" si="16"/>
        <v>0</v>
      </c>
      <c r="CV187" s="152">
        <v>201453</v>
      </c>
      <c r="CW187" s="149">
        <v>201453</v>
      </c>
      <c r="CX187" s="130">
        <v>2</v>
      </c>
      <c r="CY187" s="130">
        <v>2</v>
      </c>
      <c r="CZ187" s="130" t="s">
        <v>322</v>
      </c>
      <c r="DA187" s="130" t="s">
        <v>865</v>
      </c>
      <c r="DB187" s="130" t="s">
        <v>850</v>
      </c>
      <c r="DC187" s="130" t="s">
        <v>851</v>
      </c>
      <c r="DD187" s="130"/>
      <c r="DE187" s="131">
        <v>46118</v>
      </c>
      <c r="DF187" s="131">
        <v>46118</v>
      </c>
      <c r="DG187" s="132">
        <v>1</v>
      </c>
      <c r="DH187" s="131">
        <v>46119</v>
      </c>
      <c r="DI187" s="131">
        <v>46119</v>
      </c>
      <c r="DJ187" s="131">
        <v>46119</v>
      </c>
      <c r="DK187" s="131">
        <v>46120</v>
      </c>
      <c r="DL187" s="131">
        <v>46121</v>
      </c>
      <c r="DM187" s="131">
        <v>46122</v>
      </c>
      <c r="DN187" s="131">
        <v>46125</v>
      </c>
      <c r="DO187" s="131">
        <v>46126</v>
      </c>
      <c r="DP187" s="131">
        <v>46127</v>
      </c>
      <c r="DQ187" s="131">
        <v>46127</v>
      </c>
      <c r="DR187" s="132">
        <v>1</v>
      </c>
      <c r="DS187" s="131">
        <v>46128</v>
      </c>
      <c r="DT187" s="131">
        <v>46129</v>
      </c>
      <c r="DU187" s="131">
        <v>46132</v>
      </c>
      <c r="DV187" s="131">
        <v>46133</v>
      </c>
      <c r="DW187" s="131">
        <v>46133</v>
      </c>
      <c r="DX187" s="131">
        <v>46134</v>
      </c>
      <c r="DY187" s="131">
        <v>46134</v>
      </c>
      <c r="DZ187" s="132"/>
      <c r="EA187" s="132"/>
      <c r="EB187" s="132"/>
      <c r="EC187" s="132"/>
      <c r="ED187" s="131">
        <v>46135</v>
      </c>
      <c r="EE187" s="131">
        <v>46136</v>
      </c>
      <c r="EF187" s="131">
        <v>46136</v>
      </c>
      <c r="EG187" s="131">
        <v>46139</v>
      </c>
      <c r="EH187" s="131">
        <v>46140</v>
      </c>
      <c r="EI187" s="131">
        <v>46141</v>
      </c>
      <c r="EJ187" s="131">
        <v>46142</v>
      </c>
      <c r="EK187" s="131">
        <v>46142</v>
      </c>
      <c r="EL187" s="132">
        <v>18</v>
      </c>
      <c r="EM187" s="133"/>
      <c r="EN187" s="133"/>
      <c r="EO187" s="133"/>
      <c r="EP187" s="133"/>
      <c r="EQ187" s="133"/>
      <c r="ER187" s="133"/>
      <c r="ES187" s="133"/>
      <c r="ET187" s="133"/>
      <c r="EU187" s="133">
        <v>46146</v>
      </c>
      <c r="EV187" s="134">
        <v>2</v>
      </c>
      <c r="EW187" s="133"/>
      <c r="EX187" s="133"/>
      <c r="EY187" s="154" t="s">
        <v>866</v>
      </c>
      <c r="EZ187" s="132" t="s">
        <v>857</v>
      </c>
      <c r="FA187" s="136"/>
      <c r="FB187" s="203">
        <v>46118</v>
      </c>
      <c r="FC187" s="203">
        <v>46118</v>
      </c>
      <c r="FD187" s="203">
        <v>46119</v>
      </c>
      <c r="FE187" s="203">
        <v>46119</v>
      </c>
      <c r="FF187" s="203">
        <v>46119</v>
      </c>
      <c r="FG187" s="203">
        <v>46120</v>
      </c>
      <c r="FH187" s="203">
        <v>46121</v>
      </c>
      <c r="FI187" s="203">
        <v>46122</v>
      </c>
      <c r="FJ187" s="203">
        <v>46125</v>
      </c>
      <c r="FK187" s="203">
        <v>46126</v>
      </c>
      <c r="FL187" s="203">
        <v>46127</v>
      </c>
      <c r="FM187" s="203">
        <v>46127</v>
      </c>
      <c r="FN187" s="203">
        <v>46128</v>
      </c>
      <c r="FO187" s="203">
        <v>46129</v>
      </c>
      <c r="FP187" s="203">
        <v>46132</v>
      </c>
      <c r="FQ187" s="203">
        <v>46133</v>
      </c>
      <c r="FR187" s="203">
        <v>46133</v>
      </c>
      <c r="FS187" s="203">
        <v>46134</v>
      </c>
      <c r="FT187" s="203">
        <v>46134</v>
      </c>
      <c r="FU187" s="203"/>
      <c r="FV187" s="203"/>
      <c r="FW187" s="203"/>
      <c r="FX187" s="203"/>
      <c r="FY187" s="203">
        <v>46135</v>
      </c>
      <c r="FZ187" s="203">
        <v>46136</v>
      </c>
      <c r="GA187" s="203">
        <v>46136</v>
      </c>
      <c r="GB187" s="203">
        <v>46139</v>
      </c>
      <c r="GC187" s="203">
        <v>46140</v>
      </c>
      <c r="GD187" s="203">
        <v>46141</v>
      </c>
      <c r="GE187" s="203">
        <v>46142</v>
      </c>
      <c r="GF187" s="203">
        <v>46142</v>
      </c>
      <c r="GG187" s="203">
        <v>18</v>
      </c>
      <c r="GH187" s="203"/>
      <c r="GI187" s="203"/>
      <c r="GJ187" s="203"/>
      <c r="GK187" s="203"/>
      <c r="GL187" s="203"/>
      <c r="GM187" s="203"/>
      <c r="GN187" s="203"/>
      <c r="GO187" s="203"/>
      <c r="GP187" s="203">
        <v>46147</v>
      </c>
      <c r="GQ187" s="203">
        <v>46147</v>
      </c>
      <c r="GR187" s="187"/>
      <c r="GS187" s="187" t="s">
        <v>1180</v>
      </c>
      <c r="GT187" s="187" t="s">
        <v>866</v>
      </c>
      <c r="GU187" s="187" t="s">
        <v>857</v>
      </c>
      <c r="GV187" s="187"/>
    </row>
    <row r="188" spans="1:204" s="68" customFormat="1" ht="14.45" customHeight="1" x14ac:dyDescent="0.25">
      <c r="A188" s="68" t="s">
        <v>693</v>
      </c>
      <c r="B188" s="82" t="s">
        <v>154</v>
      </c>
      <c r="C188" s="82" t="s">
        <v>172</v>
      </c>
      <c r="D188" s="82" t="s">
        <v>196</v>
      </c>
      <c r="E188" s="82" t="s">
        <v>309</v>
      </c>
      <c r="F188" s="82" t="s">
        <v>549</v>
      </c>
      <c r="G188" s="82" t="s">
        <v>137</v>
      </c>
      <c r="H188" s="82" t="s">
        <v>137</v>
      </c>
      <c r="I188" s="82" t="s">
        <v>66</v>
      </c>
      <c r="J188" s="82" t="s">
        <v>29</v>
      </c>
      <c r="K188" s="92" t="s">
        <v>137</v>
      </c>
      <c r="L188" s="92" t="s">
        <v>137</v>
      </c>
      <c r="M188" s="92" t="s">
        <v>137</v>
      </c>
      <c r="N188" s="92" t="s">
        <v>137</v>
      </c>
      <c r="O188" s="92" t="s">
        <v>137</v>
      </c>
      <c r="P188" s="92" t="s">
        <v>137</v>
      </c>
      <c r="Q188" s="82" t="s">
        <v>87</v>
      </c>
      <c r="R188" s="82" t="s">
        <v>714</v>
      </c>
      <c r="S188" s="82" t="s">
        <v>40</v>
      </c>
      <c r="T188" s="82" t="s">
        <v>2</v>
      </c>
      <c r="U188" s="83"/>
      <c r="V188" s="83">
        <v>0.05</v>
      </c>
      <c r="W188" s="83">
        <v>0.08</v>
      </c>
      <c r="X188" s="83">
        <v>0.15</v>
      </c>
      <c r="Y188" s="83">
        <v>0.2</v>
      </c>
      <c r="Z188" s="83">
        <v>0.25</v>
      </c>
      <c r="AA188" s="83">
        <v>0.37</v>
      </c>
      <c r="AB188" s="83">
        <v>0.42</v>
      </c>
      <c r="AC188" s="83">
        <v>0.57999999999999996</v>
      </c>
      <c r="AD188" s="83">
        <v>0.67</v>
      </c>
      <c r="AE188" s="83">
        <v>0.83</v>
      </c>
      <c r="AF188" s="83">
        <v>1</v>
      </c>
      <c r="AG188" s="82" t="s">
        <v>532</v>
      </c>
      <c r="AH188" s="82" t="s">
        <v>529</v>
      </c>
      <c r="AI188" s="88" t="s">
        <v>538</v>
      </c>
      <c r="AJ188" s="89" t="s">
        <v>538</v>
      </c>
      <c r="AK188" s="90">
        <v>46023</v>
      </c>
      <c r="AL188" s="90">
        <v>46387</v>
      </c>
      <c r="AM188" s="89"/>
      <c r="AN188" s="89"/>
      <c r="AO188" s="89"/>
      <c r="AP188" s="91" t="s">
        <v>539</v>
      </c>
      <c r="AQ188" s="90" cm="1">
        <f t="array" ref="AQ188">IFERROR(DATE(2026, _xlfn.AGGREGATE(15, 6, (COLUMN(BY188:CJ188)-COLUMN(BY188)+1)/(BY188:CJ188&lt;&gt;0), 1), 1),"N/A")</f>
        <v>46174</v>
      </c>
      <c r="AR188" s="90" cm="1">
        <f t="array" ref="AR188">IFERROR(EOMONTH(DATE(2026, _xlfn.AGGREGATE(14, 6, (COLUMN(BY188:CJ188)-COLUMN(BY188)+1)/(BY188:CJ188&lt;&gt;0), 1), 1), 0),"N/A")</f>
        <v>46203</v>
      </c>
      <c r="AS188" s="89"/>
      <c r="AT188" s="89"/>
      <c r="AU188" s="89"/>
      <c r="AV188" s="89"/>
      <c r="AW188" s="89"/>
      <c r="AX188" s="89"/>
      <c r="AY188" s="89"/>
      <c r="AZ188" s="89"/>
      <c r="BA188" s="89"/>
      <c r="BB188" s="89"/>
      <c r="BC188" s="89"/>
      <c r="BD188" s="89"/>
      <c r="BE188" s="82" t="s">
        <v>1106</v>
      </c>
      <c r="BF188" s="82" t="s">
        <v>1107</v>
      </c>
      <c r="BG188" s="82" t="str">
        <f t="shared" si="12"/>
        <v>000</v>
      </c>
      <c r="BH188" s="88">
        <v>530704</v>
      </c>
      <c r="BI188" s="92" t="s">
        <v>74</v>
      </c>
      <c r="BJ188" s="93">
        <v>0</v>
      </c>
      <c r="BK188" s="74"/>
      <c r="BL188" s="74"/>
      <c r="BM188" s="74"/>
      <c r="BN188" s="74"/>
      <c r="BO188" s="74"/>
      <c r="BP188" s="74"/>
      <c r="BQ188" s="74"/>
      <c r="BR188" s="74"/>
      <c r="BS188" s="74"/>
      <c r="BT188" s="74"/>
      <c r="BU188" s="94"/>
      <c r="BV188" s="143"/>
      <c r="BW188" s="143">
        <v>3500</v>
      </c>
      <c r="BX188" s="143">
        <f t="shared" si="17"/>
        <v>3500</v>
      </c>
      <c r="BY188" s="74"/>
      <c r="BZ188" s="74"/>
      <c r="CA188" s="74"/>
      <c r="CB188" s="74"/>
      <c r="CC188" s="74"/>
      <c r="CD188" s="74">
        <v>3500</v>
      </c>
      <c r="CE188" s="74"/>
      <c r="CF188" s="74"/>
      <c r="CG188" s="74"/>
      <c r="CH188" s="74"/>
      <c r="CI188" s="94"/>
      <c r="CJ188" s="143"/>
      <c r="CK188" s="143"/>
      <c r="CL188" s="142">
        <f t="shared" si="13"/>
        <v>0</v>
      </c>
      <c r="CM188" s="171">
        <v>0</v>
      </c>
      <c r="CN188" s="171">
        <v>0</v>
      </c>
      <c r="CO188" s="171">
        <v>0</v>
      </c>
      <c r="CP188" s="171">
        <v>0</v>
      </c>
      <c r="CQ188" s="171">
        <v>0</v>
      </c>
      <c r="CR188" s="171">
        <v>0</v>
      </c>
      <c r="CS188" s="171">
        <f t="shared" si="14"/>
        <v>0</v>
      </c>
      <c r="CT188" s="171">
        <f t="shared" si="15"/>
        <v>0</v>
      </c>
      <c r="CU188" s="171">
        <f t="shared" si="16"/>
        <v>0</v>
      </c>
      <c r="CV188" s="150"/>
      <c r="CW188" s="150"/>
      <c r="CX188" s="130"/>
      <c r="CY188" s="130"/>
      <c r="CZ188" s="130"/>
      <c r="DA188" s="130"/>
      <c r="DB188" s="130"/>
      <c r="DC188" s="130"/>
      <c r="DD188" s="130"/>
      <c r="DE188" s="131"/>
      <c r="DF188" s="131"/>
      <c r="DG188" s="132"/>
      <c r="DH188" s="131"/>
      <c r="DI188" s="131"/>
      <c r="DJ188" s="131"/>
      <c r="DK188" s="131"/>
      <c r="DL188" s="131"/>
      <c r="DM188" s="131"/>
      <c r="DN188" s="131"/>
      <c r="DO188" s="131"/>
      <c r="DP188" s="131"/>
      <c r="DQ188" s="131"/>
      <c r="DR188" s="132"/>
      <c r="DS188" s="131"/>
      <c r="DT188" s="131"/>
      <c r="DU188" s="131"/>
      <c r="DV188" s="131"/>
      <c r="DW188" s="131"/>
      <c r="DX188" s="131"/>
      <c r="DY188" s="131"/>
      <c r="DZ188" s="132"/>
      <c r="EA188" s="132"/>
      <c r="EB188" s="132"/>
      <c r="EC188" s="132"/>
      <c r="ED188" s="131"/>
      <c r="EE188" s="131"/>
      <c r="EF188" s="131"/>
      <c r="EG188" s="131"/>
      <c r="EH188" s="131"/>
      <c r="EI188" s="131"/>
      <c r="EJ188" s="131"/>
      <c r="EK188" s="131"/>
      <c r="EL188" s="132"/>
      <c r="EM188" s="133"/>
      <c r="EN188" s="133"/>
      <c r="EO188" s="133"/>
      <c r="EP188" s="133"/>
      <c r="EQ188" s="133"/>
      <c r="ER188" s="133"/>
      <c r="ES188" s="133"/>
      <c r="ET188" s="133"/>
      <c r="EU188" s="133"/>
      <c r="EV188" s="134"/>
      <c r="EW188" s="133"/>
      <c r="EX188" s="133"/>
      <c r="EY188" s="135"/>
      <c r="EZ188" s="132"/>
      <c r="FA188" s="136"/>
      <c r="FB188" s="201"/>
      <c r="FC188" s="201"/>
      <c r="FD188" s="201"/>
      <c r="FE188" s="201"/>
      <c r="FF188" s="201"/>
      <c r="FG188" s="201"/>
      <c r="FH188" s="201"/>
      <c r="FI188" s="201"/>
      <c r="FJ188" s="201"/>
      <c r="FK188" s="201"/>
      <c r="FL188" s="201"/>
      <c r="FM188" s="201"/>
      <c r="FN188" s="201"/>
      <c r="FO188" s="201"/>
      <c r="FP188" s="201"/>
      <c r="FQ188" s="201"/>
      <c r="FR188" s="201"/>
      <c r="FS188" s="201"/>
      <c r="FT188" s="201"/>
      <c r="FU188" s="201"/>
      <c r="FV188" s="201"/>
      <c r="FW188" s="201"/>
      <c r="FX188" s="201"/>
      <c r="FY188" s="201"/>
      <c r="FZ188" s="201"/>
      <c r="GA188" s="201"/>
      <c r="GB188" s="201"/>
      <c r="GC188" s="201"/>
      <c r="GD188" s="201"/>
      <c r="GE188" s="201"/>
      <c r="GF188" s="201"/>
      <c r="GG188" s="201"/>
      <c r="GH188" s="201"/>
      <c r="GI188" s="201"/>
      <c r="GJ188" s="201"/>
      <c r="GK188" s="201"/>
      <c r="GL188" s="201"/>
      <c r="GM188" s="201"/>
      <c r="GN188" s="201"/>
      <c r="GO188" s="201"/>
      <c r="GP188" s="201"/>
      <c r="GQ188" s="201"/>
    </row>
    <row r="189" spans="1:204" s="68" customFormat="1" ht="14.45" customHeight="1" x14ac:dyDescent="0.25">
      <c r="A189" s="68" t="s">
        <v>699</v>
      </c>
      <c r="B189" s="82" t="s">
        <v>154</v>
      </c>
      <c r="C189" s="82" t="s">
        <v>172</v>
      </c>
      <c r="D189" s="95" t="s">
        <v>196</v>
      </c>
      <c r="E189" s="82" t="s">
        <v>309</v>
      </c>
      <c r="F189" s="82" t="s">
        <v>549</v>
      </c>
      <c r="G189" s="82" t="s">
        <v>137</v>
      </c>
      <c r="H189" s="82" t="s">
        <v>137</v>
      </c>
      <c r="I189" s="82" t="s">
        <v>66</v>
      </c>
      <c r="J189" s="82" t="s">
        <v>531</v>
      </c>
      <c r="K189" s="92" t="s">
        <v>137</v>
      </c>
      <c r="L189" s="92" t="s">
        <v>137</v>
      </c>
      <c r="M189" s="92" t="s">
        <v>137</v>
      </c>
      <c r="N189" s="92" t="s">
        <v>137</v>
      </c>
      <c r="O189" s="92" t="s">
        <v>137</v>
      </c>
      <c r="P189" s="92" t="s">
        <v>137</v>
      </c>
      <c r="Q189" s="82" t="s">
        <v>552</v>
      </c>
      <c r="R189" s="82" t="s">
        <v>715</v>
      </c>
      <c r="S189" s="82" t="s">
        <v>555</v>
      </c>
      <c r="T189" s="82" t="s">
        <v>320</v>
      </c>
      <c r="U189" s="83">
        <v>0.95</v>
      </c>
      <c r="V189" s="83">
        <v>0.95</v>
      </c>
      <c r="W189" s="83">
        <v>0.95</v>
      </c>
      <c r="X189" s="83">
        <v>0.95</v>
      </c>
      <c r="Y189" s="83">
        <v>0.95</v>
      </c>
      <c r="Z189" s="83">
        <v>0.95</v>
      </c>
      <c r="AA189" s="83">
        <v>0.95</v>
      </c>
      <c r="AB189" s="83">
        <v>0.95</v>
      </c>
      <c r="AC189" s="83">
        <v>0.95</v>
      </c>
      <c r="AD189" s="83">
        <v>0.95</v>
      </c>
      <c r="AE189" s="83">
        <v>0.95</v>
      </c>
      <c r="AF189" s="83">
        <v>0.95</v>
      </c>
      <c r="AG189" s="82" t="s">
        <v>533</v>
      </c>
      <c r="AH189" s="82" t="s">
        <v>529</v>
      </c>
      <c r="AI189" s="88" t="s">
        <v>538</v>
      </c>
      <c r="AJ189" s="89" t="s">
        <v>538</v>
      </c>
      <c r="AK189" s="90">
        <v>46023</v>
      </c>
      <c r="AL189" s="90">
        <v>46387</v>
      </c>
      <c r="AM189" s="89"/>
      <c r="AN189" s="89"/>
      <c r="AO189" s="89"/>
      <c r="AP189" s="91" t="s">
        <v>540</v>
      </c>
      <c r="AQ189" s="90" cm="1">
        <f t="array" ref="AQ189">IFERROR(DATE(2026, _xlfn.AGGREGATE(15, 6, (COLUMN(BY189:CJ189)-COLUMN(BY189)+1)/(BY189:CJ189&lt;&gt;0), 1), 1),"N/A")</f>
        <v>46357</v>
      </c>
      <c r="AR189" s="90" cm="1">
        <f t="array" ref="AR189">IFERROR(EOMONTH(DATE(2026, _xlfn.AGGREGATE(14, 6, (COLUMN(BY189:CJ189)-COLUMN(BY189)+1)/(BY189:CJ189&lt;&gt;0), 1), 1), 0),"N/A")</f>
        <v>46387</v>
      </c>
      <c r="AS189" s="89"/>
      <c r="AT189" s="89"/>
      <c r="AU189" s="89"/>
      <c r="AV189" s="89"/>
      <c r="AW189" s="89"/>
      <c r="AX189" s="89"/>
      <c r="AY189" s="89"/>
      <c r="AZ189" s="89"/>
      <c r="BA189" s="89"/>
      <c r="BB189" s="89"/>
      <c r="BC189" s="89"/>
      <c r="BD189" s="89"/>
      <c r="BE189" s="82" t="s">
        <v>712</v>
      </c>
      <c r="BF189" s="82" t="s">
        <v>1041</v>
      </c>
      <c r="BG189" s="82" t="str">
        <f t="shared" si="12"/>
        <v>000</v>
      </c>
      <c r="BH189" s="88">
        <v>630201</v>
      </c>
      <c r="BI189" s="92" t="s">
        <v>74</v>
      </c>
      <c r="BJ189" s="93">
        <v>70000</v>
      </c>
      <c r="BK189" s="74"/>
      <c r="BL189" s="74"/>
      <c r="BM189" s="74"/>
      <c r="BN189" s="74"/>
      <c r="BO189" s="74"/>
      <c r="BP189" s="94"/>
      <c r="BQ189" s="74">
        <v>70000</v>
      </c>
      <c r="BR189" s="74"/>
      <c r="BS189" s="74"/>
      <c r="BT189" s="74"/>
      <c r="BU189" s="74"/>
      <c r="BV189" s="143"/>
      <c r="BW189" s="143">
        <v>-9500</v>
      </c>
      <c r="BX189" s="143">
        <f t="shared" si="17"/>
        <v>60500</v>
      </c>
      <c r="BY189" s="74"/>
      <c r="BZ189" s="74"/>
      <c r="CA189" s="74"/>
      <c r="CB189" s="74"/>
      <c r="CC189" s="74"/>
      <c r="CD189" s="94"/>
      <c r="CE189" s="74"/>
      <c r="CF189" s="74"/>
      <c r="CG189" s="74"/>
      <c r="CH189" s="74"/>
      <c r="CI189" s="74"/>
      <c r="CJ189" s="143">
        <v>60500</v>
      </c>
      <c r="CK189" s="143"/>
      <c r="CL189" s="142">
        <f t="shared" si="13"/>
        <v>0</v>
      </c>
      <c r="CM189" s="171">
        <v>0</v>
      </c>
      <c r="CN189" s="171">
        <v>0</v>
      </c>
      <c r="CO189" s="171">
        <v>0</v>
      </c>
      <c r="CP189" s="171">
        <v>0</v>
      </c>
      <c r="CQ189" s="171">
        <v>0</v>
      </c>
      <c r="CR189" s="171">
        <v>0</v>
      </c>
      <c r="CS189" s="171">
        <f t="shared" si="14"/>
        <v>0</v>
      </c>
      <c r="CT189" s="171">
        <f t="shared" si="15"/>
        <v>0</v>
      </c>
      <c r="CU189" s="171">
        <f t="shared" si="16"/>
        <v>0</v>
      </c>
      <c r="CV189" s="152">
        <v>70000</v>
      </c>
      <c r="CW189" s="149">
        <v>60500</v>
      </c>
      <c r="CX189" s="130">
        <v>2</v>
      </c>
      <c r="CY189" s="130">
        <v>2</v>
      </c>
      <c r="CZ189" s="130" t="s">
        <v>321</v>
      </c>
      <c r="DA189" s="130" t="s">
        <v>878</v>
      </c>
      <c r="DB189" s="130" t="s">
        <v>850</v>
      </c>
      <c r="DC189" s="130" t="s">
        <v>851</v>
      </c>
      <c r="DD189" s="130"/>
      <c r="DE189" s="131">
        <v>46121</v>
      </c>
      <c r="DF189" s="131">
        <v>46121</v>
      </c>
      <c r="DG189" s="132">
        <v>1</v>
      </c>
      <c r="DH189" s="131">
        <v>46122</v>
      </c>
      <c r="DI189" s="131">
        <v>46122</v>
      </c>
      <c r="DJ189" s="131">
        <v>46122</v>
      </c>
      <c r="DK189" s="131">
        <v>46125</v>
      </c>
      <c r="DL189" s="131">
        <v>46126</v>
      </c>
      <c r="DM189" s="131">
        <v>46127</v>
      </c>
      <c r="DN189" s="131">
        <v>46128</v>
      </c>
      <c r="DO189" s="131">
        <v>46129</v>
      </c>
      <c r="DP189" s="131">
        <v>46132</v>
      </c>
      <c r="DQ189" s="131">
        <v>46132</v>
      </c>
      <c r="DR189" s="132">
        <v>1</v>
      </c>
      <c r="DS189" s="131">
        <v>46133</v>
      </c>
      <c r="DT189" s="131">
        <v>46134</v>
      </c>
      <c r="DU189" s="131">
        <v>46135</v>
      </c>
      <c r="DV189" s="131">
        <v>46136</v>
      </c>
      <c r="DW189" s="131">
        <v>46136</v>
      </c>
      <c r="DX189" s="131">
        <v>46139</v>
      </c>
      <c r="DY189" s="131">
        <v>46139</v>
      </c>
      <c r="DZ189" s="132"/>
      <c r="EA189" s="132"/>
      <c r="EB189" s="132"/>
      <c r="EC189" s="132"/>
      <c r="ED189" s="131">
        <v>46140</v>
      </c>
      <c r="EE189" s="131">
        <v>46141</v>
      </c>
      <c r="EF189" s="131">
        <v>46141</v>
      </c>
      <c r="EG189" s="131">
        <v>46142</v>
      </c>
      <c r="EH189" s="131">
        <v>46143</v>
      </c>
      <c r="EI189" s="131">
        <v>46146</v>
      </c>
      <c r="EJ189" s="131">
        <v>46147</v>
      </c>
      <c r="EK189" s="131">
        <v>46147</v>
      </c>
      <c r="EL189" s="132">
        <v>18</v>
      </c>
      <c r="EM189" s="131">
        <v>46149</v>
      </c>
      <c r="EN189" s="131">
        <v>46153</v>
      </c>
      <c r="EO189" s="133">
        <v>46155</v>
      </c>
      <c r="EP189" s="133">
        <v>46156</v>
      </c>
      <c r="EQ189" s="133">
        <v>46157</v>
      </c>
      <c r="ER189" s="133">
        <v>46161</v>
      </c>
      <c r="ES189" s="133">
        <v>46162</v>
      </c>
      <c r="ET189" s="133">
        <v>46162</v>
      </c>
      <c r="EU189" s="133">
        <v>46167</v>
      </c>
      <c r="EV189" s="134">
        <v>2</v>
      </c>
      <c r="EW189" s="133">
        <v>46170</v>
      </c>
      <c r="EX189" s="133"/>
      <c r="EY189" s="154" t="s">
        <v>879</v>
      </c>
      <c r="EZ189" s="132" t="s">
        <v>899</v>
      </c>
      <c r="FA189" s="136" t="s">
        <v>900</v>
      </c>
      <c r="FB189" s="203">
        <v>46121</v>
      </c>
      <c r="FC189" s="203">
        <v>46121</v>
      </c>
      <c r="FD189" s="203">
        <v>46122</v>
      </c>
      <c r="FE189" s="203">
        <v>46122</v>
      </c>
      <c r="FF189" s="203">
        <v>46122</v>
      </c>
      <c r="FG189" s="203">
        <v>46125</v>
      </c>
      <c r="FH189" s="203">
        <v>46126</v>
      </c>
      <c r="FI189" s="203">
        <v>46127</v>
      </c>
      <c r="FJ189" s="203">
        <v>46128</v>
      </c>
      <c r="FK189" s="203">
        <v>46129</v>
      </c>
      <c r="FL189" s="203">
        <v>46132</v>
      </c>
      <c r="FM189" s="203">
        <v>46132</v>
      </c>
      <c r="FN189" s="203">
        <v>46133</v>
      </c>
      <c r="FO189" s="203">
        <v>46134</v>
      </c>
      <c r="FP189" s="203">
        <v>46135</v>
      </c>
      <c r="FQ189" s="203">
        <v>46136</v>
      </c>
      <c r="FR189" s="203">
        <v>46136</v>
      </c>
      <c r="FS189" s="203">
        <v>46139</v>
      </c>
      <c r="FT189" s="203">
        <v>46139</v>
      </c>
      <c r="FU189" s="203"/>
      <c r="FV189" s="203"/>
      <c r="FW189" s="203"/>
      <c r="FX189" s="203"/>
      <c r="FY189" s="203">
        <v>46140</v>
      </c>
      <c r="FZ189" s="203">
        <v>46141</v>
      </c>
      <c r="GA189" s="203">
        <v>46141</v>
      </c>
      <c r="GB189" s="203">
        <v>46142</v>
      </c>
      <c r="GC189" s="203">
        <v>46143</v>
      </c>
      <c r="GD189" s="203">
        <v>46146</v>
      </c>
      <c r="GE189" s="203">
        <v>46147</v>
      </c>
      <c r="GF189" s="203">
        <v>46147</v>
      </c>
      <c r="GG189" s="203">
        <v>18</v>
      </c>
      <c r="GH189" s="203">
        <v>46149</v>
      </c>
      <c r="GI189" s="203">
        <v>46153</v>
      </c>
      <c r="GJ189" s="203">
        <v>46155</v>
      </c>
      <c r="GK189" s="203">
        <v>46156</v>
      </c>
      <c r="GL189" s="203">
        <v>46157</v>
      </c>
      <c r="GM189" s="203">
        <v>46161</v>
      </c>
      <c r="GN189" s="203">
        <v>46162</v>
      </c>
      <c r="GO189" s="203">
        <v>46162</v>
      </c>
      <c r="GP189" s="203">
        <v>46167</v>
      </c>
      <c r="GQ189" s="203">
        <v>46170</v>
      </c>
      <c r="GR189" s="187"/>
      <c r="GS189" s="187" t="s">
        <v>1180</v>
      </c>
      <c r="GT189" s="187" t="s">
        <v>879</v>
      </c>
      <c r="GU189" s="187" t="s">
        <v>899</v>
      </c>
      <c r="GV189" s="187" t="s">
        <v>1171</v>
      </c>
    </row>
    <row r="190" spans="1:204" s="68" customFormat="1" ht="14.45" customHeight="1" x14ac:dyDescent="0.25">
      <c r="A190" s="68" t="s">
        <v>696</v>
      </c>
      <c r="B190" s="82" t="s">
        <v>154</v>
      </c>
      <c r="C190" s="82" t="s">
        <v>172</v>
      </c>
      <c r="D190" s="82" t="s">
        <v>196</v>
      </c>
      <c r="E190" s="82" t="s">
        <v>309</v>
      </c>
      <c r="F190" s="82" t="s">
        <v>549</v>
      </c>
      <c r="G190" s="82" t="s">
        <v>137</v>
      </c>
      <c r="H190" s="82" t="s">
        <v>137</v>
      </c>
      <c r="I190" s="82" t="s">
        <v>66</v>
      </c>
      <c r="J190" s="82" t="s">
        <v>29</v>
      </c>
      <c r="K190" s="92" t="s">
        <v>137</v>
      </c>
      <c r="L190" s="92" t="s">
        <v>137</v>
      </c>
      <c r="M190" s="92" t="s">
        <v>137</v>
      </c>
      <c r="N190" s="92" t="s">
        <v>137</v>
      </c>
      <c r="O190" s="92" t="s">
        <v>137</v>
      </c>
      <c r="P190" s="92" t="s">
        <v>137</v>
      </c>
      <c r="Q190" s="82" t="s">
        <v>87</v>
      </c>
      <c r="R190" s="82" t="s">
        <v>714</v>
      </c>
      <c r="S190" s="82" t="s">
        <v>40</v>
      </c>
      <c r="T190" s="82" t="s">
        <v>2</v>
      </c>
      <c r="U190" s="83"/>
      <c r="V190" s="83">
        <v>0.05</v>
      </c>
      <c r="W190" s="83">
        <v>0.08</v>
      </c>
      <c r="X190" s="83">
        <v>0.15</v>
      </c>
      <c r="Y190" s="83">
        <v>0.2</v>
      </c>
      <c r="Z190" s="83">
        <v>0.25</v>
      </c>
      <c r="AA190" s="83">
        <v>0.37</v>
      </c>
      <c r="AB190" s="83">
        <v>0.42</v>
      </c>
      <c r="AC190" s="83">
        <v>0.57999999999999996</v>
      </c>
      <c r="AD190" s="83">
        <v>0.67</v>
      </c>
      <c r="AE190" s="83">
        <v>0.83</v>
      </c>
      <c r="AF190" s="83">
        <v>1</v>
      </c>
      <c r="AG190" s="82" t="s">
        <v>778</v>
      </c>
      <c r="AH190" s="82" t="s">
        <v>530</v>
      </c>
      <c r="AI190" s="88" t="s">
        <v>538</v>
      </c>
      <c r="AJ190" s="89" t="s">
        <v>538</v>
      </c>
      <c r="AK190" s="90">
        <v>46023</v>
      </c>
      <c r="AL190" s="90">
        <v>46387</v>
      </c>
      <c r="AM190" s="89"/>
      <c r="AN190" s="89"/>
      <c r="AO190" s="89"/>
      <c r="AP190" s="91" t="s">
        <v>539</v>
      </c>
      <c r="AQ190" s="90" cm="1">
        <f t="array" ref="AQ190">IFERROR(DATE(2026, _xlfn.AGGREGATE(15, 6, (COLUMN(BY190:CJ190)-COLUMN(BY190)+1)/(BY190:CJ190&lt;&gt;0), 1), 1),"N/A")</f>
        <v>46023</v>
      </c>
      <c r="AR190" s="90" cm="1">
        <f t="array" ref="AR190">IFERROR(EOMONTH(DATE(2026, _xlfn.AGGREGATE(14, 6, (COLUMN(BY190:CJ190)-COLUMN(BY190)+1)/(BY190:CJ190&lt;&gt;0), 1), 1), 0),"N/A")</f>
        <v>46142</v>
      </c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2" t="s">
        <v>594</v>
      </c>
      <c r="BF190" s="82" t="s">
        <v>748</v>
      </c>
      <c r="BG190" s="82" t="str">
        <f t="shared" si="12"/>
        <v>000</v>
      </c>
      <c r="BH190" s="88">
        <v>530241</v>
      </c>
      <c r="BI190" s="92" t="s">
        <v>74</v>
      </c>
      <c r="BJ190" s="93">
        <v>1026</v>
      </c>
      <c r="BK190" s="94">
        <v>270</v>
      </c>
      <c r="BL190" s="94">
        <v>270</v>
      </c>
      <c r="BM190" s="94">
        <v>270</v>
      </c>
      <c r="BN190" s="72">
        <v>216</v>
      </c>
      <c r="BO190" s="74">
        <v>0</v>
      </c>
      <c r="BP190" s="74">
        <v>0</v>
      </c>
      <c r="BQ190" s="74">
        <v>0</v>
      </c>
      <c r="BR190" s="74">
        <v>0</v>
      </c>
      <c r="BS190" s="74">
        <v>0</v>
      </c>
      <c r="BT190" s="74">
        <v>0</v>
      </c>
      <c r="BU190" s="74">
        <v>0</v>
      </c>
      <c r="BV190" s="143">
        <v>0</v>
      </c>
      <c r="BW190" s="143"/>
      <c r="BX190" s="143">
        <f t="shared" si="17"/>
        <v>1026</v>
      </c>
      <c r="BY190" s="94">
        <v>270</v>
      </c>
      <c r="BZ190" s="94">
        <v>270</v>
      </c>
      <c r="CA190" s="94">
        <v>270</v>
      </c>
      <c r="CB190" s="72">
        <v>216</v>
      </c>
      <c r="CC190" s="74">
        <v>0</v>
      </c>
      <c r="CD190" s="74">
        <v>0</v>
      </c>
      <c r="CE190" s="74">
        <v>0</v>
      </c>
      <c r="CF190" s="74">
        <v>0</v>
      </c>
      <c r="CG190" s="74">
        <v>0</v>
      </c>
      <c r="CH190" s="74">
        <v>0</v>
      </c>
      <c r="CI190" s="74">
        <v>0</v>
      </c>
      <c r="CJ190" s="143">
        <v>0</v>
      </c>
      <c r="CK190" s="143"/>
      <c r="CL190" s="142">
        <f t="shared" si="13"/>
        <v>0</v>
      </c>
      <c r="CM190" s="171">
        <v>0</v>
      </c>
      <c r="CN190" s="171">
        <v>0</v>
      </c>
      <c r="CO190" s="171">
        <v>1026</v>
      </c>
      <c r="CP190" s="171">
        <v>270</v>
      </c>
      <c r="CQ190" s="171">
        <v>0</v>
      </c>
      <c r="CR190" s="171">
        <v>0</v>
      </c>
      <c r="CS190" s="171">
        <f t="shared" si="14"/>
        <v>270</v>
      </c>
      <c r="CT190" s="171">
        <f t="shared" si="15"/>
        <v>0</v>
      </c>
      <c r="CU190" s="171">
        <f t="shared" si="16"/>
        <v>1026</v>
      </c>
      <c r="CV190" s="149"/>
      <c r="CW190" s="149"/>
      <c r="CX190" s="130"/>
      <c r="CY190" s="130"/>
      <c r="CZ190" s="130"/>
      <c r="DA190" s="130"/>
      <c r="DB190" s="130"/>
      <c r="DC190" s="130"/>
      <c r="DD190" s="130" t="s">
        <v>856</v>
      </c>
      <c r="DE190" s="130"/>
      <c r="DF190" s="130"/>
      <c r="DG190" s="130"/>
      <c r="DH190" s="130"/>
      <c r="DI190" s="130"/>
      <c r="DJ190" s="130"/>
      <c r="DK190" s="130"/>
      <c r="DL190" s="130"/>
      <c r="DM190" s="130"/>
      <c r="DN190" s="130"/>
      <c r="DO190" s="130"/>
      <c r="DP190" s="130"/>
      <c r="DQ190" s="130"/>
      <c r="DR190" s="130"/>
      <c r="DS190" s="130"/>
      <c r="DT190" s="130"/>
      <c r="DU190" s="130"/>
      <c r="DV190" s="130"/>
      <c r="DW190" s="130"/>
      <c r="DX190" s="130"/>
      <c r="DY190" s="130"/>
      <c r="DZ190" s="130"/>
      <c r="EA190" s="130"/>
      <c r="EB190" s="130"/>
      <c r="EC190" s="130"/>
      <c r="ED190" s="130"/>
      <c r="EE190" s="130"/>
      <c r="EF190" s="130"/>
      <c r="EG190" s="130"/>
      <c r="EH190" s="130"/>
      <c r="EI190" s="130"/>
      <c r="EJ190" s="130"/>
      <c r="EK190" s="130"/>
      <c r="EL190" s="130"/>
      <c r="EM190" s="130"/>
      <c r="EN190" s="130"/>
      <c r="EO190" s="130"/>
      <c r="EP190" s="130"/>
      <c r="EQ190" s="130"/>
      <c r="ER190" s="130"/>
      <c r="ES190" s="130"/>
      <c r="ET190" s="130"/>
      <c r="EU190" s="130"/>
      <c r="EV190" s="130"/>
      <c r="EW190" s="130"/>
      <c r="EX190" s="130"/>
      <c r="EY190" s="130"/>
      <c r="EZ190" s="130"/>
      <c r="FA190" s="130"/>
      <c r="FB190" s="201"/>
      <c r="FC190" s="201"/>
      <c r="FD190" s="201"/>
      <c r="FE190" s="201"/>
      <c r="FF190" s="201"/>
      <c r="FG190" s="201"/>
      <c r="FH190" s="201"/>
      <c r="FI190" s="201"/>
      <c r="FJ190" s="201"/>
      <c r="FK190" s="201"/>
      <c r="FL190" s="201"/>
      <c r="FM190" s="201"/>
      <c r="FN190" s="201"/>
      <c r="FO190" s="201"/>
      <c r="FP190" s="201"/>
      <c r="FQ190" s="201"/>
      <c r="FR190" s="201"/>
      <c r="FS190" s="201"/>
      <c r="FT190" s="201"/>
      <c r="FU190" s="201"/>
      <c r="FV190" s="201"/>
      <c r="FW190" s="201"/>
      <c r="FX190" s="201"/>
      <c r="FY190" s="201"/>
      <c r="FZ190" s="201"/>
      <c r="GA190" s="201"/>
      <c r="GB190" s="201"/>
      <c r="GC190" s="201"/>
      <c r="GD190" s="201"/>
      <c r="GE190" s="201"/>
      <c r="GF190" s="201"/>
      <c r="GG190" s="201"/>
      <c r="GH190" s="201"/>
      <c r="GI190" s="201"/>
      <c r="GJ190" s="201"/>
      <c r="GK190" s="201"/>
      <c r="GL190" s="201"/>
      <c r="GM190" s="201"/>
      <c r="GN190" s="201"/>
      <c r="GO190" s="201"/>
      <c r="GP190" s="201"/>
      <c r="GQ190" s="201"/>
    </row>
    <row r="191" spans="1:204" s="68" customFormat="1" ht="14.45" customHeight="1" x14ac:dyDescent="0.25">
      <c r="A191" s="68" t="s">
        <v>696</v>
      </c>
      <c r="B191" s="82" t="s">
        <v>154</v>
      </c>
      <c r="C191" s="82" t="s">
        <v>172</v>
      </c>
      <c r="D191" s="82" t="s">
        <v>196</v>
      </c>
      <c r="E191" s="82" t="s">
        <v>309</v>
      </c>
      <c r="F191" s="82" t="s">
        <v>549</v>
      </c>
      <c r="G191" s="82" t="s">
        <v>137</v>
      </c>
      <c r="H191" s="82" t="s">
        <v>137</v>
      </c>
      <c r="I191" s="82" t="s">
        <v>66</v>
      </c>
      <c r="J191" s="82" t="s">
        <v>29</v>
      </c>
      <c r="K191" s="92" t="s">
        <v>137</v>
      </c>
      <c r="L191" s="92" t="s">
        <v>137</v>
      </c>
      <c r="M191" s="92" t="s">
        <v>137</v>
      </c>
      <c r="N191" s="92" t="s">
        <v>137</v>
      </c>
      <c r="O191" s="92" t="s">
        <v>137</v>
      </c>
      <c r="P191" s="92" t="s">
        <v>137</v>
      </c>
      <c r="Q191" s="82" t="s">
        <v>87</v>
      </c>
      <c r="R191" s="82" t="s">
        <v>714</v>
      </c>
      <c r="S191" s="82" t="s">
        <v>40</v>
      </c>
      <c r="T191" s="82" t="s">
        <v>2</v>
      </c>
      <c r="U191" s="83"/>
      <c r="V191" s="83">
        <v>0.05</v>
      </c>
      <c r="W191" s="83">
        <v>0.08</v>
      </c>
      <c r="X191" s="83">
        <v>0.15</v>
      </c>
      <c r="Y191" s="83">
        <v>0.2</v>
      </c>
      <c r="Z191" s="83">
        <v>0.25</v>
      </c>
      <c r="AA191" s="83">
        <v>0.37</v>
      </c>
      <c r="AB191" s="83">
        <v>0.42</v>
      </c>
      <c r="AC191" s="83">
        <v>0.57999999999999996</v>
      </c>
      <c r="AD191" s="83">
        <v>0.67</v>
      </c>
      <c r="AE191" s="83">
        <v>0.83</v>
      </c>
      <c r="AF191" s="83">
        <v>1</v>
      </c>
      <c r="AG191" s="82" t="s">
        <v>532</v>
      </c>
      <c r="AH191" s="82" t="s">
        <v>529</v>
      </c>
      <c r="AI191" s="88" t="s">
        <v>538</v>
      </c>
      <c r="AJ191" s="89" t="s">
        <v>538</v>
      </c>
      <c r="AK191" s="90">
        <v>46023</v>
      </c>
      <c r="AL191" s="90">
        <v>46387</v>
      </c>
      <c r="AM191" s="89"/>
      <c r="AN191" s="89"/>
      <c r="AO191" s="89"/>
      <c r="AP191" s="91" t="s">
        <v>539</v>
      </c>
      <c r="AQ191" s="90" cm="1">
        <f t="array" ref="AQ191">IFERROR(DATE(2026, _xlfn.AGGREGATE(15, 6, (COLUMN(BY191:CJ191)-COLUMN(BY191)+1)/(BY191:CJ191&lt;&gt;0), 1), 1),"N/A")</f>
        <v>46143</v>
      </c>
      <c r="AR191" s="90" cm="1">
        <f t="array" ref="AR191">IFERROR(EOMONTH(DATE(2026, _xlfn.AGGREGATE(14, 6, (COLUMN(BY191:CJ191)-COLUMN(BY191)+1)/(BY191:CJ191&lt;&gt;0), 1), 1), 0),"N/A")</f>
        <v>46387</v>
      </c>
      <c r="AS191" s="89"/>
      <c r="AT191" s="89"/>
      <c r="AU191" s="89"/>
      <c r="AV191" s="89"/>
      <c r="AW191" s="89"/>
      <c r="AX191" s="89"/>
      <c r="AY191" s="89"/>
      <c r="AZ191" s="89"/>
      <c r="BA191" s="89"/>
      <c r="BB191" s="89"/>
      <c r="BC191" s="89"/>
      <c r="BD191" s="89"/>
      <c r="BE191" s="82" t="s">
        <v>611</v>
      </c>
      <c r="BF191" s="82" t="s">
        <v>1006</v>
      </c>
      <c r="BG191" s="82" t="str">
        <f t="shared" si="12"/>
        <v>000</v>
      </c>
      <c r="BH191" s="88">
        <v>530241</v>
      </c>
      <c r="BI191" s="92" t="s">
        <v>74</v>
      </c>
      <c r="BJ191" s="93">
        <v>3500</v>
      </c>
      <c r="BK191" s="74">
        <v>0</v>
      </c>
      <c r="BL191" s="74">
        <v>0</v>
      </c>
      <c r="BM191" s="74">
        <v>0</v>
      </c>
      <c r="BN191" s="74">
        <v>0</v>
      </c>
      <c r="BO191" s="94">
        <v>400</v>
      </c>
      <c r="BP191" s="94">
        <v>400</v>
      </c>
      <c r="BQ191" s="94">
        <v>400</v>
      </c>
      <c r="BR191" s="94">
        <v>400</v>
      </c>
      <c r="BS191" s="94">
        <v>400</v>
      </c>
      <c r="BT191" s="94">
        <v>400</v>
      </c>
      <c r="BU191" s="94">
        <v>400</v>
      </c>
      <c r="BV191" s="142">
        <v>700</v>
      </c>
      <c r="BW191" s="142"/>
      <c r="BX191" s="143">
        <f t="shared" si="17"/>
        <v>3500</v>
      </c>
      <c r="BY191" s="74">
        <v>0</v>
      </c>
      <c r="BZ191" s="74">
        <v>0</v>
      </c>
      <c r="CA191" s="74">
        <v>0</v>
      </c>
      <c r="CB191" s="74">
        <v>0</v>
      </c>
      <c r="CC191" s="94">
        <v>400</v>
      </c>
      <c r="CD191" s="94">
        <v>400</v>
      </c>
      <c r="CE191" s="94">
        <v>400</v>
      </c>
      <c r="CF191" s="94">
        <v>400</v>
      </c>
      <c r="CG191" s="94">
        <v>400</v>
      </c>
      <c r="CH191" s="94">
        <v>400</v>
      </c>
      <c r="CI191" s="94">
        <v>400</v>
      </c>
      <c r="CJ191" s="142">
        <v>700</v>
      </c>
      <c r="CK191" s="142"/>
      <c r="CL191" s="142">
        <f t="shared" si="13"/>
        <v>0</v>
      </c>
      <c r="CM191" s="171">
        <v>0</v>
      </c>
      <c r="CN191" s="171">
        <v>0</v>
      </c>
      <c r="CO191" s="171">
        <v>0</v>
      </c>
      <c r="CP191" s="171">
        <v>0</v>
      </c>
      <c r="CQ191" s="171">
        <v>0</v>
      </c>
      <c r="CR191" s="171">
        <v>0</v>
      </c>
      <c r="CS191" s="171">
        <f t="shared" si="14"/>
        <v>0</v>
      </c>
      <c r="CT191" s="171">
        <f t="shared" si="15"/>
        <v>0</v>
      </c>
      <c r="CU191" s="171">
        <f t="shared" si="16"/>
        <v>0</v>
      </c>
      <c r="CV191" s="150">
        <v>3500</v>
      </c>
      <c r="CW191" s="150">
        <v>3500</v>
      </c>
      <c r="CX191" s="130"/>
      <c r="CY191" s="130">
        <v>2</v>
      </c>
      <c r="CZ191" s="130"/>
      <c r="DA191" s="130"/>
      <c r="DB191" s="130"/>
      <c r="DC191" s="130"/>
      <c r="DD191" s="130"/>
      <c r="DE191" s="131">
        <v>46045</v>
      </c>
      <c r="DF191" s="131">
        <v>46045</v>
      </c>
      <c r="DG191" s="132">
        <v>1</v>
      </c>
      <c r="DH191" s="131">
        <v>46048</v>
      </c>
      <c r="DI191" s="131">
        <v>46048</v>
      </c>
      <c r="DJ191" s="131">
        <v>46048</v>
      </c>
      <c r="DK191" s="131">
        <v>46049</v>
      </c>
      <c r="DL191" s="131">
        <v>46050</v>
      </c>
      <c r="DM191" s="131">
        <v>46051</v>
      </c>
      <c r="DN191" s="131">
        <v>46052</v>
      </c>
      <c r="DO191" s="131">
        <v>46055</v>
      </c>
      <c r="DP191" s="131">
        <v>46056</v>
      </c>
      <c r="DQ191" s="131">
        <v>46056</v>
      </c>
      <c r="DR191" s="132">
        <v>1</v>
      </c>
      <c r="DS191" s="131">
        <v>46057</v>
      </c>
      <c r="DT191" s="131">
        <v>46058</v>
      </c>
      <c r="DU191" s="131">
        <v>46059</v>
      </c>
      <c r="DV191" s="131">
        <v>46062</v>
      </c>
      <c r="DW191" s="131">
        <v>46062</v>
      </c>
      <c r="DX191" s="131">
        <v>46063</v>
      </c>
      <c r="DY191" s="131">
        <v>46063</v>
      </c>
      <c r="DZ191" s="132"/>
      <c r="EA191" s="132"/>
      <c r="EB191" s="132"/>
      <c r="EC191" s="132"/>
      <c r="ED191" s="131">
        <v>46064</v>
      </c>
      <c r="EE191" s="131">
        <v>46065</v>
      </c>
      <c r="EF191" s="131">
        <v>46065</v>
      </c>
      <c r="EG191" s="131"/>
      <c r="EH191" s="131"/>
      <c r="EI191" s="131"/>
      <c r="EJ191" s="131">
        <v>46065</v>
      </c>
      <c r="EK191" s="131">
        <v>46071</v>
      </c>
      <c r="EL191" s="132">
        <v>18</v>
      </c>
      <c r="EM191" s="134"/>
      <c r="EN191" s="134"/>
      <c r="EO191" s="134"/>
      <c r="EP191" s="134"/>
      <c r="EQ191" s="134"/>
      <c r="ER191" s="134"/>
      <c r="ES191" s="134"/>
      <c r="ET191" s="134"/>
      <c r="EU191" s="134"/>
      <c r="EV191" s="134"/>
      <c r="EW191" s="133">
        <v>46071</v>
      </c>
      <c r="EX191" s="134"/>
      <c r="EY191" s="135" t="s">
        <v>854</v>
      </c>
      <c r="EZ191" s="132" t="s">
        <v>868</v>
      </c>
      <c r="FA191" s="190"/>
      <c r="FB191" s="203">
        <v>46045</v>
      </c>
      <c r="FC191" s="203">
        <v>46045</v>
      </c>
      <c r="FD191" s="203">
        <v>46048</v>
      </c>
      <c r="FE191" s="203">
        <v>46048</v>
      </c>
      <c r="FF191" s="203">
        <v>46048</v>
      </c>
      <c r="FG191" s="203">
        <v>46049</v>
      </c>
      <c r="FH191" s="203">
        <v>46050</v>
      </c>
      <c r="FI191" s="203">
        <v>46051</v>
      </c>
      <c r="FJ191" s="203">
        <v>46052</v>
      </c>
      <c r="FK191" s="203">
        <v>46055</v>
      </c>
      <c r="FL191" s="203">
        <v>46056</v>
      </c>
      <c r="FM191" s="203">
        <v>46056</v>
      </c>
      <c r="FN191" s="203">
        <v>46057</v>
      </c>
      <c r="FO191" s="203">
        <v>46058</v>
      </c>
      <c r="FP191" s="203">
        <v>46059</v>
      </c>
      <c r="FQ191" s="203">
        <v>46062</v>
      </c>
      <c r="FR191" s="203">
        <v>46062</v>
      </c>
      <c r="FS191" s="203">
        <v>46063</v>
      </c>
      <c r="FT191" s="203">
        <v>46063</v>
      </c>
      <c r="FU191" s="203"/>
      <c r="FV191" s="203"/>
      <c r="FW191" s="203"/>
      <c r="FX191" s="203"/>
      <c r="FY191" s="203">
        <v>46064</v>
      </c>
      <c r="FZ191" s="203">
        <v>46065</v>
      </c>
      <c r="GA191" s="203">
        <v>46065</v>
      </c>
      <c r="GB191" s="203"/>
      <c r="GC191" s="203"/>
      <c r="GD191" s="203"/>
      <c r="GE191" s="203">
        <v>46065</v>
      </c>
      <c r="GF191" s="203">
        <v>46071</v>
      </c>
      <c r="GG191" s="203">
        <v>18</v>
      </c>
      <c r="GH191" s="203"/>
      <c r="GI191" s="203"/>
      <c r="GJ191" s="203"/>
      <c r="GK191" s="203"/>
      <c r="GL191" s="203"/>
      <c r="GM191" s="203"/>
      <c r="GN191" s="203"/>
      <c r="GO191" s="203"/>
      <c r="GP191" s="203"/>
      <c r="GQ191" s="203">
        <v>46071</v>
      </c>
      <c r="GR191" s="187"/>
      <c r="GS191" s="187" t="s">
        <v>1181</v>
      </c>
      <c r="GT191" s="187" t="s">
        <v>854</v>
      </c>
      <c r="GU191" s="187" t="s">
        <v>868</v>
      </c>
      <c r="GV191" s="187"/>
    </row>
    <row r="192" spans="1:204" s="68" customFormat="1" ht="14.45" customHeight="1" x14ac:dyDescent="0.25">
      <c r="A192" s="68" t="s">
        <v>699</v>
      </c>
      <c r="B192" s="82" t="s">
        <v>154</v>
      </c>
      <c r="C192" s="82" t="s">
        <v>172</v>
      </c>
      <c r="D192" s="95" t="s">
        <v>196</v>
      </c>
      <c r="E192" s="82" t="s">
        <v>309</v>
      </c>
      <c r="F192" s="82" t="s">
        <v>549</v>
      </c>
      <c r="G192" s="82" t="s">
        <v>137</v>
      </c>
      <c r="H192" s="82" t="s">
        <v>137</v>
      </c>
      <c r="I192" s="82" t="s">
        <v>66</v>
      </c>
      <c r="J192" s="82" t="s">
        <v>531</v>
      </c>
      <c r="K192" s="92" t="s">
        <v>137</v>
      </c>
      <c r="L192" s="92" t="s">
        <v>137</v>
      </c>
      <c r="M192" s="92" t="s">
        <v>137</v>
      </c>
      <c r="N192" s="92" t="s">
        <v>137</v>
      </c>
      <c r="O192" s="92" t="s">
        <v>137</v>
      </c>
      <c r="P192" s="92" t="s">
        <v>137</v>
      </c>
      <c r="Q192" s="82" t="s">
        <v>552</v>
      </c>
      <c r="R192" s="82" t="s">
        <v>715</v>
      </c>
      <c r="S192" s="82" t="s">
        <v>555</v>
      </c>
      <c r="T192" s="82" t="s">
        <v>320</v>
      </c>
      <c r="U192" s="83">
        <v>0.95</v>
      </c>
      <c r="V192" s="83">
        <v>0.95</v>
      </c>
      <c r="W192" s="83">
        <v>0.95</v>
      </c>
      <c r="X192" s="83">
        <v>0.95</v>
      </c>
      <c r="Y192" s="83">
        <v>0.95</v>
      </c>
      <c r="Z192" s="83">
        <v>0.95</v>
      </c>
      <c r="AA192" s="83">
        <v>0.95</v>
      </c>
      <c r="AB192" s="83">
        <v>0.95</v>
      </c>
      <c r="AC192" s="83">
        <v>0.95</v>
      </c>
      <c r="AD192" s="83">
        <v>0.95</v>
      </c>
      <c r="AE192" s="83">
        <v>0.95</v>
      </c>
      <c r="AF192" s="83">
        <v>0.95</v>
      </c>
      <c r="AG192" s="82" t="s">
        <v>533</v>
      </c>
      <c r="AH192" s="82" t="s">
        <v>529</v>
      </c>
      <c r="AI192" s="88" t="s">
        <v>538</v>
      </c>
      <c r="AJ192" s="89" t="s">
        <v>538</v>
      </c>
      <c r="AK192" s="90">
        <v>46023</v>
      </c>
      <c r="AL192" s="90">
        <v>46387</v>
      </c>
      <c r="AM192" s="89"/>
      <c r="AN192" s="89"/>
      <c r="AO192" s="89"/>
      <c r="AP192" s="91" t="s">
        <v>540</v>
      </c>
      <c r="AQ192" s="90" cm="1">
        <f t="array" ref="AQ192">IFERROR(DATE(2026, _xlfn.AGGREGATE(15, 6, (COLUMN(BY192:CJ192)-COLUMN(BY192)+1)/(BY192:CJ192&lt;&gt;0), 1), 1),"N/A")</f>
        <v>46327</v>
      </c>
      <c r="AR192" s="90" cm="1">
        <f t="array" ref="AR192">IFERROR(EOMONTH(DATE(2026, _xlfn.AGGREGATE(14, 6, (COLUMN(BY192:CJ192)-COLUMN(BY192)+1)/(BY192:CJ192&lt;&gt;0), 1), 1), 0),"N/A")</f>
        <v>46356</v>
      </c>
      <c r="AS192" s="89"/>
      <c r="AT192" s="89"/>
      <c r="AU192" s="89"/>
      <c r="AV192" s="89"/>
      <c r="AW192" s="89"/>
      <c r="AX192" s="89"/>
      <c r="AY192" s="89"/>
      <c r="AZ192" s="89"/>
      <c r="BA192" s="89"/>
      <c r="BB192" s="89"/>
      <c r="BC192" s="89"/>
      <c r="BD192" s="89"/>
      <c r="BE192" s="82" t="s">
        <v>658</v>
      </c>
      <c r="BF192" s="82" t="s">
        <v>1039</v>
      </c>
      <c r="BG192" s="82" t="str">
        <f t="shared" si="12"/>
        <v>000</v>
      </c>
      <c r="BH192" s="88">
        <v>630601</v>
      </c>
      <c r="BI192" s="92" t="s">
        <v>74</v>
      </c>
      <c r="BJ192" s="93">
        <v>25000</v>
      </c>
      <c r="BK192" s="74">
        <v>0</v>
      </c>
      <c r="BL192" s="74">
        <v>0</v>
      </c>
      <c r="BM192" s="74">
        <v>0</v>
      </c>
      <c r="BN192" s="74">
        <v>0</v>
      </c>
      <c r="BO192" s="74">
        <v>0</v>
      </c>
      <c r="BP192" s="74">
        <v>0</v>
      </c>
      <c r="BQ192" s="74">
        <v>0</v>
      </c>
      <c r="BR192" s="74">
        <v>0</v>
      </c>
      <c r="BS192" s="74">
        <v>0</v>
      </c>
      <c r="BT192" s="74">
        <v>0</v>
      </c>
      <c r="BU192" s="94">
        <v>25000</v>
      </c>
      <c r="BV192" s="143">
        <v>0</v>
      </c>
      <c r="BW192" s="143"/>
      <c r="BX192" s="143">
        <f t="shared" si="17"/>
        <v>25000</v>
      </c>
      <c r="BY192" s="74">
        <v>0</v>
      </c>
      <c r="BZ192" s="74">
        <v>0</v>
      </c>
      <c r="CA192" s="74">
        <v>0</v>
      </c>
      <c r="CB192" s="74">
        <v>0</v>
      </c>
      <c r="CC192" s="74">
        <v>0</v>
      </c>
      <c r="CD192" s="74">
        <v>0</v>
      </c>
      <c r="CE192" s="74">
        <v>0</v>
      </c>
      <c r="CF192" s="74">
        <v>0</v>
      </c>
      <c r="CG192" s="74">
        <v>0</v>
      </c>
      <c r="CH192" s="74">
        <v>0</v>
      </c>
      <c r="CI192" s="94">
        <v>25000</v>
      </c>
      <c r="CJ192" s="143">
        <v>0</v>
      </c>
      <c r="CK192" s="143"/>
      <c r="CL192" s="142">
        <f t="shared" si="13"/>
        <v>0</v>
      </c>
      <c r="CM192" s="171">
        <v>0</v>
      </c>
      <c r="CN192" s="171">
        <v>0</v>
      </c>
      <c r="CO192" s="171">
        <v>0</v>
      </c>
      <c r="CP192" s="171">
        <v>0</v>
      </c>
      <c r="CQ192" s="171">
        <v>0</v>
      </c>
      <c r="CR192" s="171">
        <v>0</v>
      </c>
      <c r="CS192" s="171">
        <f t="shared" si="14"/>
        <v>0</v>
      </c>
      <c r="CT192" s="171">
        <f t="shared" si="15"/>
        <v>0</v>
      </c>
      <c r="CU192" s="171">
        <f t="shared" si="16"/>
        <v>0</v>
      </c>
      <c r="CV192" s="152">
        <v>25000</v>
      </c>
      <c r="CW192" s="149">
        <v>25000</v>
      </c>
      <c r="CX192" s="130">
        <v>2</v>
      </c>
      <c r="CY192" s="130">
        <v>2</v>
      </c>
      <c r="CZ192" s="130" t="s">
        <v>321</v>
      </c>
      <c r="DA192" s="130" t="s">
        <v>880</v>
      </c>
      <c r="DB192" s="130" t="s">
        <v>850</v>
      </c>
      <c r="DC192" s="130" t="s">
        <v>851</v>
      </c>
      <c r="DD192" s="130"/>
      <c r="DE192" s="131">
        <v>46177</v>
      </c>
      <c r="DF192" s="131">
        <v>46177</v>
      </c>
      <c r="DG192" s="132">
        <v>2</v>
      </c>
      <c r="DH192" s="131">
        <v>46178</v>
      </c>
      <c r="DI192" s="131">
        <v>46178</v>
      </c>
      <c r="DJ192" s="131">
        <v>46178</v>
      </c>
      <c r="DK192" s="131">
        <v>46181</v>
      </c>
      <c r="DL192" s="131">
        <v>46182</v>
      </c>
      <c r="DM192" s="131">
        <v>46183</v>
      </c>
      <c r="DN192" s="131">
        <v>46184</v>
      </c>
      <c r="DO192" s="131">
        <v>46185</v>
      </c>
      <c r="DP192" s="131">
        <v>46188</v>
      </c>
      <c r="DQ192" s="131">
        <v>46188</v>
      </c>
      <c r="DR192" s="132">
        <v>2</v>
      </c>
      <c r="DS192" s="131">
        <v>46189</v>
      </c>
      <c r="DT192" s="131">
        <v>46190</v>
      </c>
      <c r="DU192" s="131">
        <v>46191</v>
      </c>
      <c r="DV192" s="131">
        <v>46192</v>
      </c>
      <c r="DW192" s="131">
        <v>46192</v>
      </c>
      <c r="DX192" s="131">
        <v>46195</v>
      </c>
      <c r="DY192" s="131">
        <v>46195</v>
      </c>
      <c r="DZ192" s="132"/>
      <c r="EA192" s="132"/>
      <c r="EB192" s="132"/>
      <c r="EC192" s="132"/>
      <c r="ED192" s="131">
        <v>46196</v>
      </c>
      <c r="EE192" s="131">
        <v>46197</v>
      </c>
      <c r="EF192" s="131">
        <v>46197</v>
      </c>
      <c r="EG192" s="131">
        <v>46198</v>
      </c>
      <c r="EH192" s="131">
        <v>46199</v>
      </c>
      <c r="EI192" s="131">
        <v>46202</v>
      </c>
      <c r="EJ192" s="131">
        <v>46203</v>
      </c>
      <c r="EK192" s="131">
        <v>46203</v>
      </c>
      <c r="EL192" s="132">
        <v>18</v>
      </c>
      <c r="EM192" s="131">
        <v>46205</v>
      </c>
      <c r="EN192" s="131">
        <v>46209</v>
      </c>
      <c r="EO192" s="133">
        <v>46211</v>
      </c>
      <c r="EP192" s="133">
        <v>46212</v>
      </c>
      <c r="EQ192" s="133">
        <v>46213</v>
      </c>
      <c r="ER192" s="133">
        <v>46217</v>
      </c>
      <c r="ES192" s="133">
        <v>46218</v>
      </c>
      <c r="ET192" s="133">
        <v>46218</v>
      </c>
      <c r="EU192" s="133">
        <v>46223</v>
      </c>
      <c r="EV192" s="134">
        <v>2</v>
      </c>
      <c r="EW192" s="133">
        <v>46226</v>
      </c>
      <c r="EX192" s="133"/>
      <c r="EY192" s="154" t="s">
        <v>880</v>
      </c>
      <c r="EZ192" s="132" t="s">
        <v>907</v>
      </c>
      <c r="FA192" s="130"/>
      <c r="FB192" s="203">
        <v>46177</v>
      </c>
      <c r="FC192" s="203">
        <v>46177</v>
      </c>
      <c r="FD192" s="203">
        <v>46178</v>
      </c>
      <c r="FE192" s="203">
        <v>46178</v>
      </c>
      <c r="FF192" s="203">
        <v>46178</v>
      </c>
      <c r="FG192" s="203">
        <v>46181</v>
      </c>
      <c r="FH192" s="203">
        <v>46182</v>
      </c>
      <c r="FI192" s="203">
        <v>46183</v>
      </c>
      <c r="FJ192" s="203">
        <v>46184</v>
      </c>
      <c r="FK192" s="203">
        <v>46185</v>
      </c>
      <c r="FL192" s="203">
        <v>46188</v>
      </c>
      <c r="FM192" s="203">
        <v>46188</v>
      </c>
      <c r="FN192" s="203">
        <v>46189</v>
      </c>
      <c r="FO192" s="203">
        <v>46190</v>
      </c>
      <c r="FP192" s="203">
        <v>46191</v>
      </c>
      <c r="FQ192" s="203">
        <v>46192</v>
      </c>
      <c r="FR192" s="203">
        <v>46192</v>
      </c>
      <c r="FS192" s="203">
        <v>46195</v>
      </c>
      <c r="FT192" s="203">
        <v>46195</v>
      </c>
      <c r="FU192" s="203"/>
      <c r="FV192" s="203"/>
      <c r="FW192" s="203"/>
      <c r="FX192" s="203"/>
      <c r="FY192" s="203">
        <v>46196</v>
      </c>
      <c r="FZ192" s="203">
        <v>46197</v>
      </c>
      <c r="GA192" s="203">
        <v>46197</v>
      </c>
      <c r="GB192" s="203">
        <v>46198</v>
      </c>
      <c r="GC192" s="203">
        <v>46199</v>
      </c>
      <c r="GD192" s="203">
        <v>46202</v>
      </c>
      <c r="GE192" s="203">
        <v>46203</v>
      </c>
      <c r="GF192" s="203">
        <v>46203</v>
      </c>
      <c r="GG192" s="203">
        <v>18</v>
      </c>
      <c r="GH192" s="203">
        <v>46205</v>
      </c>
      <c r="GI192" s="203">
        <v>46209</v>
      </c>
      <c r="GJ192" s="203">
        <v>46211</v>
      </c>
      <c r="GK192" s="203">
        <v>46212</v>
      </c>
      <c r="GL192" s="203">
        <v>46213</v>
      </c>
      <c r="GM192" s="203">
        <v>46217</v>
      </c>
      <c r="GN192" s="203">
        <v>46218</v>
      </c>
      <c r="GO192" s="203">
        <v>46218</v>
      </c>
      <c r="GP192" s="203">
        <v>46223</v>
      </c>
      <c r="GQ192" s="203">
        <v>46226</v>
      </c>
      <c r="GR192" s="187"/>
      <c r="GS192" s="187" t="s">
        <v>1180</v>
      </c>
      <c r="GT192" s="187" t="s">
        <v>880</v>
      </c>
      <c r="GU192" s="187" t="s">
        <v>907</v>
      </c>
      <c r="GV192" s="187"/>
    </row>
    <row r="193" spans="1:204" s="68" customFormat="1" ht="14.45" customHeight="1" x14ac:dyDescent="0.25">
      <c r="A193" s="68" t="s">
        <v>697</v>
      </c>
      <c r="B193" s="82" t="s">
        <v>154</v>
      </c>
      <c r="C193" s="82" t="s">
        <v>172</v>
      </c>
      <c r="D193" s="95" t="s">
        <v>196</v>
      </c>
      <c r="E193" s="82" t="s">
        <v>309</v>
      </c>
      <c r="F193" s="82" t="s">
        <v>549</v>
      </c>
      <c r="G193" s="82" t="s">
        <v>137</v>
      </c>
      <c r="H193" s="82" t="s">
        <v>137</v>
      </c>
      <c r="I193" s="82" t="s">
        <v>66</v>
      </c>
      <c r="J193" s="82" t="s">
        <v>531</v>
      </c>
      <c r="K193" s="92" t="s">
        <v>137</v>
      </c>
      <c r="L193" s="92" t="s">
        <v>137</v>
      </c>
      <c r="M193" s="92" t="s">
        <v>137</v>
      </c>
      <c r="N193" s="92" t="s">
        <v>137</v>
      </c>
      <c r="O193" s="92" t="s">
        <v>137</v>
      </c>
      <c r="P193" s="92" t="s">
        <v>137</v>
      </c>
      <c r="Q193" s="82" t="s">
        <v>552</v>
      </c>
      <c r="R193" s="82" t="s">
        <v>715</v>
      </c>
      <c r="S193" s="82" t="s">
        <v>555</v>
      </c>
      <c r="T193" s="82" t="s">
        <v>320</v>
      </c>
      <c r="U193" s="83">
        <v>0.95</v>
      </c>
      <c r="V193" s="83">
        <v>0.95</v>
      </c>
      <c r="W193" s="83">
        <v>0.95</v>
      </c>
      <c r="X193" s="83">
        <v>0.95</v>
      </c>
      <c r="Y193" s="83">
        <v>0.95</v>
      </c>
      <c r="Z193" s="83">
        <v>0.95</v>
      </c>
      <c r="AA193" s="83">
        <v>0.95</v>
      </c>
      <c r="AB193" s="83">
        <v>0.95</v>
      </c>
      <c r="AC193" s="83">
        <v>0.95</v>
      </c>
      <c r="AD193" s="83">
        <v>0.95</v>
      </c>
      <c r="AE193" s="83">
        <v>0.95</v>
      </c>
      <c r="AF193" s="83">
        <v>0.95</v>
      </c>
      <c r="AG193" s="82" t="s">
        <v>533</v>
      </c>
      <c r="AH193" s="82" t="s">
        <v>529</v>
      </c>
      <c r="AI193" s="88" t="s">
        <v>538</v>
      </c>
      <c r="AJ193" s="89" t="s">
        <v>538</v>
      </c>
      <c r="AK193" s="90">
        <v>46023</v>
      </c>
      <c r="AL193" s="90">
        <v>46387</v>
      </c>
      <c r="AM193" s="89"/>
      <c r="AN193" s="89"/>
      <c r="AO193" s="89"/>
      <c r="AP193" s="91" t="s">
        <v>542</v>
      </c>
      <c r="AQ193" s="90" cm="1">
        <f t="array" ref="AQ193">IFERROR(DATE(2026, _xlfn.AGGREGATE(15, 6, (COLUMN(BY193:CJ193)-COLUMN(BY193)+1)/(BY193:CJ193&lt;&gt;0), 1), 1),"N/A")</f>
        <v>46023</v>
      </c>
      <c r="AR193" s="90" cm="1">
        <f t="array" ref="AR193">IFERROR(EOMONTH(DATE(2026, _xlfn.AGGREGATE(14, 6, (COLUMN(BY193:CJ193)-COLUMN(BY193)+1)/(BY193:CJ193&lt;&gt;0), 1), 1), 0),"N/A")</f>
        <v>46173</v>
      </c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2" t="s">
        <v>729</v>
      </c>
      <c r="BF193" s="82" t="s">
        <v>1029</v>
      </c>
      <c r="BG193" s="82" t="str">
        <f t="shared" si="12"/>
        <v>000</v>
      </c>
      <c r="BH193" s="88">
        <v>530606</v>
      </c>
      <c r="BI193" s="92" t="s">
        <v>74</v>
      </c>
      <c r="BJ193" s="93">
        <v>12500</v>
      </c>
      <c r="BK193" s="74">
        <v>2500</v>
      </c>
      <c r="BL193" s="74">
        <v>2500</v>
      </c>
      <c r="BM193" s="74">
        <v>2500</v>
      </c>
      <c r="BN193" s="74">
        <v>2500</v>
      </c>
      <c r="BO193" s="74">
        <v>2500</v>
      </c>
      <c r="BP193" s="74"/>
      <c r="BQ193" s="74"/>
      <c r="BR193" s="94"/>
      <c r="BS193" s="94"/>
      <c r="BT193" s="74"/>
      <c r="BU193" s="74"/>
      <c r="BV193" s="142"/>
      <c r="BW193" s="142"/>
      <c r="BX193" s="143">
        <f t="shared" si="17"/>
        <v>12500</v>
      </c>
      <c r="BY193" s="74">
        <v>2500</v>
      </c>
      <c r="BZ193" s="74">
        <v>2500</v>
      </c>
      <c r="CA193" s="74">
        <v>2500</v>
      </c>
      <c r="CB193" s="74">
        <v>2500</v>
      </c>
      <c r="CC193" s="74">
        <v>2500</v>
      </c>
      <c r="CD193" s="74"/>
      <c r="CE193" s="74"/>
      <c r="CF193" s="94"/>
      <c r="CG193" s="94"/>
      <c r="CH193" s="74"/>
      <c r="CI193" s="74"/>
      <c r="CJ193" s="142"/>
      <c r="CK193" s="142"/>
      <c r="CL193" s="142">
        <f t="shared" si="13"/>
        <v>0</v>
      </c>
      <c r="CM193" s="171">
        <v>0</v>
      </c>
      <c r="CN193" s="171">
        <v>12500</v>
      </c>
      <c r="CO193" s="171">
        <v>0</v>
      </c>
      <c r="CP193" s="171">
        <v>2500</v>
      </c>
      <c r="CQ193" s="171">
        <v>0</v>
      </c>
      <c r="CR193" s="171">
        <v>12500</v>
      </c>
      <c r="CS193" s="171">
        <f t="shared" si="14"/>
        <v>2500</v>
      </c>
      <c r="CT193" s="171">
        <f t="shared" si="15"/>
        <v>12500</v>
      </c>
      <c r="CU193" s="171">
        <f t="shared" si="16"/>
        <v>12500</v>
      </c>
      <c r="CV193" s="149"/>
      <c r="CW193" s="149"/>
      <c r="CX193" s="130"/>
      <c r="CY193" s="130"/>
      <c r="CZ193" s="130"/>
      <c r="DA193" s="130"/>
      <c r="DB193" s="130"/>
      <c r="DC193" s="130"/>
      <c r="DD193" s="130"/>
      <c r="DE193" s="130"/>
      <c r="DF193" s="130"/>
      <c r="DG193" s="130"/>
      <c r="DH193" s="130"/>
      <c r="DI193" s="130"/>
      <c r="DJ193" s="130"/>
      <c r="DK193" s="130"/>
      <c r="DL193" s="130"/>
      <c r="DM193" s="130"/>
      <c r="DN193" s="130"/>
      <c r="DO193" s="130"/>
      <c r="DP193" s="130"/>
      <c r="DQ193" s="130"/>
      <c r="DR193" s="130"/>
      <c r="DS193" s="130"/>
      <c r="DT193" s="130"/>
      <c r="DU193" s="130"/>
      <c r="DV193" s="130"/>
      <c r="DW193" s="130"/>
      <c r="DX193" s="130"/>
      <c r="DY193" s="130"/>
      <c r="DZ193" s="130"/>
      <c r="EA193" s="130"/>
      <c r="EB193" s="130"/>
      <c r="EC193" s="130"/>
      <c r="ED193" s="130"/>
      <c r="EE193" s="130"/>
      <c r="EF193" s="130"/>
      <c r="EG193" s="130"/>
      <c r="EH193" s="130"/>
      <c r="EI193" s="130"/>
      <c r="EJ193" s="130"/>
      <c r="EK193" s="130"/>
      <c r="EL193" s="130"/>
      <c r="EM193" s="130"/>
      <c r="EN193" s="130"/>
      <c r="EO193" s="130"/>
      <c r="EP193" s="130"/>
      <c r="EQ193" s="130"/>
      <c r="ER193" s="130"/>
      <c r="ES193" s="130"/>
      <c r="ET193" s="130"/>
      <c r="EU193" s="130"/>
      <c r="EV193" s="130"/>
      <c r="EW193" s="130"/>
      <c r="EX193" s="130"/>
      <c r="EY193" s="130"/>
      <c r="EZ193" s="130"/>
      <c r="FA193" s="130"/>
      <c r="FB193" s="201"/>
      <c r="FC193" s="201"/>
      <c r="FD193" s="201"/>
      <c r="FE193" s="201"/>
      <c r="FF193" s="201"/>
      <c r="FG193" s="201"/>
      <c r="FH193" s="201"/>
      <c r="FI193" s="201"/>
      <c r="FJ193" s="201"/>
      <c r="FK193" s="201"/>
      <c r="FL193" s="201"/>
      <c r="FM193" s="201"/>
      <c r="FN193" s="201"/>
      <c r="FO193" s="201"/>
      <c r="FP193" s="201"/>
      <c r="FQ193" s="201"/>
      <c r="FR193" s="201"/>
      <c r="FS193" s="201"/>
      <c r="FT193" s="201"/>
      <c r="FU193" s="201"/>
      <c r="FV193" s="201"/>
      <c r="FW193" s="201"/>
      <c r="FX193" s="201"/>
      <c r="FY193" s="201"/>
      <c r="FZ193" s="201"/>
      <c r="GA193" s="201"/>
      <c r="GB193" s="201"/>
      <c r="GC193" s="201"/>
      <c r="GD193" s="201"/>
      <c r="GE193" s="201"/>
      <c r="GF193" s="201"/>
      <c r="GG193" s="201"/>
      <c r="GH193" s="201"/>
      <c r="GI193" s="201"/>
      <c r="GJ193" s="201"/>
      <c r="GK193" s="201"/>
      <c r="GL193" s="201"/>
      <c r="GM193" s="201"/>
      <c r="GN193" s="201"/>
      <c r="GO193" s="201"/>
      <c r="GP193" s="201"/>
      <c r="GQ193" s="201"/>
    </row>
    <row r="194" spans="1:204" s="68" customFormat="1" ht="14.45" customHeight="1" x14ac:dyDescent="0.25">
      <c r="A194" s="68" t="s">
        <v>693</v>
      </c>
      <c r="B194" s="82" t="s">
        <v>154</v>
      </c>
      <c r="C194" s="82" t="s">
        <v>172</v>
      </c>
      <c r="D194" s="82" t="s">
        <v>196</v>
      </c>
      <c r="E194" s="82" t="s">
        <v>309</v>
      </c>
      <c r="F194" s="82" t="s">
        <v>549</v>
      </c>
      <c r="G194" s="82" t="s">
        <v>137</v>
      </c>
      <c r="H194" s="82" t="s">
        <v>137</v>
      </c>
      <c r="I194" s="82" t="s">
        <v>66</v>
      </c>
      <c r="J194" s="82" t="s">
        <v>29</v>
      </c>
      <c r="K194" s="92" t="s">
        <v>137</v>
      </c>
      <c r="L194" s="92" t="s">
        <v>137</v>
      </c>
      <c r="M194" s="92" t="s">
        <v>137</v>
      </c>
      <c r="N194" s="92" t="s">
        <v>137</v>
      </c>
      <c r="O194" s="92" t="s">
        <v>137</v>
      </c>
      <c r="P194" s="92" t="s">
        <v>137</v>
      </c>
      <c r="Q194" s="82" t="s">
        <v>87</v>
      </c>
      <c r="R194" s="82" t="s">
        <v>714</v>
      </c>
      <c r="S194" s="82" t="s">
        <v>40</v>
      </c>
      <c r="T194" s="82" t="s">
        <v>2</v>
      </c>
      <c r="U194" s="83"/>
      <c r="V194" s="83">
        <v>0.05</v>
      </c>
      <c r="W194" s="83">
        <v>0.08</v>
      </c>
      <c r="X194" s="83">
        <v>0.15</v>
      </c>
      <c r="Y194" s="83">
        <v>0.2</v>
      </c>
      <c r="Z194" s="83">
        <v>0.25</v>
      </c>
      <c r="AA194" s="83">
        <v>0.37</v>
      </c>
      <c r="AB194" s="83">
        <v>0.42</v>
      </c>
      <c r="AC194" s="83">
        <v>0.57999999999999996</v>
      </c>
      <c r="AD194" s="83">
        <v>0.67</v>
      </c>
      <c r="AE194" s="83">
        <v>0.83</v>
      </c>
      <c r="AF194" s="83">
        <v>1</v>
      </c>
      <c r="AG194" s="82" t="s">
        <v>532</v>
      </c>
      <c r="AH194" s="82" t="s">
        <v>529</v>
      </c>
      <c r="AI194" s="88" t="s">
        <v>538</v>
      </c>
      <c r="AJ194" s="89" t="s">
        <v>538</v>
      </c>
      <c r="AK194" s="90">
        <v>46023</v>
      </c>
      <c r="AL194" s="90">
        <v>46387</v>
      </c>
      <c r="AM194" s="89"/>
      <c r="AN194" s="89"/>
      <c r="AO194" s="89"/>
      <c r="AP194" s="91" t="s">
        <v>539</v>
      </c>
      <c r="AQ194" s="90" t="str" cm="1">
        <f t="array" ref="AQ194">IFERROR(DATE(2026, _xlfn.AGGREGATE(15, 6, (COLUMN(BY194:CJ194)-COLUMN(BY194)+1)/(BY194:CJ194&lt;&gt;0), 1), 1),"N/A")</f>
        <v>N/A</v>
      </c>
      <c r="AR194" s="90" t="str" cm="1">
        <f t="array" ref="AR194">IFERROR(EOMONTH(DATE(2026, _xlfn.AGGREGATE(14, 6, (COLUMN(BY194:CJ194)-COLUMN(BY194)+1)/(BY194:CJ194&lt;&gt;0), 1), 1), 0),"N/A")</f>
        <v>N/A</v>
      </c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BE194" s="82" t="s">
        <v>670</v>
      </c>
      <c r="BF194" s="82" t="s">
        <v>1020</v>
      </c>
      <c r="BG194" s="82" t="str">
        <f t="shared" si="12"/>
        <v>000</v>
      </c>
      <c r="BH194" s="88">
        <v>530701</v>
      </c>
      <c r="BI194" s="92" t="s">
        <v>74</v>
      </c>
      <c r="BJ194" s="93">
        <v>50000</v>
      </c>
      <c r="BK194" s="74">
        <v>0</v>
      </c>
      <c r="BL194" s="74">
        <v>0</v>
      </c>
      <c r="BM194" s="74">
        <v>0</v>
      </c>
      <c r="BN194" s="74">
        <v>0</v>
      </c>
      <c r="BO194" s="74">
        <v>0</v>
      </c>
      <c r="BP194" s="74">
        <v>0</v>
      </c>
      <c r="BQ194" s="74">
        <v>0</v>
      </c>
      <c r="BR194" s="94">
        <v>50000</v>
      </c>
      <c r="BS194" s="74">
        <v>0</v>
      </c>
      <c r="BT194" s="74">
        <v>0</v>
      </c>
      <c r="BU194" s="74">
        <v>0</v>
      </c>
      <c r="BV194" s="143">
        <v>0</v>
      </c>
      <c r="BW194" s="143">
        <v>-50000</v>
      </c>
      <c r="BX194" s="143">
        <f t="shared" si="17"/>
        <v>0</v>
      </c>
      <c r="BY194" s="74">
        <v>0</v>
      </c>
      <c r="BZ194" s="74">
        <v>0</v>
      </c>
      <c r="CA194" s="74">
        <v>0</v>
      </c>
      <c r="CB194" s="74">
        <v>0</v>
      </c>
      <c r="CC194" s="74">
        <v>0</v>
      </c>
      <c r="CD194" s="74">
        <v>0</v>
      </c>
      <c r="CE194" s="74">
        <v>0</v>
      </c>
      <c r="CF194" s="94">
        <v>0</v>
      </c>
      <c r="CG194" s="74">
        <v>0</v>
      </c>
      <c r="CH194" s="74">
        <v>0</v>
      </c>
      <c r="CI194" s="74">
        <v>0</v>
      </c>
      <c r="CJ194" s="143">
        <v>0</v>
      </c>
      <c r="CK194" s="143"/>
      <c r="CL194" s="142">
        <f t="shared" si="13"/>
        <v>0</v>
      </c>
      <c r="CM194" s="171">
        <v>0</v>
      </c>
      <c r="CN194" s="171">
        <v>0</v>
      </c>
      <c r="CO194" s="171">
        <v>0</v>
      </c>
      <c r="CP194" s="171">
        <v>0</v>
      </c>
      <c r="CQ194" s="171">
        <v>0</v>
      </c>
      <c r="CR194" s="171">
        <v>0</v>
      </c>
      <c r="CS194" s="171">
        <f t="shared" si="14"/>
        <v>0</v>
      </c>
      <c r="CT194" s="171">
        <f t="shared" si="15"/>
        <v>0</v>
      </c>
      <c r="CU194" s="171">
        <f t="shared" si="16"/>
        <v>0</v>
      </c>
      <c r="CV194" s="152">
        <v>50000</v>
      </c>
      <c r="CW194" s="152"/>
      <c r="CX194" s="130">
        <v>2</v>
      </c>
      <c r="CY194" s="130"/>
      <c r="CZ194" s="130" t="s">
        <v>321</v>
      </c>
      <c r="DA194" s="130" t="s">
        <v>887</v>
      </c>
      <c r="DB194" s="130" t="s">
        <v>859</v>
      </c>
      <c r="DC194" s="130" t="s">
        <v>851</v>
      </c>
      <c r="DD194" s="130"/>
      <c r="DE194" s="131">
        <v>46162</v>
      </c>
      <c r="DF194" s="131">
        <v>46162</v>
      </c>
      <c r="DG194" s="132">
        <v>2</v>
      </c>
      <c r="DH194" s="131">
        <v>46163</v>
      </c>
      <c r="DI194" s="131">
        <v>46163</v>
      </c>
      <c r="DJ194" s="131">
        <v>46163</v>
      </c>
      <c r="DK194" s="131">
        <v>46164</v>
      </c>
      <c r="DL194" s="131">
        <v>46167</v>
      </c>
      <c r="DM194" s="131">
        <v>46168</v>
      </c>
      <c r="DN194" s="131">
        <v>46169</v>
      </c>
      <c r="DO194" s="131">
        <v>46170</v>
      </c>
      <c r="DP194" s="131">
        <v>46171</v>
      </c>
      <c r="DQ194" s="131">
        <v>46171</v>
      </c>
      <c r="DR194" s="132">
        <v>2</v>
      </c>
      <c r="DS194" s="131">
        <v>46174</v>
      </c>
      <c r="DT194" s="131">
        <v>46175</v>
      </c>
      <c r="DU194" s="131">
        <v>46176</v>
      </c>
      <c r="DV194" s="131">
        <v>46177</v>
      </c>
      <c r="DW194" s="131">
        <v>46177</v>
      </c>
      <c r="DX194" s="131">
        <v>46178</v>
      </c>
      <c r="DY194" s="131">
        <v>46178</v>
      </c>
      <c r="DZ194" s="132"/>
      <c r="EA194" s="132"/>
      <c r="EB194" s="132"/>
      <c r="EC194" s="132"/>
      <c r="ED194" s="131">
        <v>46181</v>
      </c>
      <c r="EE194" s="131">
        <v>46182</v>
      </c>
      <c r="EF194" s="131">
        <v>46182</v>
      </c>
      <c r="EG194" s="131">
        <v>46183</v>
      </c>
      <c r="EH194" s="131">
        <v>46184</v>
      </c>
      <c r="EI194" s="131">
        <v>46185</v>
      </c>
      <c r="EJ194" s="131">
        <v>46188</v>
      </c>
      <c r="EK194" s="131">
        <v>46188</v>
      </c>
      <c r="EL194" s="132">
        <v>18</v>
      </c>
      <c r="EM194" s="131">
        <v>46190</v>
      </c>
      <c r="EN194" s="131">
        <v>46192</v>
      </c>
      <c r="EO194" s="133">
        <v>46196</v>
      </c>
      <c r="EP194" s="133">
        <v>46197</v>
      </c>
      <c r="EQ194" s="133">
        <v>46198</v>
      </c>
      <c r="ER194" s="133">
        <v>46202</v>
      </c>
      <c r="ES194" s="133">
        <v>46203</v>
      </c>
      <c r="ET194" s="133">
        <v>46203</v>
      </c>
      <c r="EU194" s="133">
        <v>46206</v>
      </c>
      <c r="EV194" s="134">
        <v>2</v>
      </c>
      <c r="EW194" s="133">
        <v>46211</v>
      </c>
      <c r="EX194" s="133"/>
      <c r="EY194" s="154" t="s">
        <v>887</v>
      </c>
      <c r="EZ194" s="132" t="s">
        <v>876</v>
      </c>
      <c r="FA194" s="136" t="s">
        <v>888</v>
      </c>
      <c r="FB194" s="201"/>
      <c r="FC194" s="201"/>
      <c r="FD194" s="201"/>
      <c r="FE194" s="201"/>
      <c r="FF194" s="201"/>
      <c r="FG194" s="201"/>
      <c r="FH194" s="201"/>
      <c r="FI194" s="201"/>
      <c r="FJ194" s="201"/>
      <c r="FK194" s="201"/>
      <c r="FL194" s="201"/>
      <c r="FM194" s="201"/>
      <c r="FN194" s="201"/>
      <c r="FO194" s="201"/>
      <c r="FP194" s="201"/>
      <c r="FQ194" s="201"/>
      <c r="FR194" s="201"/>
      <c r="FS194" s="201"/>
      <c r="FT194" s="201"/>
      <c r="FU194" s="201"/>
      <c r="FV194" s="201"/>
      <c r="FW194" s="201"/>
      <c r="FX194" s="201"/>
      <c r="FY194" s="201"/>
      <c r="FZ194" s="201"/>
      <c r="GA194" s="201"/>
      <c r="GB194" s="201"/>
      <c r="GC194" s="201"/>
      <c r="GD194" s="201"/>
      <c r="GE194" s="201"/>
      <c r="GF194" s="201"/>
      <c r="GG194" s="201"/>
      <c r="GH194" s="201"/>
      <c r="GI194" s="201"/>
      <c r="GJ194" s="201"/>
      <c r="GK194" s="201"/>
      <c r="GL194" s="201"/>
      <c r="GM194" s="201"/>
      <c r="GN194" s="201"/>
      <c r="GO194" s="201"/>
      <c r="GP194" s="201"/>
      <c r="GQ194" s="201"/>
    </row>
    <row r="195" spans="1:204" s="68" customFormat="1" ht="14.45" customHeight="1" x14ac:dyDescent="0.25">
      <c r="A195" s="68" t="s">
        <v>693</v>
      </c>
      <c r="B195" s="82" t="s">
        <v>154</v>
      </c>
      <c r="C195" s="82" t="s">
        <v>172</v>
      </c>
      <c r="D195" s="82" t="s">
        <v>196</v>
      </c>
      <c r="E195" s="82" t="s">
        <v>309</v>
      </c>
      <c r="F195" s="82" t="s">
        <v>549</v>
      </c>
      <c r="G195" s="82" t="s">
        <v>137</v>
      </c>
      <c r="H195" s="82" t="s">
        <v>137</v>
      </c>
      <c r="I195" s="82" t="s">
        <v>66</v>
      </c>
      <c r="J195" s="82" t="s">
        <v>29</v>
      </c>
      <c r="K195" s="92" t="s">
        <v>137</v>
      </c>
      <c r="L195" s="92" t="s">
        <v>137</v>
      </c>
      <c r="M195" s="92" t="s">
        <v>137</v>
      </c>
      <c r="N195" s="92" t="s">
        <v>137</v>
      </c>
      <c r="O195" s="92" t="s">
        <v>137</v>
      </c>
      <c r="P195" s="92" t="s">
        <v>137</v>
      </c>
      <c r="Q195" s="82" t="s">
        <v>87</v>
      </c>
      <c r="R195" s="82" t="s">
        <v>714</v>
      </c>
      <c r="S195" s="82" t="s">
        <v>40</v>
      </c>
      <c r="T195" s="82" t="s">
        <v>2</v>
      </c>
      <c r="U195" s="83"/>
      <c r="V195" s="83">
        <v>0.05</v>
      </c>
      <c r="W195" s="83">
        <v>0.08</v>
      </c>
      <c r="X195" s="83">
        <v>0.15</v>
      </c>
      <c r="Y195" s="83">
        <v>0.2</v>
      </c>
      <c r="Z195" s="83">
        <v>0.25</v>
      </c>
      <c r="AA195" s="83">
        <v>0.37</v>
      </c>
      <c r="AB195" s="83">
        <v>0.42</v>
      </c>
      <c r="AC195" s="83">
        <v>0.57999999999999996</v>
      </c>
      <c r="AD195" s="83">
        <v>0.67</v>
      </c>
      <c r="AE195" s="83">
        <v>0.83</v>
      </c>
      <c r="AF195" s="83">
        <v>1</v>
      </c>
      <c r="AG195" s="82" t="s">
        <v>532</v>
      </c>
      <c r="AH195" s="82" t="s">
        <v>529</v>
      </c>
      <c r="AI195" s="88" t="s">
        <v>538</v>
      </c>
      <c r="AJ195" s="89" t="s">
        <v>538</v>
      </c>
      <c r="AK195" s="90">
        <v>46023</v>
      </c>
      <c r="AL195" s="90">
        <v>46387</v>
      </c>
      <c r="AM195" s="89"/>
      <c r="AN195" s="89"/>
      <c r="AO195" s="89"/>
      <c r="AP195" s="91" t="s">
        <v>539</v>
      </c>
      <c r="AQ195" s="90" cm="1">
        <f t="array" ref="AQ195">IFERROR(DATE(2026, _xlfn.AGGREGATE(15, 6, (COLUMN(BY195:CJ195)-COLUMN(BY195)+1)/(BY195:CJ195&lt;&gt;0), 1), 1),"N/A")</f>
        <v>46235</v>
      </c>
      <c r="AR195" s="90" cm="1">
        <f t="array" ref="AR195">IFERROR(EOMONTH(DATE(2026, _xlfn.AGGREGATE(14, 6, (COLUMN(BY195:CJ195)-COLUMN(BY195)+1)/(BY195:CJ195&lt;&gt;0), 1), 1), 0),"N/A")</f>
        <v>46265</v>
      </c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/>
      <c r="BE195" s="95" t="s">
        <v>1088</v>
      </c>
      <c r="BF195" s="82" t="s">
        <v>1089</v>
      </c>
      <c r="BG195" s="82" t="str">
        <f t="shared" si="12"/>
        <v>000</v>
      </c>
      <c r="BH195" s="88">
        <v>530702</v>
      </c>
      <c r="BI195" s="92" t="s">
        <v>74</v>
      </c>
      <c r="BJ195" s="93">
        <v>0</v>
      </c>
      <c r="BK195" s="74"/>
      <c r="BL195" s="74"/>
      <c r="BM195" s="74"/>
      <c r="BN195" s="74"/>
      <c r="BO195" s="74"/>
      <c r="BP195" s="74"/>
      <c r="BQ195" s="74"/>
      <c r="BR195" s="94"/>
      <c r="BS195" s="74"/>
      <c r="BT195" s="74"/>
      <c r="BU195" s="74"/>
      <c r="BV195" s="143"/>
      <c r="BW195" s="143">
        <v>9259.93</v>
      </c>
      <c r="BX195" s="143">
        <f t="shared" si="17"/>
        <v>9259.93</v>
      </c>
      <c r="BY195" s="74"/>
      <c r="BZ195" s="74"/>
      <c r="CA195" s="74"/>
      <c r="CB195" s="74"/>
      <c r="CC195" s="74"/>
      <c r="CD195" s="74"/>
      <c r="CE195" s="74"/>
      <c r="CF195" s="94">
        <v>9259.93</v>
      </c>
      <c r="CG195" s="74"/>
      <c r="CH195" s="74"/>
      <c r="CI195" s="74"/>
      <c r="CJ195" s="143"/>
      <c r="CK195" s="143"/>
      <c r="CL195" s="142">
        <f t="shared" si="13"/>
        <v>0</v>
      </c>
      <c r="CM195" s="171">
        <v>0</v>
      </c>
      <c r="CN195" s="171">
        <v>0</v>
      </c>
      <c r="CO195" s="171">
        <v>0</v>
      </c>
      <c r="CP195" s="171">
        <v>0</v>
      </c>
      <c r="CQ195" s="171">
        <v>0</v>
      </c>
      <c r="CR195" s="171">
        <v>0</v>
      </c>
      <c r="CS195" s="171">
        <f t="shared" si="14"/>
        <v>0</v>
      </c>
      <c r="CT195" s="171">
        <f t="shared" si="15"/>
        <v>0</v>
      </c>
      <c r="CU195" s="171">
        <f t="shared" si="16"/>
        <v>0</v>
      </c>
      <c r="CV195" s="152"/>
      <c r="CW195" s="199">
        <v>9259.93</v>
      </c>
      <c r="CX195" s="130"/>
      <c r="CY195" s="130">
        <v>2</v>
      </c>
      <c r="CZ195" s="130"/>
      <c r="DA195" s="130"/>
      <c r="DB195" s="130"/>
      <c r="DC195" s="130"/>
      <c r="DD195" s="130"/>
      <c r="DE195" s="131"/>
      <c r="DF195" s="131"/>
      <c r="DG195" s="132"/>
      <c r="DH195" s="131"/>
      <c r="DI195" s="131"/>
      <c r="DJ195" s="131"/>
      <c r="DK195" s="131"/>
      <c r="DL195" s="131"/>
      <c r="DM195" s="131"/>
      <c r="DN195" s="131"/>
      <c r="DO195" s="131"/>
      <c r="DP195" s="131"/>
      <c r="DQ195" s="131"/>
      <c r="DR195" s="132"/>
      <c r="DS195" s="131"/>
      <c r="DT195" s="131"/>
      <c r="DU195" s="131"/>
      <c r="DV195" s="131"/>
      <c r="DW195" s="131"/>
      <c r="DX195" s="131"/>
      <c r="DY195" s="131"/>
      <c r="DZ195" s="132"/>
      <c r="EA195" s="132"/>
      <c r="EB195" s="132"/>
      <c r="EC195" s="132"/>
      <c r="ED195" s="131"/>
      <c r="EE195" s="131"/>
      <c r="EF195" s="131"/>
      <c r="EG195" s="131"/>
      <c r="EH195" s="131"/>
      <c r="EI195" s="131"/>
      <c r="EJ195" s="131"/>
      <c r="EK195" s="131"/>
      <c r="EL195" s="132"/>
      <c r="EM195" s="131"/>
      <c r="EN195" s="131"/>
      <c r="EO195" s="133"/>
      <c r="EP195" s="133"/>
      <c r="EQ195" s="133"/>
      <c r="ER195" s="133"/>
      <c r="ES195" s="133"/>
      <c r="ET195" s="133"/>
      <c r="EU195" s="133"/>
      <c r="EV195" s="134"/>
      <c r="EW195" s="133"/>
      <c r="EX195" s="133"/>
      <c r="EY195" s="154"/>
      <c r="EZ195" s="132"/>
      <c r="FA195" s="136"/>
      <c r="FB195" s="203">
        <v>46178</v>
      </c>
      <c r="FC195" s="203">
        <v>46178</v>
      </c>
      <c r="FD195" s="203">
        <v>46181</v>
      </c>
      <c r="FE195" s="203">
        <v>46181</v>
      </c>
      <c r="FF195" s="203">
        <v>46181</v>
      </c>
      <c r="FG195" s="203">
        <v>46182</v>
      </c>
      <c r="FH195" s="203">
        <v>46183</v>
      </c>
      <c r="FI195" s="203">
        <v>46184</v>
      </c>
      <c r="FJ195" s="203">
        <v>46185</v>
      </c>
      <c r="FK195" s="203">
        <v>46188</v>
      </c>
      <c r="FL195" s="203">
        <v>46189</v>
      </c>
      <c r="FM195" s="203">
        <v>46189</v>
      </c>
      <c r="FN195" s="203">
        <v>46190</v>
      </c>
      <c r="FO195" s="203">
        <v>46191</v>
      </c>
      <c r="FP195" s="203">
        <v>46192</v>
      </c>
      <c r="FQ195" s="203">
        <v>46195</v>
      </c>
      <c r="FR195" s="203">
        <v>46195</v>
      </c>
      <c r="FS195" s="203">
        <v>46196</v>
      </c>
      <c r="FT195" s="203">
        <v>46196</v>
      </c>
      <c r="FU195" s="203"/>
      <c r="FV195" s="203"/>
      <c r="FW195" s="203"/>
      <c r="FX195" s="203"/>
      <c r="FY195" s="203">
        <v>46197</v>
      </c>
      <c r="FZ195" s="203">
        <v>46198</v>
      </c>
      <c r="GA195" s="203">
        <v>46198</v>
      </c>
      <c r="GB195" s="203"/>
      <c r="GC195" s="203"/>
      <c r="GD195" s="203"/>
      <c r="GE195" s="203">
        <v>46198</v>
      </c>
      <c r="GF195" s="203">
        <v>46204</v>
      </c>
      <c r="GG195" s="203">
        <v>18</v>
      </c>
      <c r="GH195" s="203"/>
      <c r="GI195" s="203"/>
      <c r="GJ195" s="203"/>
      <c r="GK195" s="203"/>
      <c r="GL195" s="203"/>
      <c r="GM195" s="203"/>
      <c r="GN195" s="203"/>
      <c r="GO195" s="203"/>
      <c r="GP195" s="203"/>
      <c r="GQ195" s="203">
        <v>46204</v>
      </c>
      <c r="GR195" s="187"/>
      <c r="GS195" s="187" t="s">
        <v>1181</v>
      </c>
      <c r="GT195" s="187" t="s">
        <v>854</v>
      </c>
      <c r="GU195" s="187" t="s">
        <v>1175</v>
      </c>
      <c r="GV195" s="187"/>
    </row>
    <row r="196" spans="1:204" s="68" customFormat="1" ht="14.45" customHeight="1" x14ac:dyDescent="0.25">
      <c r="A196" s="68" t="s">
        <v>693</v>
      </c>
      <c r="B196" s="82" t="s">
        <v>154</v>
      </c>
      <c r="C196" s="82" t="s">
        <v>172</v>
      </c>
      <c r="D196" s="82" t="s">
        <v>196</v>
      </c>
      <c r="E196" s="82" t="s">
        <v>309</v>
      </c>
      <c r="F196" s="82" t="s">
        <v>549</v>
      </c>
      <c r="G196" s="82" t="s">
        <v>137</v>
      </c>
      <c r="H196" s="82" t="s">
        <v>137</v>
      </c>
      <c r="I196" s="82" t="s">
        <v>66</v>
      </c>
      <c r="J196" s="82" t="s">
        <v>29</v>
      </c>
      <c r="K196" s="92" t="s">
        <v>137</v>
      </c>
      <c r="L196" s="92" t="s">
        <v>137</v>
      </c>
      <c r="M196" s="92" t="s">
        <v>137</v>
      </c>
      <c r="N196" s="92" t="s">
        <v>137</v>
      </c>
      <c r="O196" s="92" t="s">
        <v>137</v>
      </c>
      <c r="P196" s="92" t="s">
        <v>137</v>
      </c>
      <c r="Q196" s="82" t="s">
        <v>87</v>
      </c>
      <c r="R196" s="82" t="s">
        <v>714</v>
      </c>
      <c r="S196" s="82" t="s">
        <v>40</v>
      </c>
      <c r="T196" s="82" t="s">
        <v>2</v>
      </c>
      <c r="U196" s="83"/>
      <c r="V196" s="83">
        <v>0.05</v>
      </c>
      <c r="W196" s="83">
        <v>0.08</v>
      </c>
      <c r="X196" s="83">
        <v>0.15</v>
      </c>
      <c r="Y196" s="83">
        <v>0.2</v>
      </c>
      <c r="Z196" s="83">
        <v>0.25</v>
      </c>
      <c r="AA196" s="83">
        <v>0.37</v>
      </c>
      <c r="AB196" s="83">
        <v>0.42</v>
      </c>
      <c r="AC196" s="83">
        <v>0.57999999999999996</v>
      </c>
      <c r="AD196" s="83">
        <v>0.67</v>
      </c>
      <c r="AE196" s="83">
        <v>0.83</v>
      </c>
      <c r="AF196" s="83">
        <v>1</v>
      </c>
      <c r="AG196" s="82" t="s">
        <v>532</v>
      </c>
      <c r="AH196" s="82" t="s">
        <v>529</v>
      </c>
      <c r="AI196" s="88" t="s">
        <v>538</v>
      </c>
      <c r="AJ196" s="89" t="s">
        <v>538</v>
      </c>
      <c r="AK196" s="90">
        <v>46023</v>
      </c>
      <c r="AL196" s="90">
        <v>46387</v>
      </c>
      <c r="AM196" s="89"/>
      <c r="AN196" s="89"/>
      <c r="AO196" s="89"/>
      <c r="AP196" s="91" t="s">
        <v>539</v>
      </c>
      <c r="AQ196" s="90" cm="1">
        <f t="array" ref="AQ196">IFERROR(DATE(2026, _xlfn.AGGREGATE(15, 6, (COLUMN(BY196:CJ196)-COLUMN(BY196)+1)/(BY196:CJ196&lt;&gt;0), 1), 1),"N/A")</f>
        <v>46143</v>
      </c>
      <c r="AR196" s="90" cm="1">
        <f t="array" ref="AR196">IFERROR(EOMONTH(DATE(2026, _xlfn.AGGREGATE(14, 6, (COLUMN(BY196:CJ196)-COLUMN(BY196)+1)/(BY196:CJ196&lt;&gt;0), 1), 1), 0),"N/A")</f>
        <v>46356</v>
      </c>
      <c r="AS196" s="89"/>
      <c r="AT196" s="89"/>
      <c r="AU196" s="89"/>
      <c r="AV196" s="89"/>
      <c r="AW196" s="89"/>
      <c r="AX196" s="89"/>
      <c r="AY196" s="89"/>
      <c r="AZ196" s="89"/>
      <c r="BA196" s="89"/>
      <c r="BB196" s="89"/>
      <c r="BC196" s="89"/>
      <c r="BD196" s="89"/>
      <c r="BE196" s="95" t="s">
        <v>1098</v>
      </c>
      <c r="BF196" s="82" t="s">
        <v>1099</v>
      </c>
      <c r="BG196" s="82" t="str">
        <f t="shared" si="12"/>
        <v>000</v>
      </c>
      <c r="BH196" s="88">
        <v>530702</v>
      </c>
      <c r="BI196" s="92" t="s">
        <v>74</v>
      </c>
      <c r="BJ196" s="93">
        <v>0</v>
      </c>
      <c r="BK196" s="74"/>
      <c r="BL196" s="74"/>
      <c r="BM196" s="74"/>
      <c r="BN196" s="74"/>
      <c r="BO196" s="74"/>
      <c r="BP196" s="74"/>
      <c r="BQ196" s="74"/>
      <c r="BR196" s="94"/>
      <c r="BS196" s="74"/>
      <c r="BT196" s="74"/>
      <c r="BU196" s="74"/>
      <c r="BV196" s="143"/>
      <c r="BW196" s="143">
        <v>65000</v>
      </c>
      <c r="BX196" s="143">
        <f t="shared" si="17"/>
        <v>65000</v>
      </c>
      <c r="BY196" s="74"/>
      <c r="BZ196" s="74"/>
      <c r="CA196" s="74"/>
      <c r="CB196" s="74"/>
      <c r="CC196" s="74">
        <v>1000</v>
      </c>
      <c r="CD196" s="74"/>
      <c r="CE196" s="74"/>
      <c r="CF196" s="94"/>
      <c r="CG196" s="74"/>
      <c r="CH196" s="74"/>
      <c r="CI196" s="74">
        <v>64000</v>
      </c>
      <c r="CJ196" s="143"/>
      <c r="CK196" s="143"/>
      <c r="CL196" s="142">
        <f t="shared" si="13"/>
        <v>0</v>
      </c>
      <c r="CM196" s="171">
        <v>0</v>
      </c>
      <c r="CN196" s="171">
        <v>0</v>
      </c>
      <c r="CO196" s="171">
        <v>0</v>
      </c>
      <c r="CP196" s="171">
        <v>0</v>
      </c>
      <c r="CQ196" s="171">
        <v>0</v>
      </c>
      <c r="CR196" s="171">
        <v>0</v>
      </c>
      <c r="CS196" s="171">
        <f t="shared" si="14"/>
        <v>0</v>
      </c>
      <c r="CT196" s="171">
        <f t="shared" si="15"/>
        <v>0</v>
      </c>
      <c r="CU196" s="171">
        <f t="shared" si="16"/>
        <v>0</v>
      </c>
      <c r="CV196" s="152"/>
      <c r="CW196" s="198">
        <v>65000</v>
      </c>
      <c r="CX196" s="130"/>
      <c r="CY196" s="130">
        <v>2</v>
      </c>
      <c r="CZ196" s="130"/>
      <c r="DA196" s="130"/>
      <c r="DB196" s="130"/>
      <c r="DC196" s="130"/>
      <c r="DD196" s="130"/>
      <c r="DE196" s="131"/>
      <c r="DF196" s="131"/>
      <c r="DG196" s="132"/>
      <c r="DH196" s="131"/>
      <c r="DI196" s="131"/>
      <c r="DJ196" s="131"/>
      <c r="DK196" s="131"/>
      <c r="DL196" s="131"/>
      <c r="DM196" s="131"/>
      <c r="DN196" s="131"/>
      <c r="DO196" s="131"/>
      <c r="DP196" s="131"/>
      <c r="DQ196" s="131"/>
      <c r="DR196" s="132"/>
      <c r="DS196" s="131"/>
      <c r="DT196" s="131"/>
      <c r="DU196" s="131"/>
      <c r="DV196" s="131"/>
      <c r="DW196" s="131"/>
      <c r="DX196" s="131"/>
      <c r="DY196" s="131"/>
      <c r="DZ196" s="132"/>
      <c r="EA196" s="132"/>
      <c r="EB196" s="132"/>
      <c r="EC196" s="132"/>
      <c r="ED196" s="131"/>
      <c r="EE196" s="131"/>
      <c r="EF196" s="131"/>
      <c r="EG196" s="131"/>
      <c r="EH196" s="131"/>
      <c r="EI196" s="131"/>
      <c r="EJ196" s="131"/>
      <c r="EK196" s="131"/>
      <c r="EL196" s="132"/>
      <c r="EM196" s="131"/>
      <c r="EN196" s="131"/>
      <c r="EO196" s="133"/>
      <c r="EP196" s="133"/>
      <c r="EQ196" s="133"/>
      <c r="ER196" s="133"/>
      <c r="ES196" s="133"/>
      <c r="ET196" s="133"/>
      <c r="EU196" s="133"/>
      <c r="EV196" s="134"/>
      <c r="EW196" s="133"/>
      <c r="EX196" s="133"/>
      <c r="EY196" s="154"/>
      <c r="EZ196" s="132"/>
      <c r="FA196" s="136"/>
      <c r="FB196" s="203">
        <v>46167</v>
      </c>
      <c r="FC196" s="203">
        <v>46167</v>
      </c>
      <c r="FD196" s="203">
        <v>46168</v>
      </c>
      <c r="FE196" s="203">
        <v>46168</v>
      </c>
      <c r="FF196" s="203">
        <v>46168</v>
      </c>
      <c r="FG196" s="203">
        <v>46169</v>
      </c>
      <c r="FH196" s="203">
        <v>46170</v>
      </c>
      <c r="FI196" s="203">
        <v>46171</v>
      </c>
      <c r="FJ196" s="203">
        <v>46174</v>
      </c>
      <c r="FK196" s="203">
        <v>46175</v>
      </c>
      <c r="FL196" s="203">
        <v>46176</v>
      </c>
      <c r="FM196" s="203">
        <v>46176</v>
      </c>
      <c r="FN196" s="203">
        <v>46177</v>
      </c>
      <c r="FO196" s="203">
        <v>46178</v>
      </c>
      <c r="FP196" s="203">
        <v>46181</v>
      </c>
      <c r="FQ196" s="203">
        <v>46182</v>
      </c>
      <c r="FR196" s="203">
        <v>46182</v>
      </c>
      <c r="FS196" s="203">
        <v>46183</v>
      </c>
      <c r="FT196" s="203">
        <v>46183</v>
      </c>
      <c r="FU196" s="203"/>
      <c r="FV196" s="203"/>
      <c r="FW196" s="203"/>
      <c r="FX196" s="203"/>
      <c r="FY196" s="203">
        <v>46184</v>
      </c>
      <c r="FZ196" s="203">
        <v>46185</v>
      </c>
      <c r="GA196" s="203">
        <v>46185</v>
      </c>
      <c r="GB196" s="203">
        <v>46188</v>
      </c>
      <c r="GC196" s="203">
        <v>46189</v>
      </c>
      <c r="GD196" s="203">
        <v>46190</v>
      </c>
      <c r="GE196" s="203">
        <v>46191</v>
      </c>
      <c r="GF196" s="203">
        <v>46191</v>
      </c>
      <c r="GG196" s="203">
        <v>18</v>
      </c>
      <c r="GH196" s="203">
        <v>46195</v>
      </c>
      <c r="GI196" s="203">
        <v>46197</v>
      </c>
      <c r="GJ196" s="203">
        <v>46199</v>
      </c>
      <c r="GK196" s="203">
        <v>46202</v>
      </c>
      <c r="GL196" s="203">
        <v>46203</v>
      </c>
      <c r="GM196" s="203">
        <v>46205</v>
      </c>
      <c r="GN196" s="203">
        <v>46206</v>
      </c>
      <c r="GO196" s="203">
        <v>46206</v>
      </c>
      <c r="GP196" s="203">
        <v>46211</v>
      </c>
      <c r="GQ196" s="203">
        <v>46216</v>
      </c>
      <c r="GR196" s="187"/>
      <c r="GS196" s="187" t="s">
        <v>1180</v>
      </c>
      <c r="GT196" s="187" t="s">
        <v>849</v>
      </c>
      <c r="GU196" s="187" t="s">
        <v>1175</v>
      </c>
      <c r="GV196" s="187"/>
    </row>
    <row r="197" spans="1:204" s="68" customFormat="1" ht="14.45" customHeight="1" x14ac:dyDescent="0.25">
      <c r="A197" s="68" t="s">
        <v>693</v>
      </c>
      <c r="B197" s="82" t="s">
        <v>154</v>
      </c>
      <c r="C197" s="82" t="s">
        <v>172</v>
      </c>
      <c r="D197" s="82" t="s">
        <v>196</v>
      </c>
      <c r="E197" s="82" t="s">
        <v>309</v>
      </c>
      <c r="F197" s="82" t="s">
        <v>549</v>
      </c>
      <c r="G197" s="82" t="s">
        <v>137</v>
      </c>
      <c r="H197" s="82" t="s">
        <v>137</v>
      </c>
      <c r="I197" s="82" t="s">
        <v>66</v>
      </c>
      <c r="J197" s="82" t="s">
        <v>29</v>
      </c>
      <c r="K197" s="92" t="s">
        <v>137</v>
      </c>
      <c r="L197" s="92" t="s">
        <v>137</v>
      </c>
      <c r="M197" s="92" t="s">
        <v>137</v>
      </c>
      <c r="N197" s="92" t="s">
        <v>137</v>
      </c>
      <c r="O197" s="92" t="s">
        <v>137</v>
      </c>
      <c r="P197" s="92" t="s">
        <v>137</v>
      </c>
      <c r="Q197" s="82" t="s">
        <v>87</v>
      </c>
      <c r="R197" s="82" t="s">
        <v>714</v>
      </c>
      <c r="S197" s="82" t="s">
        <v>40</v>
      </c>
      <c r="T197" s="82" t="s">
        <v>2</v>
      </c>
      <c r="U197" s="83"/>
      <c r="V197" s="83">
        <v>0.05</v>
      </c>
      <c r="W197" s="83">
        <v>0.08</v>
      </c>
      <c r="X197" s="83">
        <v>0.15</v>
      </c>
      <c r="Y197" s="83">
        <v>0.2</v>
      </c>
      <c r="Z197" s="83">
        <v>0.25</v>
      </c>
      <c r="AA197" s="83">
        <v>0.37</v>
      </c>
      <c r="AB197" s="83">
        <v>0.42</v>
      </c>
      <c r="AC197" s="83">
        <v>0.57999999999999996</v>
      </c>
      <c r="AD197" s="83">
        <v>0.67</v>
      </c>
      <c r="AE197" s="83">
        <v>0.83</v>
      </c>
      <c r="AF197" s="83">
        <v>1</v>
      </c>
      <c r="AG197" s="82" t="s">
        <v>532</v>
      </c>
      <c r="AH197" s="82" t="s">
        <v>529</v>
      </c>
      <c r="AI197" s="88" t="s">
        <v>538</v>
      </c>
      <c r="AJ197" s="89" t="s">
        <v>538</v>
      </c>
      <c r="AK197" s="90">
        <v>46023</v>
      </c>
      <c r="AL197" s="90">
        <v>46387</v>
      </c>
      <c r="AM197" s="89"/>
      <c r="AN197" s="89"/>
      <c r="AO197" s="89"/>
      <c r="AP197" s="91" t="s">
        <v>539</v>
      </c>
      <c r="AQ197" s="90" t="str" cm="1">
        <f t="array" ref="AQ197">IFERROR(DATE(2026, _xlfn.AGGREGATE(15, 6, (COLUMN(BY197:CJ197)-COLUMN(BY197)+1)/(BY197:CJ197&lt;&gt;0), 1), 1),"N/A")</f>
        <v>N/A</v>
      </c>
      <c r="AR197" s="90" t="str" cm="1">
        <f t="array" ref="AR197">IFERROR(EOMONTH(DATE(2026, _xlfn.AGGREGATE(14, 6, (COLUMN(BY197:CJ197)-COLUMN(BY197)+1)/(BY197:CJ197&lt;&gt;0), 1), 1), 0),"N/A")</f>
        <v>N/A</v>
      </c>
      <c r="AS197" s="89"/>
      <c r="AT197" s="89"/>
      <c r="AU197" s="89"/>
      <c r="AV197" s="89"/>
      <c r="AW197" s="89"/>
      <c r="AX197" s="89"/>
      <c r="AY197" s="89"/>
      <c r="AZ197" s="89"/>
      <c r="BA197" s="89"/>
      <c r="BB197" s="89"/>
      <c r="BC197" s="89"/>
      <c r="BD197" s="89"/>
      <c r="BE197" s="82" t="s">
        <v>637</v>
      </c>
      <c r="BF197" s="82" t="s">
        <v>972</v>
      </c>
      <c r="BG197" s="82" t="str">
        <f t="shared" si="12"/>
        <v>000</v>
      </c>
      <c r="BH197" s="88">
        <v>530702</v>
      </c>
      <c r="BI197" s="92" t="s">
        <v>74</v>
      </c>
      <c r="BJ197" s="93">
        <v>28000</v>
      </c>
      <c r="BK197" s="74">
        <v>0</v>
      </c>
      <c r="BL197" s="74">
        <v>0</v>
      </c>
      <c r="BM197" s="74">
        <v>0</v>
      </c>
      <c r="BN197" s="74">
        <v>0</v>
      </c>
      <c r="BO197" s="74">
        <v>0</v>
      </c>
      <c r="BP197" s="74">
        <v>0</v>
      </c>
      <c r="BQ197" s="74">
        <v>0</v>
      </c>
      <c r="BR197" s="74">
        <v>0</v>
      </c>
      <c r="BS197" s="74">
        <v>0</v>
      </c>
      <c r="BT197" s="74">
        <v>0</v>
      </c>
      <c r="BU197" s="94">
        <v>28000</v>
      </c>
      <c r="BV197" s="143">
        <v>0</v>
      </c>
      <c r="BW197" s="143">
        <v>-28000</v>
      </c>
      <c r="BX197" s="143">
        <f t="shared" si="17"/>
        <v>0</v>
      </c>
      <c r="BY197" s="74">
        <v>0</v>
      </c>
      <c r="BZ197" s="74">
        <v>0</v>
      </c>
      <c r="CA197" s="74">
        <v>0</v>
      </c>
      <c r="CB197" s="74">
        <v>0</v>
      </c>
      <c r="CC197" s="74">
        <v>0</v>
      </c>
      <c r="CD197" s="74">
        <v>0</v>
      </c>
      <c r="CE197" s="74">
        <v>0</v>
      </c>
      <c r="CF197" s="74">
        <v>0</v>
      </c>
      <c r="CG197" s="74">
        <v>0</v>
      </c>
      <c r="CH197" s="74">
        <v>0</v>
      </c>
      <c r="CI197" s="94">
        <v>0</v>
      </c>
      <c r="CJ197" s="143">
        <v>0</v>
      </c>
      <c r="CK197" s="143"/>
      <c r="CL197" s="142">
        <f t="shared" si="13"/>
        <v>0</v>
      </c>
      <c r="CM197" s="171">
        <v>0</v>
      </c>
      <c r="CN197" s="171">
        <v>0</v>
      </c>
      <c r="CO197" s="171">
        <v>0</v>
      </c>
      <c r="CP197" s="171">
        <v>0</v>
      </c>
      <c r="CQ197" s="171">
        <v>0</v>
      </c>
      <c r="CR197" s="171">
        <v>0</v>
      </c>
      <c r="CS197" s="171">
        <f t="shared" si="14"/>
        <v>0</v>
      </c>
      <c r="CT197" s="171">
        <f t="shared" si="15"/>
        <v>0</v>
      </c>
      <c r="CU197" s="171">
        <f t="shared" si="16"/>
        <v>0</v>
      </c>
      <c r="CV197" s="152">
        <v>28000</v>
      </c>
      <c r="CW197" s="149">
        <v>0</v>
      </c>
      <c r="CX197" s="130">
        <v>3</v>
      </c>
      <c r="CY197" s="130">
        <v>0</v>
      </c>
      <c r="CZ197" s="130" t="s">
        <v>321</v>
      </c>
      <c r="DA197" s="130" t="s">
        <v>891</v>
      </c>
      <c r="DB197" s="130" t="s">
        <v>850</v>
      </c>
      <c r="DC197" s="130" t="s">
        <v>851</v>
      </c>
      <c r="DD197" s="130"/>
      <c r="DE197" s="131">
        <v>46254</v>
      </c>
      <c r="DF197" s="131">
        <v>46254</v>
      </c>
      <c r="DG197" s="132">
        <v>2</v>
      </c>
      <c r="DH197" s="131">
        <v>46255</v>
      </c>
      <c r="DI197" s="131">
        <v>46255</v>
      </c>
      <c r="DJ197" s="131">
        <v>46255</v>
      </c>
      <c r="DK197" s="131">
        <v>46258</v>
      </c>
      <c r="DL197" s="131">
        <v>46259</v>
      </c>
      <c r="DM197" s="131">
        <v>46260</v>
      </c>
      <c r="DN197" s="131">
        <v>46261</v>
      </c>
      <c r="DO197" s="131">
        <v>46262</v>
      </c>
      <c r="DP197" s="131">
        <v>46265</v>
      </c>
      <c r="DQ197" s="131">
        <v>46265</v>
      </c>
      <c r="DR197" s="132">
        <v>2</v>
      </c>
      <c r="DS197" s="131">
        <v>46266</v>
      </c>
      <c r="DT197" s="131">
        <v>46267</v>
      </c>
      <c r="DU197" s="131">
        <v>46268</v>
      </c>
      <c r="DV197" s="131">
        <v>46269</v>
      </c>
      <c r="DW197" s="131">
        <v>46269</v>
      </c>
      <c r="DX197" s="131">
        <v>46272</v>
      </c>
      <c r="DY197" s="131">
        <v>46272</v>
      </c>
      <c r="DZ197" s="132"/>
      <c r="EA197" s="132"/>
      <c r="EB197" s="132"/>
      <c r="EC197" s="132"/>
      <c r="ED197" s="131">
        <v>46273</v>
      </c>
      <c r="EE197" s="131">
        <v>46274</v>
      </c>
      <c r="EF197" s="131">
        <v>46274</v>
      </c>
      <c r="EG197" s="131">
        <v>46275</v>
      </c>
      <c r="EH197" s="131">
        <v>46276</v>
      </c>
      <c r="EI197" s="131">
        <v>46279</v>
      </c>
      <c r="EJ197" s="131">
        <v>46280</v>
      </c>
      <c r="EK197" s="131">
        <v>46280</v>
      </c>
      <c r="EL197" s="132">
        <v>18</v>
      </c>
      <c r="EM197" s="131">
        <v>46282</v>
      </c>
      <c r="EN197" s="131">
        <v>46286</v>
      </c>
      <c r="EO197" s="133">
        <v>46288</v>
      </c>
      <c r="EP197" s="133">
        <v>46289</v>
      </c>
      <c r="EQ197" s="133">
        <v>46290</v>
      </c>
      <c r="ER197" s="133">
        <v>46294</v>
      </c>
      <c r="ES197" s="133">
        <v>46295</v>
      </c>
      <c r="ET197" s="133">
        <v>46295</v>
      </c>
      <c r="EU197" s="133">
        <v>46300</v>
      </c>
      <c r="EV197" s="134">
        <v>3</v>
      </c>
      <c r="EW197" s="133">
        <v>46303</v>
      </c>
      <c r="EX197" s="133"/>
      <c r="EY197" s="154" t="s">
        <v>892</v>
      </c>
      <c r="EZ197" s="132" t="s">
        <v>874</v>
      </c>
      <c r="FA197" s="136"/>
      <c r="FB197" s="202" t="e">
        <v>#NUM!</v>
      </c>
      <c r="FC197" s="202" t="e">
        <v>#NUM!</v>
      </c>
      <c r="FD197" s="202" t="e">
        <v>#NUM!</v>
      </c>
      <c r="FE197" s="202" t="e">
        <v>#NUM!</v>
      </c>
      <c r="FF197" s="202" t="e">
        <v>#NUM!</v>
      </c>
      <c r="FG197" s="202" t="e">
        <v>#NUM!</v>
      </c>
      <c r="FH197" s="202" t="e">
        <v>#NUM!</v>
      </c>
      <c r="FI197" s="202" t="e">
        <v>#NUM!</v>
      </c>
      <c r="FJ197" s="202" t="e">
        <v>#NUM!</v>
      </c>
      <c r="FK197" s="202" t="e">
        <v>#NUM!</v>
      </c>
      <c r="FL197" s="202" t="e">
        <v>#NUM!</v>
      </c>
      <c r="FM197" s="202" t="e">
        <v>#NUM!</v>
      </c>
      <c r="FN197" s="202" t="e">
        <v>#NUM!</v>
      </c>
      <c r="FO197" s="202" t="e">
        <v>#NUM!</v>
      </c>
      <c r="FP197" s="202" t="e">
        <v>#NUM!</v>
      </c>
      <c r="FQ197" s="202" t="e">
        <v>#NUM!</v>
      </c>
      <c r="FR197" s="202" t="e">
        <v>#NUM!</v>
      </c>
      <c r="FS197" s="202" t="e">
        <v>#NUM!</v>
      </c>
      <c r="FT197" s="202" t="e">
        <v>#NUM!</v>
      </c>
      <c r="FU197" s="202"/>
      <c r="FV197" s="202"/>
      <c r="FW197" s="202"/>
      <c r="FX197" s="202"/>
      <c r="FY197" s="202" t="e">
        <v>#NUM!</v>
      </c>
      <c r="FZ197" s="202" t="e">
        <v>#NUM!</v>
      </c>
      <c r="GA197" s="202" t="e">
        <v>#NUM!</v>
      </c>
      <c r="GB197" s="202" t="e">
        <v>#NUM!</v>
      </c>
      <c r="GC197" s="202" t="e">
        <v>#NUM!</v>
      </c>
      <c r="GD197" s="202" t="e">
        <v>#NUM!</v>
      </c>
      <c r="GE197" s="202" t="e">
        <v>#NUM!</v>
      </c>
      <c r="GF197" s="202"/>
      <c r="GG197" s="202">
        <v>18</v>
      </c>
      <c r="GH197" s="202">
        <v>3</v>
      </c>
      <c r="GI197" s="202">
        <v>5</v>
      </c>
      <c r="GJ197" s="202">
        <v>9</v>
      </c>
      <c r="GK197" s="202">
        <v>10</v>
      </c>
      <c r="GL197" s="202">
        <v>11</v>
      </c>
      <c r="GM197" s="202">
        <v>13</v>
      </c>
      <c r="GN197" s="202">
        <v>16</v>
      </c>
      <c r="GO197" s="202">
        <v>16</v>
      </c>
      <c r="GP197" s="202">
        <v>19</v>
      </c>
      <c r="GQ197" s="202"/>
      <c r="GR197" s="189"/>
      <c r="GS197" s="189"/>
      <c r="GT197" s="189"/>
      <c r="GU197" s="189"/>
      <c r="GV197" s="189" t="s">
        <v>1165</v>
      </c>
    </row>
    <row r="198" spans="1:204" s="68" customFormat="1" ht="14.45" customHeight="1" x14ac:dyDescent="0.25">
      <c r="A198" s="68" t="s">
        <v>693</v>
      </c>
      <c r="B198" s="82" t="s">
        <v>154</v>
      </c>
      <c r="C198" s="82" t="s">
        <v>172</v>
      </c>
      <c r="D198" s="82" t="s">
        <v>196</v>
      </c>
      <c r="E198" s="82" t="s">
        <v>309</v>
      </c>
      <c r="F198" s="82" t="s">
        <v>549</v>
      </c>
      <c r="G198" s="82" t="s">
        <v>137</v>
      </c>
      <c r="H198" s="82" t="s">
        <v>137</v>
      </c>
      <c r="I198" s="82" t="s">
        <v>66</v>
      </c>
      <c r="J198" s="82" t="s">
        <v>29</v>
      </c>
      <c r="K198" s="92" t="s">
        <v>137</v>
      </c>
      <c r="L198" s="92" t="s">
        <v>137</v>
      </c>
      <c r="M198" s="92" t="s">
        <v>137</v>
      </c>
      <c r="N198" s="92" t="s">
        <v>137</v>
      </c>
      <c r="O198" s="92" t="s">
        <v>137</v>
      </c>
      <c r="P198" s="92" t="s">
        <v>137</v>
      </c>
      <c r="Q198" s="82" t="s">
        <v>87</v>
      </c>
      <c r="R198" s="82" t="s">
        <v>714</v>
      </c>
      <c r="S198" s="82" t="s">
        <v>40</v>
      </c>
      <c r="T198" s="82" t="s">
        <v>2</v>
      </c>
      <c r="U198" s="83"/>
      <c r="V198" s="83">
        <v>0.05</v>
      </c>
      <c r="W198" s="83">
        <v>0.08</v>
      </c>
      <c r="X198" s="83">
        <v>0.15</v>
      </c>
      <c r="Y198" s="83">
        <v>0.2</v>
      </c>
      <c r="Z198" s="83">
        <v>0.25</v>
      </c>
      <c r="AA198" s="83">
        <v>0.37</v>
      </c>
      <c r="AB198" s="83">
        <v>0.42</v>
      </c>
      <c r="AC198" s="83">
        <v>0.57999999999999996</v>
      </c>
      <c r="AD198" s="83">
        <v>0.67</v>
      </c>
      <c r="AE198" s="83">
        <v>0.83</v>
      </c>
      <c r="AF198" s="83">
        <v>1</v>
      </c>
      <c r="AG198" s="82" t="s">
        <v>532</v>
      </c>
      <c r="AH198" s="82" t="s">
        <v>529</v>
      </c>
      <c r="AI198" s="88" t="s">
        <v>538</v>
      </c>
      <c r="AJ198" s="89" t="s">
        <v>538</v>
      </c>
      <c r="AK198" s="90">
        <v>46023</v>
      </c>
      <c r="AL198" s="90">
        <v>46387</v>
      </c>
      <c r="AM198" s="89"/>
      <c r="AN198" s="89"/>
      <c r="AO198" s="89"/>
      <c r="AP198" s="91" t="s">
        <v>539</v>
      </c>
      <c r="AQ198" s="90" t="str" cm="1">
        <f t="array" ref="AQ198">IFERROR(DATE(2026, _xlfn.AGGREGATE(15, 6, (COLUMN(BY198:CJ198)-COLUMN(BY198)+1)/(BY198:CJ198&lt;&gt;0), 1), 1),"N/A")</f>
        <v>N/A</v>
      </c>
      <c r="AR198" s="90" t="str" cm="1">
        <f t="array" ref="AR198">IFERROR(EOMONTH(DATE(2026, _xlfn.AGGREGATE(14, 6, (COLUMN(BY198:CJ198)-COLUMN(BY198)+1)/(BY198:CJ198&lt;&gt;0), 1), 1), 0),"N/A")</f>
        <v>N/A</v>
      </c>
      <c r="AS198" s="89"/>
      <c r="AT198" s="89"/>
      <c r="AU198" s="89"/>
      <c r="AV198" s="89"/>
      <c r="AW198" s="89"/>
      <c r="AX198" s="89"/>
      <c r="AY198" s="89"/>
      <c r="AZ198" s="89"/>
      <c r="BA198" s="89"/>
      <c r="BB198" s="89"/>
      <c r="BC198" s="89"/>
      <c r="BD198" s="89"/>
      <c r="BE198" s="82" t="s">
        <v>637</v>
      </c>
      <c r="BF198" s="82" t="s">
        <v>973</v>
      </c>
      <c r="BG198" s="82" t="str">
        <f t="shared" ref="BG198:BG229" si="18">MID(BF198,22,3)</f>
        <v>001</v>
      </c>
      <c r="BH198" s="88">
        <v>530702</v>
      </c>
      <c r="BI198" s="92" t="s">
        <v>74</v>
      </c>
      <c r="BJ198" s="93">
        <v>8000</v>
      </c>
      <c r="BK198" s="74">
        <v>0</v>
      </c>
      <c r="BL198" s="74">
        <v>0</v>
      </c>
      <c r="BM198" s="74">
        <v>0</v>
      </c>
      <c r="BN198" s="74">
        <v>0</v>
      </c>
      <c r="BO198" s="74">
        <v>0</v>
      </c>
      <c r="BP198" s="74">
        <v>0</v>
      </c>
      <c r="BQ198" s="74">
        <v>0</v>
      </c>
      <c r="BR198" s="74">
        <v>0</v>
      </c>
      <c r="BS198" s="74">
        <v>0</v>
      </c>
      <c r="BT198" s="74">
        <v>0</v>
      </c>
      <c r="BU198" s="94">
        <v>8000</v>
      </c>
      <c r="BV198" s="143">
        <v>0</v>
      </c>
      <c r="BW198" s="143">
        <v>-8000</v>
      </c>
      <c r="BX198" s="143">
        <f t="shared" si="17"/>
        <v>0</v>
      </c>
      <c r="BY198" s="74">
        <v>0</v>
      </c>
      <c r="BZ198" s="74">
        <v>0</v>
      </c>
      <c r="CA198" s="74">
        <v>0</v>
      </c>
      <c r="CB198" s="74">
        <v>0</v>
      </c>
      <c r="CC198" s="74">
        <v>0</v>
      </c>
      <c r="CD198" s="74">
        <v>0</v>
      </c>
      <c r="CE198" s="74">
        <v>0</v>
      </c>
      <c r="CF198" s="74">
        <v>0</v>
      </c>
      <c r="CG198" s="74">
        <v>0</v>
      </c>
      <c r="CH198" s="74">
        <v>0</v>
      </c>
      <c r="CI198" s="94">
        <v>0</v>
      </c>
      <c r="CJ198" s="143">
        <v>0</v>
      </c>
      <c r="CK198" s="143"/>
      <c r="CL198" s="142">
        <f t="shared" ref="CL198:CL229" si="19">+BX198-SUM(BY198:CK198)</f>
        <v>0</v>
      </c>
      <c r="CM198" s="171">
        <v>0</v>
      </c>
      <c r="CN198" s="171">
        <v>0</v>
      </c>
      <c r="CO198" s="171">
        <v>0</v>
      </c>
      <c r="CP198" s="171">
        <v>0</v>
      </c>
      <c r="CQ198" s="171">
        <v>0</v>
      </c>
      <c r="CR198" s="171">
        <v>0</v>
      </c>
      <c r="CS198" s="171">
        <f t="shared" ref="CS198:CS229" si="20">+CP198+CM198</f>
        <v>0</v>
      </c>
      <c r="CT198" s="171">
        <f t="shared" ref="CT198:CT229" si="21">+CQ198+CN198</f>
        <v>0</v>
      </c>
      <c r="CU198" s="171">
        <f t="shared" ref="CU198:CU229" si="22">+CR198+CO198</f>
        <v>0</v>
      </c>
      <c r="CV198" s="152">
        <v>8000</v>
      </c>
      <c r="CW198" s="149">
        <v>0</v>
      </c>
      <c r="CX198" s="130">
        <v>3</v>
      </c>
      <c r="CY198" s="130">
        <v>0</v>
      </c>
      <c r="CZ198" s="130" t="s">
        <v>321</v>
      </c>
      <c r="DA198" s="130" t="s">
        <v>891</v>
      </c>
      <c r="DB198" s="130" t="s">
        <v>850</v>
      </c>
      <c r="DC198" s="130" t="s">
        <v>851</v>
      </c>
      <c r="DD198" s="130"/>
      <c r="DE198" s="131">
        <v>46254</v>
      </c>
      <c r="DF198" s="131">
        <v>46254</v>
      </c>
      <c r="DG198" s="132">
        <v>2</v>
      </c>
      <c r="DH198" s="131">
        <v>46255</v>
      </c>
      <c r="DI198" s="131">
        <v>46255</v>
      </c>
      <c r="DJ198" s="131">
        <v>46255</v>
      </c>
      <c r="DK198" s="131">
        <v>46258</v>
      </c>
      <c r="DL198" s="131">
        <v>46259</v>
      </c>
      <c r="DM198" s="131">
        <v>46260</v>
      </c>
      <c r="DN198" s="131">
        <v>46261</v>
      </c>
      <c r="DO198" s="131">
        <v>46262</v>
      </c>
      <c r="DP198" s="131">
        <v>46265</v>
      </c>
      <c r="DQ198" s="131">
        <v>46265</v>
      </c>
      <c r="DR198" s="132">
        <v>2</v>
      </c>
      <c r="DS198" s="131">
        <v>46266</v>
      </c>
      <c r="DT198" s="131">
        <v>46267</v>
      </c>
      <c r="DU198" s="131">
        <v>46268</v>
      </c>
      <c r="DV198" s="131">
        <v>46269</v>
      </c>
      <c r="DW198" s="131">
        <v>46269</v>
      </c>
      <c r="DX198" s="131">
        <v>46272</v>
      </c>
      <c r="DY198" s="131">
        <v>46272</v>
      </c>
      <c r="DZ198" s="132"/>
      <c r="EA198" s="132"/>
      <c r="EB198" s="132"/>
      <c r="EC198" s="132"/>
      <c r="ED198" s="131">
        <v>46273</v>
      </c>
      <c r="EE198" s="131">
        <v>46274</v>
      </c>
      <c r="EF198" s="131">
        <v>46274</v>
      </c>
      <c r="EG198" s="131">
        <v>46275</v>
      </c>
      <c r="EH198" s="131">
        <v>46276</v>
      </c>
      <c r="EI198" s="131">
        <v>46279</v>
      </c>
      <c r="EJ198" s="131">
        <v>46280</v>
      </c>
      <c r="EK198" s="131">
        <v>46280</v>
      </c>
      <c r="EL198" s="132">
        <v>18</v>
      </c>
      <c r="EM198" s="131">
        <v>46282</v>
      </c>
      <c r="EN198" s="131">
        <v>46286</v>
      </c>
      <c r="EO198" s="133">
        <v>46288</v>
      </c>
      <c r="EP198" s="133">
        <v>46289</v>
      </c>
      <c r="EQ198" s="133">
        <v>46290</v>
      </c>
      <c r="ER198" s="133">
        <v>46294</v>
      </c>
      <c r="ES198" s="133">
        <v>46295</v>
      </c>
      <c r="ET198" s="133">
        <v>46295</v>
      </c>
      <c r="EU198" s="133">
        <v>46300</v>
      </c>
      <c r="EV198" s="134">
        <v>3</v>
      </c>
      <c r="EW198" s="133">
        <v>46303</v>
      </c>
      <c r="EX198" s="133"/>
      <c r="EY198" s="154" t="s">
        <v>892</v>
      </c>
      <c r="EZ198" s="132" t="s">
        <v>874</v>
      </c>
      <c r="FA198" s="136"/>
      <c r="FB198" s="202" t="e">
        <v>#NUM!</v>
      </c>
      <c r="FC198" s="202" t="e">
        <v>#NUM!</v>
      </c>
      <c r="FD198" s="202" t="e">
        <v>#NUM!</v>
      </c>
      <c r="FE198" s="202" t="e">
        <v>#NUM!</v>
      </c>
      <c r="FF198" s="202" t="e">
        <v>#NUM!</v>
      </c>
      <c r="FG198" s="202" t="e">
        <v>#NUM!</v>
      </c>
      <c r="FH198" s="202" t="e">
        <v>#NUM!</v>
      </c>
      <c r="FI198" s="202" t="e">
        <v>#NUM!</v>
      </c>
      <c r="FJ198" s="202" t="e">
        <v>#NUM!</v>
      </c>
      <c r="FK198" s="202" t="e">
        <v>#NUM!</v>
      </c>
      <c r="FL198" s="202" t="e">
        <v>#NUM!</v>
      </c>
      <c r="FM198" s="202" t="e">
        <v>#NUM!</v>
      </c>
      <c r="FN198" s="202" t="e">
        <v>#NUM!</v>
      </c>
      <c r="FO198" s="202" t="e">
        <v>#NUM!</v>
      </c>
      <c r="FP198" s="202" t="e">
        <v>#NUM!</v>
      </c>
      <c r="FQ198" s="202" t="e">
        <v>#NUM!</v>
      </c>
      <c r="FR198" s="202" t="e">
        <v>#NUM!</v>
      </c>
      <c r="FS198" s="202" t="e">
        <v>#NUM!</v>
      </c>
      <c r="FT198" s="202" t="e">
        <v>#NUM!</v>
      </c>
      <c r="FU198" s="202"/>
      <c r="FV198" s="202"/>
      <c r="FW198" s="202"/>
      <c r="FX198" s="202"/>
      <c r="FY198" s="202" t="e">
        <v>#NUM!</v>
      </c>
      <c r="FZ198" s="202" t="e">
        <v>#NUM!</v>
      </c>
      <c r="GA198" s="202" t="e">
        <v>#NUM!</v>
      </c>
      <c r="GB198" s="202" t="e">
        <v>#NUM!</v>
      </c>
      <c r="GC198" s="202" t="e">
        <v>#NUM!</v>
      </c>
      <c r="GD198" s="202" t="e">
        <v>#NUM!</v>
      </c>
      <c r="GE198" s="202" t="e">
        <v>#NUM!</v>
      </c>
      <c r="GF198" s="202"/>
      <c r="GG198" s="202">
        <v>18</v>
      </c>
      <c r="GH198" s="202">
        <v>3</v>
      </c>
      <c r="GI198" s="202">
        <v>5</v>
      </c>
      <c r="GJ198" s="202">
        <v>9</v>
      </c>
      <c r="GK198" s="202">
        <v>10</v>
      </c>
      <c r="GL198" s="202">
        <v>11</v>
      </c>
      <c r="GM198" s="202">
        <v>13</v>
      </c>
      <c r="GN198" s="202">
        <v>16</v>
      </c>
      <c r="GO198" s="202">
        <v>16</v>
      </c>
      <c r="GP198" s="202">
        <v>19</v>
      </c>
      <c r="GQ198" s="202"/>
      <c r="GR198" s="189"/>
      <c r="GS198" s="189"/>
      <c r="GT198" s="189"/>
      <c r="GU198" s="189"/>
      <c r="GV198" s="189" t="s">
        <v>1165</v>
      </c>
    </row>
    <row r="199" spans="1:204" s="68" customFormat="1" ht="14.45" customHeight="1" x14ac:dyDescent="0.25">
      <c r="A199" s="68" t="s">
        <v>693</v>
      </c>
      <c r="B199" s="82" t="s">
        <v>154</v>
      </c>
      <c r="C199" s="82" t="s">
        <v>172</v>
      </c>
      <c r="D199" s="82" t="s">
        <v>196</v>
      </c>
      <c r="E199" s="82" t="s">
        <v>309</v>
      </c>
      <c r="F199" s="82" t="s">
        <v>549</v>
      </c>
      <c r="G199" s="82" t="s">
        <v>137</v>
      </c>
      <c r="H199" s="82" t="s">
        <v>137</v>
      </c>
      <c r="I199" s="82" t="s">
        <v>66</v>
      </c>
      <c r="J199" s="82" t="s">
        <v>29</v>
      </c>
      <c r="K199" s="92" t="s">
        <v>137</v>
      </c>
      <c r="L199" s="92" t="s">
        <v>137</v>
      </c>
      <c r="M199" s="92" t="s">
        <v>137</v>
      </c>
      <c r="N199" s="92" t="s">
        <v>137</v>
      </c>
      <c r="O199" s="92" t="s">
        <v>137</v>
      </c>
      <c r="P199" s="92" t="s">
        <v>137</v>
      </c>
      <c r="Q199" s="82" t="s">
        <v>87</v>
      </c>
      <c r="R199" s="82" t="s">
        <v>714</v>
      </c>
      <c r="S199" s="82" t="s">
        <v>40</v>
      </c>
      <c r="T199" s="82" t="s">
        <v>2</v>
      </c>
      <c r="U199" s="83"/>
      <c r="V199" s="83">
        <v>0.05</v>
      </c>
      <c r="W199" s="83">
        <v>0.08</v>
      </c>
      <c r="X199" s="83">
        <v>0.15</v>
      </c>
      <c r="Y199" s="83">
        <v>0.2</v>
      </c>
      <c r="Z199" s="83">
        <v>0.25</v>
      </c>
      <c r="AA199" s="83">
        <v>0.37</v>
      </c>
      <c r="AB199" s="83">
        <v>0.42</v>
      </c>
      <c r="AC199" s="83">
        <v>0.57999999999999996</v>
      </c>
      <c r="AD199" s="83">
        <v>0.67</v>
      </c>
      <c r="AE199" s="83">
        <v>0.83</v>
      </c>
      <c r="AF199" s="83">
        <v>1</v>
      </c>
      <c r="AG199" s="82" t="s">
        <v>532</v>
      </c>
      <c r="AH199" s="82" t="s">
        <v>529</v>
      </c>
      <c r="AI199" s="88" t="s">
        <v>538</v>
      </c>
      <c r="AJ199" s="89" t="s">
        <v>538</v>
      </c>
      <c r="AK199" s="90">
        <v>46023</v>
      </c>
      <c r="AL199" s="90">
        <v>46387</v>
      </c>
      <c r="AM199" s="89"/>
      <c r="AN199" s="89"/>
      <c r="AO199" s="89"/>
      <c r="AP199" s="91" t="s">
        <v>539</v>
      </c>
      <c r="AQ199" s="90" cm="1">
        <f t="array" ref="AQ199">IFERROR(DATE(2026, _xlfn.AGGREGATE(15, 6, (COLUMN(BY199:CJ199)-COLUMN(BY199)+1)/(BY199:CJ199&lt;&gt;0), 1), 1),"N/A")</f>
        <v>46327</v>
      </c>
      <c r="AR199" s="90" cm="1">
        <f t="array" ref="AR199">IFERROR(EOMONTH(DATE(2026, _xlfn.AGGREGATE(14, 6, (COLUMN(BY199:CJ199)-COLUMN(BY199)+1)/(BY199:CJ199&lt;&gt;0), 1), 1), 0),"N/A")</f>
        <v>46356</v>
      </c>
      <c r="AS199" s="89"/>
      <c r="AT199" s="89"/>
      <c r="AU199" s="89"/>
      <c r="AV199" s="89"/>
      <c r="AW199" s="89"/>
      <c r="AX199" s="89"/>
      <c r="AY199" s="89"/>
      <c r="AZ199" s="89"/>
      <c r="BA199" s="89"/>
      <c r="BB199" s="89"/>
      <c r="BC199" s="89"/>
      <c r="BD199" s="89"/>
      <c r="BE199" s="95" t="s">
        <v>1096</v>
      </c>
      <c r="BF199" s="82" t="s">
        <v>1097</v>
      </c>
      <c r="BG199" s="82" t="str">
        <f t="shared" si="18"/>
        <v>000</v>
      </c>
      <c r="BH199" s="88">
        <v>530702</v>
      </c>
      <c r="BI199" s="92" t="s">
        <v>74</v>
      </c>
      <c r="BJ199" s="93">
        <v>0</v>
      </c>
      <c r="BK199" s="74"/>
      <c r="BL199" s="74"/>
      <c r="BM199" s="74"/>
      <c r="BN199" s="74"/>
      <c r="BO199" s="74"/>
      <c r="BP199" s="74"/>
      <c r="BQ199" s="74"/>
      <c r="BR199" s="94"/>
      <c r="BS199" s="74"/>
      <c r="BT199" s="74"/>
      <c r="BU199" s="74"/>
      <c r="BV199" s="143"/>
      <c r="BW199" s="143">
        <v>26000</v>
      </c>
      <c r="BX199" s="143">
        <f t="shared" ref="BX199:BX229" si="23">+BJ199+BW199</f>
        <v>26000</v>
      </c>
      <c r="BY199" s="74"/>
      <c r="BZ199" s="74"/>
      <c r="CA199" s="74"/>
      <c r="CB199" s="74"/>
      <c r="CC199" s="74"/>
      <c r="CD199" s="74"/>
      <c r="CE199" s="74"/>
      <c r="CF199" s="94"/>
      <c r="CG199" s="74"/>
      <c r="CH199" s="74"/>
      <c r="CI199" s="74">
        <v>26000</v>
      </c>
      <c r="CJ199" s="143"/>
      <c r="CK199" s="143"/>
      <c r="CL199" s="142">
        <f t="shared" si="19"/>
        <v>0</v>
      </c>
      <c r="CM199" s="171">
        <v>0</v>
      </c>
      <c r="CN199" s="171">
        <v>0</v>
      </c>
      <c r="CO199" s="171">
        <v>0</v>
      </c>
      <c r="CP199" s="171">
        <v>0</v>
      </c>
      <c r="CQ199" s="171">
        <v>0</v>
      </c>
      <c r="CR199" s="171">
        <v>0</v>
      </c>
      <c r="CS199" s="171">
        <f t="shared" si="20"/>
        <v>0</v>
      </c>
      <c r="CT199" s="171">
        <f t="shared" si="21"/>
        <v>0</v>
      </c>
      <c r="CU199" s="171">
        <f t="shared" si="22"/>
        <v>0</v>
      </c>
      <c r="CV199" s="152"/>
      <c r="CW199" s="198">
        <v>26000</v>
      </c>
      <c r="CX199" s="130"/>
      <c r="CY199" s="200">
        <v>3</v>
      </c>
      <c r="CZ199" s="130"/>
      <c r="DA199" s="130"/>
      <c r="DB199" s="130"/>
      <c r="DC199" s="130"/>
      <c r="DD199" s="130"/>
      <c r="DE199" s="131"/>
      <c r="DF199" s="131"/>
      <c r="DG199" s="132"/>
      <c r="DH199" s="131"/>
      <c r="DI199" s="131"/>
      <c r="DJ199" s="131"/>
      <c r="DK199" s="131"/>
      <c r="DL199" s="131"/>
      <c r="DM199" s="131"/>
      <c r="DN199" s="131"/>
      <c r="DO199" s="131"/>
      <c r="DP199" s="131"/>
      <c r="DQ199" s="131"/>
      <c r="DR199" s="132"/>
      <c r="DS199" s="131"/>
      <c r="DT199" s="131"/>
      <c r="DU199" s="131"/>
      <c r="DV199" s="131"/>
      <c r="DW199" s="131"/>
      <c r="DX199" s="131"/>
      <c r="DY199" s="131"/>
      <c r="DZ199" s="132"/>
      <c r="EA199" s="132"/>
      <c r="EB199" s="132"/>
      <c r="EC199" s="132"/>
      <c r="ED199" s="131"/>
      <c r="EE199" s="131"/>
      <c r="EF199" s="131"/>
      <c r="EG199" s="131"/>
      <c r="EH199" s="131"/>
      <c r="EI199" s="131"/>
      <c r="EJ199" s="131"/>
      <c r="EK199" s="131"/>
      <c r="EL199" s="132"/>
      <c r="EM199" s="131"/>
      <c r="EN199" s="131"/>
      <c r="EO199" s="133"/>
      <c r="EP199" s="133"/>
      <c r="EQ199" s="133"/>
      <c r="ER199" s="133"/>
      <c r="ES199" s="133"/>
      <c r="ET199" s="133"/>
      <c r="EU199" s="133"/>
      <c r="EV199" s="134"/>
      <c r="EW199" s="133"/>
      <c r="EX199" s="133"/>
      <c r="EY199" s="154"/>
      <c r="EZ199" s="132"/>
      <c r="FA199" s="136"/>
      <c r="FB199" s="203">
        <v>46169</v>
      </c>
      <c r="FC199" s="203">
        <v>46169</v>
      </c>
      <c r="FD199" s="203">
        <v>46170</v>
      </c>
      <c r="FE199" s="203">
        <v>46170</v>
      </c>
      <c r="FF199" s="203">
        <v>46170</v>
      </c>
      <c r="FG199" s="203">
        <v>46171</v>
      </c>
      <c r="FH199" s="203">
        <v>46174</v>
      </c>
      <c r="FI199" s="203">
        <v>46175</v>
      </c>
      <c r="FJ199" s="203">
        <v>46176</v>
      </c>
      <c r="FK199" s="203">
        <v>46177</v>
      </c>
      <c r="FL199" s="203">
        <v>46178</v>
      </c>
      <c r="FM199" s="203">
        <v>46178</v>
      </c>
      <c r="FN199" s="203">
        <v>46181</v>
      </c>
      <c r="FO199" s="203">
        <v>46182</v>
      </c>
      <c r="FP199" s="203">
        <v>46183</v>
      </c>
      <c r="FQ199" s="203">
        <v>46184</v>
      </c>
      <c r="FR199" s="203">
        <v>46184</v>
      </c>
      <c r="FS199" s="203">
        <v>46185</v>
      </c>
      <c r="FT199" s="203">
        <v>46185</v>
      </c>
      <c r="FU199" s="203"/>
      <c r="FV199" s="203"/>
      <c r="FW199" s="203"/>
      <c r="FX199" s="203"/>
      <c r="FY199" s="203">
        <v>46188</v>
      </c>
      <c r="FZ199" s="203">
        <v>46189</v>
      </c>
      <c r="GA199" s="203">
        <v>46189</v>
      </c>
      <c r="GB199" s="203">
        <v>46190</v>
      </c>
      <c r="GC199" s="203">
        <v>46191</v>
      </c>
      <c r="GD199" s="203">
        <v>46192</v>
      </c>
      <c r="GE199" s="203">
        <v>46195</v>
      </c>
      <c r="GF199" s="203">
        <v>46193</v>
      </c>
      <c r="GG199" s="203">
        <v>18</v>
      </c>
      <c r="GH199" s="203">
        <v>46196</v>
      </c>
      <c r="GI199" s="203">
        <v>46198</v>
      </c>
      <c r="GJ199" s="203">
        <v>46202</v>
      </c>
      <c r="GK199" s="203">
        <v>46203</v>
      </c>
      <c r="GL199" s="203">
        <v>46204</v>
      </c>
      <c r="GM199" s="203">
        <v>46206</v>
      </c>
      <c r="GN199" s="203">
        <v>46209</v>
      </c>
      <c r="GO199" s="203">
        <v>46209</v>
      </c>
      <c r="GP199" s="203">
        <v>46212</v>
      </c>
      <c r="GQ199" s="203">
        <v>46217</v>
      </c>
      <c r="GR199" s="187"/>
      <c r="GS199" s="187" t="s">
        <v>1180</v>
      </c>
      <c r="GT199" s="187" t="s">
        <v>849</v>
      </c>
      <c r="GU199" s="187" t="s">
        <v>1175</v>
      </c>
      <c r="GV199" s="187"/>
    </row>
    <row r="200" spans="1:204" s="68" customFormat="1" ht="14.45" customHeight="1" x14ac:dyDescent="0.25">
      <c r="A200" s="68" t="s">
        <v>691</v>
      </c>
      <c r="B200" s="82" t="s">
        <v>154</v>
      </c>
      <c r="C200" s="82" t="s">
        <v>172</v>
      </c>
      <c r="D200" s="82" t="s">
        <v>196</v>
      </c>
      <c r="E200" s="82" t="s">
        <v>309</v>
      </c>
      <c r="F200" s="82" t="s">
        <v>549</v>
      </c>
      <c r="G200" s="82" t="s">
        <v>137</v>
      </c>
      <c r="H200" s="82" t="s">
        <v>137</v>
      </c>
      <c r="I200" s="82" t="s">
        <v>66</v>
      </c>
      <c r="J200" s="82" t="s">
        <v>29</v>
      </c>
      <c r="K200" s="92" t="s">
        <v>137</v>
      </c>
      <c r="L200" s="92" t="s">
        <v>137</v>
      </c>
      <c r="M200" s="92" t="s">
        <v>137</v>
      </c>
      <c r="N200" s="92" t="s">
        <v>137</v>
      </c>
      <c r="O200" s="92" t="s">
        <v>137</v>
      </c>
      <c r="P200" s="92" t="s">
        <v>137</v>
      </c>
      <c r="Q200" s="82" t="s">
        <v>87</v>
      </c>
      <c r="R200" s="82" t="s">
        <v>714</v>
      </c>
      <c r="S200" s="82" t="s">
        <v>40</v>
      </c>
      <c r="T200" s="82" t="s">
        <v>2</v>
      </c>
      <c r="U200" s="83"/>
      <c r="V200" s="83">
        <v>0.05</v>
      </c>
      <c r="W200" s="83">
        <v>0.08</v>
      </c>
      <c r="X200" s="83">
        <v>0.15</v>
      </c>
      <c r="Y200" s="83">
        <v>0.2</v>
      </c>
      <c r="Z200" s="83">
        <v>0.25</v>
      </c>
      <c r="AA200" s="83">
        <v>0.37</v>
      </c>
      <c r="AB200" s="83">
        <v>0.42</v>
      </c>
      <c r="AC200" s="83">
        <v>0.57999999999999996</v>
      </c>
      <c r="AD200" s="83">
        <v>0.67</v>
      </c>
      <c r="AE200" s="83">
        <v>0.83</v>
      </c>
      <c r="AF200" s="83">
        <v>1</v>
      </c>
      <c r="AG200" s="82" t="s">
        <v>532</v>
      </c>
      <c r="AH200" s="82" t="s">
        <v>529</v>
      </c>
      <c r="AI200" s="88" t="s">
        <v>538</v>
      </c>
      <c r="AJ200" s="89" t="s">
        <v>538</v>
      </c>
      <c r="AK200" s="90">
        <v>46023</v>
      </c>
      <c r="AL200" s="90">
        <v>46387</v>
      </c>
      <c r="AM200" s="89"/>
      <c r="AN200" s="89"/>
      <c r="AO200" s="89"/>
      <c r="AP200" s="91" t="s">
        <v>539</v>
      </c>
      <c r="AQ200" s="90" cm="1">
        <f t="array" ref="AQ200">IFERROR(DATE(2026, _xlfn.AGGREGATE(15, 6, (COLUMN(BY200:CJ200)-COLUMN(BY200)+1)/(BY200:CJ200&lt;&gt;0), 1), 1),"N/A")</f>
        <v>46023</v>
      </c>
      <c r="AR200" s="90" cm="1">
        <f t="array" ref="AR200">IFERROR(EOMONTH(DATE(2026, _xlfn.AGGREGATE(14, 6, (COLUMN(BY200:CJ200)-COLUMN(BY200)+1)/(BY200:CJ200&lt;&gt;0), 1), 1), 0),"N/A")</f>
        <v>46387</v>
      </c>
      <c r="AS200" s="89"/>
      <c r="AT200" s="89"/>
      <c r="AU200" s="89"/>
      <c r="AV200" s="89"/>
      <c r="AW200" s="89"/>
      <c r="AX200" s="89"/>
      <c r="AY200" s="89"/>
      <c r="AZ200" s="89"/>
      <c r="BA200" s="89"/>
      <c r="BB200" s="89"/>
      <c r="BC200" s="89"/>
      <c r="BD200" s="89"/>
      <c r="BE200" s="82" t="s">
        <v>784</v>
      </c>
      <c r="BF200" s="82" t="s">
        <v>999</v>
      </c>
      <c r="BG200" s="82" t="str">
        <f t="shared" si="18"/>
        <v>000</v>
      </c>
      <c r="BH200" s="88">
        <v>530303</v>
      </c>
      <c r="BI200" s="92" t="s">
        <v>74</v>
      </c>
      <c r="BJ200" s="93">
        <v>8000</v>
      </c>
      <c r="BK200" s="94">
        <v>666.66666666666663</v>
      </c>
      <c r="BL200" s="94">
        <v>666.66666666666663</v>
      </c>
      <c r="BM200" s="94">
        <v>666.66666666666663</v>
      </c>
      <c r="BN200" s="72">
        <v>666.66666666666663</v>
      </c>
      <c r="BO200" s="94">
        <v>666.66666666666663</v>
      </c>
      <c r="BP200" s="94">
        <v>666.66666666666663</v>
      </c>
      <c r="BQ200" s="94">
        <v>666.66666666666663</v>
      </c>
      <c r="BR200" s="94">
        <v>666.66666666666663</v>
      </c>
      <c r="BS200" s="94">
        <v>666.66666666666663</v>
      </c>
      <c r="BT200" s="94">
        <v>666.66666666666663</v>
      </c>
      <c r="BU200" s="94">
        <v>666.66666666666663</v>
      </c>
      <c r="BV200" s="142">
        <v>666.66666666666663</v>
      </c>
      <c r="BW200" s="142"/>
      <c r="BX200" s="143">
        <f t="shared" si="23"/>
        <v>8000</v>
      </c>
      <c r="BY200" s="94">
        <v>666.66666666666663</v>
      </c>
      <c r="BZ200" s="94">
        <v>666.66666666666663</v>
      </c>
      <c r="CA200" s="94">
        <v>666.66666666666663</v>
      </c>
      <c r="CB200" s="72">
        <v>666.66666666666663</v>
      </c>
      <c r="CC200" s="94">
        <v>666.66666666666663</v>
      </c>
      <c r="CD200" s="94">
        <v>666.66666666666663</v>
      </c>
      <c r="CE200" s="94">
        <v>666.66666666666663</v>
      </c>
      <c r="CF200" s="94">
        <v>666.66666666666663</v>
      </c>
      <c r="CG200" s="94">
        <v>666.66666666666663</v>
      </c>
      <c r="CH200" s="94">
        <v>666.66666666666663</v>
      </c>
      <c r="CI200" s="94">
        <v>666.66666666666663</v>
      </c>
      <c r="CJ200" s="142">
        <v>666.66666666666663</v>
      </c>
      <c r="CK200" s="142"/>
      <c r="CL200" s="142">
        <f t="shared" si="19"/>
        <v>0</v>
      </c>
      <c r="CM200" s="171">
        <v>0</v>
      </c>
      <c r="CN200" s="171">
        <v>0</v>
      </c>
      <c r="CO200" s="171">
        <v>0</v>
      </c>
      <c r="CP200" s="171">
        <v>0</v>
      </c>
      <c r="CQ200" s="171">
        <v>0</v>
      </c>
      <c r="CR200" s="171">
        <v>0</v>
      </c>
      <c r="CS200" s="171">
        <f t="shared" si="20"/>
        <v>0</v>
      </c>
      <c r="CT200" s="171">
        <f t="shared" si="21"/>
        <v>0</v>
      </c>
      <c r="CU200" s="171">
        <f t="shared" si="22"/>
        <v>0</v>
      </c>
      <c r="CV200" s="149"/>
      <c r="CW200" s="149"/>
      <c r="CX200" s="130"/>
      <c r="CY200" s="130"/>
      <c r="CZ200" s="130"/>
      <c r="DA200" s="130"/>
      <c r="DB200" s="130"/>
      <c r="DC200" s="130"/>
      <c r="DD200" s="130"/>
      <c r="DE200" s="130"/>
      <c r="DF200" s="130"/>
      <c r="DG200" s="130"/>
      <c r="DH200" s="130"/>
      <c r="DI200" s="130"/>
      <c r="DJ200" s="130"/>
      <c r="DK200" s="130"/>
      <c r="DL200" s="130"/>
      <c r="DM200" s="130"/>
      <c r="DN200" s="130"/>
      <c r="DO200" s="130"/>
      <c r="DP200" s="130"/>
      <c r="DQ200" s="130"/>
      <c r="DR200" s="130"/>
      <c r="DS200" s="130"/>
      <c r="DT200" s="130"/>
      <c r="DU200" s="130"/>
      <c r="DV200" s="130"/>
      <c r="DW200" s="130"/>
      <c r="DX200" s="130"/>
      <c r="DY200" s="130"/>
      <c r="DZ200" s="130"/>
      <c r="EA200" s="130"/>
      <c r="EB200" s="130"/>
      <c r="EC200" s="130"/>
      <c r="ED200" s="130"/>
      <c r="EE200" s="130"/>
      <c r="EF200" s="130"/>
      <c r="EG200" s="130"/>
      <c r="EH200" s="130"/>
      <c r="EI200" s="130"/>
      <c r="EJ200" s="130"/>
      <c r="EK200" s="130"/>
      <c r="EL200" s="130"/>
      <c r="EM200" s="130"/>
      <c r="EN200" s="130"/>
      <c r="EO200" s="130"/>
      <c r="EP200" s="130"/>
      <c r="EQ200" s="130"/>
      <c r="ER200" s="130"/>
      <c r="ES200" s="130"/>
      <c r="ET200" s="130"/>
      <c r="EU200" s="130"/>
      <c r="EV200" s="130"/>
      <c r="EW200" s="130"/>
      <c r="EX200" s="130"/>
      <c r="EY200" s="130"/>
      <c r="EZ200" s="130"/>
      <c r="FA200" s="130"/>
      <c r="FB200" s="201"/>
      <c r="FC200" s="201"/>
      <c r="FD200" s="201"/>
      <c r="FE200" s="201"/>
      <c r="FF200" s="201"/>
      <c r="FG200" s="201"/>
      <c r="FH200" s="201"/>
      <c r="FI200" s="201"/>
      <c r="FJ200" s="201"/>
      <c r="FK200" s="201"/>
      <c r="FL200" s="201"/>
      <c r="FM200" s="201"/>
      <c r="FN200" s="201"/>
      <c r="FO200" s="201"/>
      <c r="FP200" s="201"/>
      <c r="FQ200" s="201"/>
      <c r="FR200" s="201"/>
      <c r="FS200" s="201"/>
      <c r="FT200" s="201"/>
      <c r="FU200" s="201"/>
      <c r="FV200" s="201"/>
      <c r="FW200" s="201"/>
      <c r="FX200" s="201"/>
      <c r="FY200" s="201"/>
      <c r="FZ200" s="201"/>
      <c r="GA200" s="201"/>
      <c r="GB200" s="201"/>
      <c r="GC200" s="201"/>
      <c r="GD200" s="201"/>
      <c r="GE200" s="201"/>
      <c r="GF200" s="201"/>
      <c r="GG200" s="201"/>
      <c r="GH200" s="201"/>
      <c r="GI200" s="201"/>
      <c r="GJ200" s="201"/>
      <c r="GK200" s="201"/>
      <c r="GL200" s="201"/>
      <c r="GM200" s="201"/>
      <c r="GN200" s="201"/>
      <c r="GO200" s="201"/>
      <c r="GP200" s="201"/>
      <c r="GQ200" s="201"/>
    </row>
    <row r="201" spans="1:204" s="68" customFormat="1" ht="14.45" customHeight="1" x14ac:dyDescent="0.25">
      <c r="A201" s="68" t="s">
        <v>691</v>
      </c>
      <c r="B201" s="82" t="s">
        <v>154</v>
      </c>
      <c r="C201" s="82" t="s">
        <v>172</v>
      </c>
      <c r="D201" s="82" t="s">
        <v>196</v>
      </c>
      <c r="E201" s="82" t="s">
        <v>309</v>
      </c>
      <c r="F201" s="82" t="s">
        <v>549</v>
      </c>
      <c r="G201" s="82" t="s">
        <v>137</v>
      </c>
      <c r="H201" s="82" t="s">
        <v>137</v>
      </c>
      <c r="I201" s="82" t="s">
        <v>66</v>
      </c>
      <c r="J201" s="82" t="s">
        <v>29</v>
      </c>
      <c r="K201" s="92" t="s">
        <v>137</v>
      </c>
      <c r="L201" s="92" t="s">
        <v>137</v>
      </c>
      <c r="M201" s="92" t="s">
        <v>137</v>
      </c>
      <c r="N201" s="92" t="s">
        <v>137</v>
      </c>
      <c r="O201" s="92" t="s">
        <v>137</v>
      </c>
      <c r="P201" s="92" t="s">
        <v>137</v>
      </c>
      <c r="Q201" s="82" t="s">
        <v>87</v>
      </c>
      <c r="R201" s="82" t="s">
        <v>714</v>
      </c>
      <c r="S201" s="82" t="s">
        <v>40</v>
      </c>
      <c r="T201" s="82" t="s">
        <v>2</v>
      </c>
      <c r="U201" s="83"/>
      <c r="V201" s="83">
        <v>0.05</v>
      </c>
      <c r="W201" s="83">
        <v>0.08</v>
      </c>
      <c r="X201" s="83">
        <v>0.15</v>
      </c>
      <c r="Y201" s="83">
        <v>0.2</v>
      </c>
      <c r="Z201" s="83">
        <v>0.25</v>
      </c>
      <c r="AA201" s="83">
        <v>0.37</v>
      </c>
      <c r="AB201" s="83">
        <v>0.42</v>
      </c>
      <c r="AC201" s="83">
        <v>0.57999999999999996</v>
      </c>
      <c r="AD201" s="83">
        <v>0.67</v>
      </c>
      <c r="AE201" s="83">
        <v>0.83</v>
      </c>
      <c r="AF201" s="83">
        <v>1</v>
      </c>
      <c r="AG201" s="82" t="s">
        <v>532</v>
      </c>
      <c r="AH201" s="82" t="s">
        <v>529</v>
      </c>
      <c r="AI201" s="88" t="s">
        <v>538</v>
      </c>
      <c r="AJ201" s="89" t="s">
        <v>538</v>
      </c>
      <c r="AK201" s="90">
        <v>46023</v>
      </c>
      <c r="AL201" s="90">
        <v>46387</v>
      </c>
      <c r="AM201" s="89"/>
      <c r="AN201" s="89"/>
      <c r="AO201" s="89"/>
      <c r="AP201" s="91" t="s">
        <v>539</v>
      </c>
      <c r="AQ201" s="90" cm="1">
        <f t="array" ref="AQ201">IFERROR(DATE(2026, _xlfn.AGGREGATE(15, 6, (COLUMN(BY201:CJ201)-COLUMN(BY201)+1)/(BY201:CJ201&lt;&gt;0), 1), 1),"N/A")</f>
        <v>46023</v>
      </c>
      <c r="AR201" s="90" cm="1">
        <f t="array" ref="AR201">IFERROR(EOMONTH(DATE(2026, _xlfn.AGGREGATE(14, 6, (COLUMN(BY201:CJ201)-COLUMN(BY201)+1)/(BY201:CJ201&lt;&gt;0), 1), 1), 0),"N/A")</f>
        <v>46387</v>
      </c>
      <c r="AS201" s="89"/>
      <c r="AT201" s="89"/>
      <c r="AU201" s="89"/>
      <c r="AV201" s="89"/>
      <c r="AW201" s="89"/>
      <c r="AX201" s="89"/>
      <c r="AY201" s="89"/>
      <c r="AZ201" s="89"/>
      <c r="BA201" s="89"/>
      <c r="BB201" s="89"/>
      <c r="BC201" s="89"/>
      <c r="BD201" s="89"/>
      <c r="BE201" s="82" t="s">
        <v>784</v>
      </c>
      <c r="BF201" s="82" t="s">
        <v>1000</v>
      </c>
      <c r="BG201" s="82" t="str">
        <f t="shared" si="18"/>
        <v>000</v>
      </c>
      <c r="BH201" s="88">
        <v>530304</v>
      </c>
      <c r="BI201" s="92" t="s">
        <v>74</v>
      </c>
      <c r="BJ201" s="93">
        <v>54000</v>
      </c>
      <c r="BK201" s="94">
        <v>4500</v>
      </c>
      <c r="BL201" s="94">
        <v>4500</v>
      </c>
      <c r="BM201" s="94">
        <v>4500</v>
      </c>
      <c r="BN201" s="72">
        <v>4500</v>
      </c>
      <c r="BO201" s="94">
        <v>4500</v>
      </c>
      <c r="BP201" s="94">
        <v>4500</v>
      </c>
      <c r="BQ201" s="94">
        <v>4500</v>
      </c>
      <c r="BR201" s="94">
        <v>4500</v>
      </c>
      <c r="BS201" s="94">
        <v>4500</v>
      </c>
      <c r="BT201" s="94">
        <v>4500</v>
      </c>
      <c r="BU201" s="94">
        <v>4500</v>
      </c>
      <c r="BV201" s="142">
        <v>4500</v>
      </c>
      <c r="BW201" s="142"/>
      <c r="BX201" s="143">
        <f t="shared" si="23"/>
        <v>54000</v>
      </c>
      <c r="BY201" s="94">
        <v>4500</v>
      </c>
      <c r="BZ201" s="94">
        <v>4500</v>
      </c>
      <c r="CA201" s="94">
        <v>4500</v>
      </c>
      <c r="CB201" s="72">
        <v>4500</v>
      </c>
      <c r="CC201" s="94">
        <v>4500</v>
      </c>
      <c r="CD201" s="94">
        <v>4500</v>
      </c>
      <c r="CE201" s="94">
        <v>4500</v>
      </c>
      <c r="CF201" s="94">
        <v>4500</v>
      </c>
      <c r="CG201" s="94">
        <v>4500</v>
      </c>
      <c r="CH201" s="94">
        <v>4500</v>
      </c>
      <c r="CI201" s="94">
        <v>4500</v>
      </c>
      <c r="CJ201" s="142">
        <v>4500</v>
      </c>
      <c r="CK201" s="142"/>
      <c r="CL201" s="142">
        <f t="shared" si="19"/>
        <v>0</v>
      </c>
      <c r="CM201" s="171">
        <v>0</v>
      </c>
      <c r="CN201" s="171">
        <v>19523.599999999999</v>
      </c>
      <c r="CO201" s="171">
        <v>0</v>
      </c>
      <c r="CP201" s="171">
        <v>0</v>
      </c>
      <c r="CQ201" s="171">
        <v>27131.21</v>
      </c>
      <c r="CR201" s="171">
        <v>0</v>
      </c>
      <c r="CS201" s="171">
        <f t="shared" si="20"/>
        <v>0</v>
      </c>
      <c r="CT201" s="171">
        <f t="shared" si="21"/>
        <v>46654.81</v>
      </c>
      <c r="CU201" s="171">
        <f t="shared" si="22"/>
        <v>0</v>
      </c>
      <c r="CV201" s="149"/>
      <c r="CW201" s="149"/>
      <c r="CX201" s="130"/>
      <c r="CY201" s="130"/>
      <c r="CZ201" s="130"/>
      <c r="DA201" s="130"/>
      <c r="DB201" s="130"/>
      <c r="DC201" s="130"/>
      <c r="DD201" s="130"/>
      <c r="DE201" s="130"/>
      <c r="DF201" s="130"/>
      <c r="DG201" s="130"/>
      <c r="DH201" s="130"/>
      <c r="DI201" s="130"/>
      <c r="DJ201" s="130"/>
      <c r="DK201" s="130"/>
      <c r="DL201" s="130"/>
      <c r="DM201" s="130"/>
      <c r="DN201" s="130"/>
      <c r="DO201" s="130"/>
      <c r="DP201" s="130"/>
      <c r="DQ201" s="130"/>
      <c r="DR201" s="130"/>
      <c r="DS201" s="130"/>
      <c r="DT201" s="130"/>
      <c r="DU201" s="130"/>
      <c r="DV201" s="130"/>
      <c r="DW201" s="130"/>
      <c r="DX201" s="130"/>
      <c r="DY201" s="130"/>
      <c r="DZ201" s="130"/>
      <c r="EA201" s="130"/>
      <c r="EB201" s="130"/>
      <c r="EC201" s="130"/>
      <c r="ED201" s="130"/>
      <c r="EE201" s="130"/>
      <c r="EF201" s="130"/>
      <c r="EG201" s="130"/>
      <c r="EH201" s="130"/>
      <c r="EI201" s="130"/>
      <c r="EJ201" s="130"/>
      <c r="EK201" s="130"/>
      <c r="EL201" s="130"/>
      <c r="EM201" s="130"/>
      <c r="EN201" s="130"/>
      <c r="EO201" s="130"/>
      <c r="EP201" s="130"/>
      <c r="EQ201" s="130"/>
      <c r="ER201" s="130"/>
      <c r="ES201" s="130"/>
      <c r="ET201" s="130"/>
      <c r="EU201" s="130"/>
      <c r="EV201" s="130"/>
      <c r="EW201" s="130"/>
      <c r="EX201" s="130"/>
      <c r="EY201" s="130"/>
      <c r="EZ201" s="130"/>
      <c r="FA201" s="130"/>
      <c r="FB201" s="201"/>
      <c r="FC201" s="201"/>
      <c r="FD201" s="201"/>
      <c r="FE201" s="201"/>
      <c r="FF201" s="201"/>
      <c r="FG201" s="201"/>
      <c r="FH201" s="201"/>
      <c r="FI201" s="201"/>
      <c r="FJ201" s="201"/>
      <c r="FK201" s="201"/>
      <c r="FL201" s="201"/>
      <c r="FM201" s="201"/>
      <c r="FN201" s="201"/>
      <c r="FO201" s="201"/>
      <c r="FP201" s="201"/>
      <c r="FQ201" s="201"/>
      <c r="FR201" s="201"/>
      <c r="FS201" s="201"/>
      <c r="FT201" s="201"/>
      <c r="FU201" s="201"/>
      <c r="FV201" s="201"/>
      <c r="FW201" s="201"/>
      <c r="FX201" s="201"/>
      <c r="FY201" s="201"/>
      <c r="FZ201" s="201"/>
      <c r="GA201" s="201"/>
      <c r="GB201" s="201"/>
      <c r="GC201" s="201"/>
      <c r="GD201" s="201"/>
      <c r="GE201" s="201"/>
      <c r="GF201" s="201"/>
      <c r="GG201" s="201"/>
      <c r="GH201" s="201"/>
      <c r="GI201" s="201"/>
      <c r="GJ201" s="201"/>
      <c r="GK201" s="201"/>
      <c r="GL201" s="201"/>
      <c r="GM201" s="201"/>
      <c r="GN201" s="201"/>
      <c r="GO201" s="201"/>
      <c r="GP201" s="201"/>
      <c r="GQ201" s="201"/>
    </row>
    <row r="202" spans="1:204" s="68" customFormat="1" ht="14.45" customHeight="1" x14ac:dyDescent="0.25">
      <c r="A202" s="68" t="s">
        <v>697</v>
      </c>
      <c r="B202" s="82" t="s">
        <v>154</v>
      </c>
      <c r="C202" s="82" t="s">
        <v>172</v>
      </c>
      <c r="D202" s="95" t="s">
        <v>196</v>
      </c>
      <c r="E202" s="82" t="s">
        <v>5</v>
      </c>
      <c r="F202" s="95" t="s">
        <v>550</v>
      </c>
      <c r="G202" s="82" t="s">
        <v>288</v>
      </c>
      <c r="H202" s="82" t="s">
        <v>551</v>
      </c>
      <c r="I202" s="82" t="s">
        <v>300</v>
      </c>
      <c r="J202" s="82" t="s">
        <v>528</v>
      </c>
      <c r="K202" s="92" t="s">
        <v>326</v>
      </c>
      <c r="L202" s="88" t="s">
        <v>558</v>
      </c>
      <c r="M202" s="88" t="s">
        <v>530</v>
      </c>
      <c r="N202" s="88" t="s">
        <v>7</v>
      </c>
      <c r="O202" s="116" t="s">
        <v>559</v>
      </c>
      <c r="P202" s="116" t="s">
        <v>560</v>
      </c>
      <c r="Q202" s="82" t="s">
        <v>772</v>
      </c>
      <c r="R202" s="82" t="s">
        <v>773</v>
      </c>
      <c r="S202" s="82" t="s">
        <v>774</v>
      </c>
      <c r="T202" s="82" t="s">
        <v>320</v>
      </c>
      <c r="U202" s="83"/>
      <c r="V202" s="83"/>
      <c r="W202" s="83">
        <v>0.05</v>
      </c>
      <c r="X202" s="83"/>
      <c r="Y202" s="83"/>
      <c r="Z202" s="83">
        <v>0.05</v>
      </c>
      <c r="AA202" s="83"/>
      <c r="AB202" s="83"/>
      <c r="AC202" s="83">
        <v>0.05</v>
      </c>
      <c r="AD202" s="83"/>
      <c r="AE202" s="83"/>
      <c r="AF202" s="83">
        <v>0.05</v>
      </c>
      <c r="AG202" s="82" t="s">
        <v>535</v>
      </c>
      <c r="AH202" s="82" t="s">
        <v>529</v>
      </c>
      <c r="AI202" s="88" t="s">
        <v>538</v>
      </c>
      <c r="AJ202" s="89" t="s">
        <v>538</v>
      </c>
      <c r="AK202" s="90">
        <v>46023</v>
      </c>
      <c r="AL202" s="90">
        <v>46387</v>
      </c>
      <c r="AM202" s="89"/>
      <c r="AN202" s="89"/>
      <c r="AO202" s="89"/>
      <c r="AP202" s="187" t="s">
        <v>545</v>
      </c>
      <c r="AQ202" s="90" cm="1">
        <f t="array" ref="AQ202">IFERROR(DATE(2026, _xlfn.AGGREGATE(15, 6, (COLUMN(BY202:CJ202)-COLUMN(BY202)+1)/(BY202:CJ202&lt;&gt;0), 1), 1),"N/A")</f>
        <v>46204</v>
      </c>
      <c r="AR202" s="90" cm="1">
        <f t="array" ref="AR202">IFERROR(EOMONTH(DATE(2026, _xlfn.AGGREGATE(14, 6, (COLUMN(BY202:CJ202)-COLUMN(BY202)+1)/(BY202:CJ202&lt;&gt;0), 1), 1), 0),"N/A")</f>
        <v>46387</v>
      </c>
      <c r="AS202" s="89"/>
      <c r="AT202" s="89"/>
      <c r="AU202" s="89"/>
      <c r="AV202" s="89"/>
      <c r="AW202" s="89"/>
      <c r="AX202" s="89"/>
      <c r="AY202" s="89"/>
      <c r="AZ202" s="89"/>
      <c r="BA202" s="89"/>
      <c r="BB202" s="89"/>
      <c r="BC202" s="89"/>
      <c r="BD202" s="89"/>
      <c r="BE202" s="82" t="s">
        <v>674</v>
      </c>
      <c r="BF202" s="82" t="s">
        <v>1079</v>
      </c>
      <c r="BG202" s="82" t="str">
        <f t="shared" si="18"/>
        <v>000</v>
      </c>
      <c r="BH202" s="88">
        <v>730207</v>
      </c>
      <c r="BI202" s="92" t="s">
        <v>706</v>
      </c>
      <c r="BJ202" s="93">
        <v>70000</v>
      </c>
      <c r="BK202" s="74">
        <v>0</v>
      </c>
      <c r="BL202" s="74">
        <v>0</v>
      </c>
      <c r="BM202" s="74">
        <v>0</v>
      </c>
      <c r="BN202" s="74">
        <v>0</v>
      </c>
      <c r="BO202" s="74">
        <v>0</v>
      </c>
      <c r="BP202" s="94">
        <v>35000</v>
      </c>
      <c r="BQ202" s="74">
        <v>0</v>
      </c>
      <c r="BR202" s="74">
        <v>0</v>
      </c>
      <c r="BS202" s="74">
        <v>0</v>
      </c>
      <c r="BT202" s="74">
        <v>0</v>
      </c>
      <c r="BU202" s="74">
        <v>0</v>
      </c>
      <c r="BV202" s="142">
        <v>35000</v>
      </c>
      <c r="BW202" s="142">
        <v>30000</v>
      </c>
      <c r="BX202" s="143">
        <f t="shared" si="23"/>
        <v>100000</v>
      </c>
      <c r="BY202" s="74">
        <v>0</v>
      </c>
      <c r="BZ202" s="74">
        <v>0</v>
      </c>
      <c r="CA202" s="74">
        <v>0</v>
      </c>
      <c r="CB202" s="74">
        <v>0</v>
      </c>
      <c r="CC202" s="74">
        <v>0</v>
      </c>
      <c r="CD202" s="94">
        <v>0</v>
      </c>
      <c r="CE202" s="94">
        <v>50000</v>
      </c>
      <c r="CF202" s="74">
        <v>0</v>
      </c>
      <c r="CG202" s="74">
        <v>0</v>
      </c>
      <c r="CH202" s="74">
        <v>0</v>
      </c>
      <c r="CI202" s="74">
        <v>0</v>
      </c>
      <c r="CJ202" s="142">
        <v>50000</v>
      </c>
      <c r="CK202" s="142"/>
      <c r="CL202" s="142">
        <f t="shared" si="19"/>
        <v>0</v>
      </c>
      <c r="CM202" s="171">
        <v>0</v>
      </c>
      <c r="CN202" s="171">
        <v>0</v>
      </c>
      <c r="CO202" s="171">
        <v>0</v>
      </c>
      <c r="CP202" s="171">
        <v>0</v>
      </c>
      <c r="CQ202" s="171">
        <v>0</v>
      </c>
      <c r="CR202" s="171">
        <v>0</v>
      </c>
      <c r="CS202" s="171">
        <f t="shared" si="20"/>
        <v>0</v>
      </c>
      <c r="CT202" s="171">
        <f t="shared" si="21"/>
        <v>0</v>
      </c>
      <c r="CU202" s="171">
        <f t="shared" si="22"/>
        <v>0</v>
      </c>
      <c r="CV202" s="149"/>
      <c r="CW202" s="149"/>
      <c r="CX202" s="130"/>
      <c r="CY202" s="130"/>
      <c r="CZ202" s="130"/>
      <c r="DA202" s="130"/>
      <c r="DB202" s="130"/>
      <c r="DC202" s="130"/>
      <c r="DD202" s="130"/>
      <c r="DE202" s="130"/>
      <c r="DF202" s="130"/>
      <c r="DG202" s="130"/>
      <c r="DH202" s="130"/>
      <c r="DI202" s="130"/>
      <c r="DJ202" s="130"/>
      <c r="DK202" s="130"/>
      <c r="DL202" s="130"/>
      <c r="DM202" s="130"/>
      <c r="DN202" s="130"/>
      <c r="DO202" s="130"/>
      <c r="DP202" s="130"/>
      <c r="DQ202" s="130"/>
      <c r="DR202" s="130"/>
      <c r="DS202" s="130"/>
      <c r="DT202" s="130"/>
      <c r="DU202" s="130"/>
      <c r="DV202" s="130"/>
      <c r="DW202" s="130"/>
      <c r="DX202" s="130"/>
      <c r="DY202" s="130"/>
      <c r="DZ202" s="130"/>
      <c r="EA202" s="130"/>
      <c r="EB202" s="130"/>
      <c r="EC202" s="130"/>
      <c r="ED202" s="130"/>
      <c r="EE202" s="130"/>
      <c r="EF202" s="130"/>
      <c r="EG202" s="130"/>
      <c r="EH202" s="130"/>
      <c r="EI202" s="130"/>
      <c r="EJ202" s="130"/>
      <c r="EK202" s="130"/>
      <c r="EL202" s="130"/>
      <c r="EM202" s="130"/>
      <c r="EN202" s="130"/>
      <c r="EO202" s="130"/>
      <c r="EP202" s="130"/>
      <c r="EQ202" s="130"/>
      <c r="ER202" s="130"/>
      <c r="ES202" s="130"/>
      <c r="ET202" s="130"/>
      <c r="EU202" s="172">
        <v>46174</v>
      </c>
      <c r="EV202" s="130"/>
      <c r="EW202" s="130"/>
      <c r="EX202" s="130"/>
      <c r="EY202" s="130"/>
      <c r="EZ202" s="130"/>
      <c r="FA202" s="130"/>
      <c r="FB202" s="201"/>
      <c r="FC202" s="201"/>
      <c r="FD202" s="201"/>
      <c r="FE202" s="201"/>
      <c r="FF202" s="201"/>
      <c r="FG202" s="201"/>
      <c r="FH202" s="201"/>
      <c r="FI202" s="201"/>
      <c r="FJ202" s="201"/>
      <c r="FK202" s="201"/>
      <c r="FL202" s="201"/>
      <c r="FM202" s="201"/>
      <c r="FN202" s="201"/>
      <c r="FO202" s="201"/>
      <c r="FP202" s="201"/>
      <c r="FQ202" s="201"/>
      <c r="FR202" s="201"/>
      <c r="FS202" s="201"/>
      <c r="FT202" s="201"/>
      <c r="FU202" s="201"/>
      <c r="FV202" s="201"/>
      <c r="FW202" s="201"/>
      <c r="FX202" s="201"/>
      <c r="FY202" s="201"/>
      <c r="FZ202" s="201"/>
      <c r="GA202" s="201"/>
      <c r="GB202" s="201"/>
      <c r="GC202" s="201"/>
      <c r="GD202" s="201"/>
      <c r="GE202" s="201"/>
      <c r="GF202" s="201"/>
      <c r="GG202" s="201"/>
      <c r="GH202" s="201"/>
      <c r="GI202" s="201"/>
      <c r="GJ202" s="201"/>
      <c r="GK202" s="201"/>
      <c r="GL202" s="201"/>
      <c r="GM202" s="201"/>
      <c r="GN202" s="201"/>
      <c r="GO202" s="201"/>
      <c r="GP202" s="201"/>
      <c r="GQ202" s="201"/>
    </row>
    <row r="203" spans="1:204" s="68" customFormat="1" ht="14.45" customHeight="1" x14ac:dyDescent="0.25">
      <c r="A203" s="68" t="s">
        <v>694</v>
      </c>
      <c r="B203" s="82" t="s">
        <v>154</v>
      </c>
      <c r="C203" s="82" t="s">
        <v>172</v>
      </c>
      <c r="D203" s="95" t="s">
        <v>196</v>
      </c>
      <c r="E203" s="82" t="s">
        <v>5</v>
      </c>
      <c r="F203" s="95" t="s">
        <v>550</v>
      </c>
      <c r="G203" s="82" t="s">
        <v>288</v>
      </c>
      <c r="H203" s="82" t="s">
        <v>551</v>
      </c>
      <c r="I203" s="82" t="s">
        <v>300</v>
      </c>
      <c r="J203" s="82" t="s">
        <v>528</v>
      </c>
      <c r="K203" s="92" t="s">
        <v>326</v>
      </c>
      <c r="L203" s="88" t="s">
        <v>558</v>
      </c>
      <c r="M203" s="88" t="s">
        <v>530</v>
      </c>
      <c r="N203" s="88" t="s">
        <v>7</v>
      </c>
      <c r="O203" s="116" t="s">
        <v>559</v>
      </c>
      <c r="P203" s="116" t="s">
        <v>560</v>
      </c>
      <c r="Q203" s="82" t="s">
        <v>772</v>
      </c>
      <c r="R203" s="82" t="s">
        <v>773</v>
      </c>
      <c r="S203" s="82" t="s">
        <v>774</v>
      </c>
      <c r="T203" s="82" t="s">
        <v>320</v>
      </c>
      <c r="U203" s="83"/>
      <c r="V203" s="83"/>
      <c r="W203" s="83">
        <v>0.05</v>
      </c>
      <c r="X203" s="83"/>
      <c r="Y203" s="83"/>
      <c r="Z203" s="83">
        <v>0.05</v>
      </c>
      <c r="AA203" s="83"/>
      <c r="AB203" s="83"/>
      <c r="AC203" s="83">
        <v>0.05</v>
      </c>
      <c r="AD203" s="83"/>
      <c r="AE203" s="83"/>
      <c r="AF203" s="83">
        <v>0.05</v>
      </c>
      <c r="AG203" s="82" t="s">
        <v>535</v>
      </c>
      <c r="AH203" s="82" t="s">
        <v>529</v>
      </c>
      <c r="AI203" s="88" t="s">
        <v>538</v>
      </c>
      <c r="AJ203" s="89" t="s">
        <v>538</v>
      </c>
      <c r="AK203" s="90">
        <v>46023</v>
      </c>
      <c r="AL203" s="90">
        <v>46387</v>
      </c>
      <c r="AM203" s="89"/>
      <c r="AN203" s="89"/>
      <c r="AO203" s="89"/>
      <c r="AP203" s="187" t="s">
        <v>545</v>
      </c>
      <c r="AQ203" s="90" cm="1">
        <f t="array" ref="AQ203">IFERROR(DATE(2026, _xlfn.AGGREGATE(15, 6, (COLUMN(BY203:CJ203)-COLUMN(BY203)+1)/(BY203:CJ203&lt;&gt;0), 1), 1),"N/A")</f>
        <v>46174</v>
      </c>
      <c r="AR203" s="90" cm="1">
        <f t="array" ref="AR203">IFERROR(EOMONTH(DATE(2026, _xlfn.AGGREGATE(14, 6, (COLUMN(BY203:CJ203)-COLUMN(BY203)+1)/(BY203:CJ203&lt;&gt;0), 1), 1), 0),"N/A")</f>
        <v>46387</v>
      </c>
      <c r="AS203" s="89"/>
      <c r="AT203" s="89"/>
      <c r="AU203" s="89"/>
      <c r="AV203" s="89"/>
      <c r="AW203" s="89"/>
      <c r="AX203" s="89"/>
      <c r="AY203" s="89"/>
      <c r="AZ203" s="89"/>
      <c r="BA203" s="89"/>
      <c r="BB203" s="89"/>
      <c r="BC203" s="89"/>
      <c r="BD203" s="89"/>
      <c r="BE203" s="82" t="s">
        <v>686</v>
      </c>
      <c r="BF203" s="82" t="s">
        <v>1074</v>
      </c>
      <c r="BG203" s="82" t="str">
        <f t="shared" si="18"/>
        <v>001</v>
      </c>
      <c r="BH203" s="88">
        <v>730249</v>
      </c>
      <c r="BI203" s="92" t="s">
        <v>706</v>
      </c>
      <c r="BJ203" s="93">
        <v>310000</v>
      </c>
      <c r="BK203" s="74">
        <v>0</v>
      </c>
      <c r="BL203" s="74">
        <v>0</v>
      </c>
      <c r="BM203" s="74">
        <v>0</v>
      </c>
      <c r="BN203" s="72">
        <v>65000</v>
      </c>
      <c r="BO203" s="74">
        <v>0</v>
      </c>
      <c r="BP203" s="74">
        <v>0</v>
      </c>
      <c r="BQ203" s="74">
        <v>0</v>
      </c>
      <c r="BR203" s="74">
        <v>0</v>
      </c>
      <c r="BS203" s="74">
        <v>0</v>
      </c>
      <c r="BT203" s="74">
        <v>0</v>
      </c>
      <c r="BU203" s="94">
        <v>20000</v>
      </c>
      <c r="BV203" s="142">
        <v>225000</v>
      </c>
      <c r="BW203" s="142">
        <v>227792</v>
      </c>
      <c r="BX203" s="143">
        <f t="shared" si="23"/>
        <v>537792</v>
      </c>
      <c r="BY203" s="74">
        <v>0</v>
      </c>
      <c r="BZ203" s="74">
        <v>0</v>
      </c>
      <c r="CA203" s="74"/>
      <c r="CB203" s="72"/>
      <c r="CC203" s="74"/>
      <c r="CD203" s="74">
        <v>60016</v>
      </c>
      <c r="CE203" s="74">
        <v>85256</v>
      </c>
      <c r="CF203" s="74">
        <v>74016</v>
      </c>
      <c r="CG203" s="74">
        <v>85256</v>
      </c>
      <c r="CH203" s="74"/>
      <c r="CI203" s="94">
        <v>33248</v>
      </c>
      <c r="CJ203" s="142">
        <v>200000</v>
      </c>
      <c r="CK203" s="142"/>
      <c r="CL203" s="142">
        <f t="shared" si="19"/>
        <v>0</v>
      </c>
      <c r="CM203" s="171">
        <v>0</v>
      </c>
      <c r="CN203" s="171">
        <v>0</v>
      </c>
      <c r="CO203" s="171">
        <v>0</v>
      </c>
      <c r="CP203" s="171">
        <v>0</v>
      </c>
      <c r="CQ203" s="171">
        <v>0</v>
      </c>
      <c r="CR203" s="171">
        <v>0</v>
      </c>
      <c r="CS203" s="171">
        <f t="shared" si="20"/>
        <v>0</v>
      </c>
      <c r="CT203" s="171">
        <f t="shared" si="21"/>
        <v>0</v>
      </c>
      <c r="CU203" s="171">
        <f t="shared" si="22"/>
        <v>0</v>
      </c>
      <c r="CV203" s="149"/>
      <c r="CW203" s="149"/>
      <c r="CX203" s="130"/>
      <c r="CY203" s="130"/>
      <c r="CZ203" s="130"/>
      <c r="DA203" s="130"/>
      <c r="DB203" s="130"/>
      <c r="DC203" s="130"/>
      <c r="DD203" s="130"/>
      <c r="DE203" s="130"/>
      <c r="DF203" s="130"/>
      <c r="DG203" s="130"/>
      <c r="DH203" s="130"/>
      <c r="DI203" s="130"/>
      <c r="DJ203" s="130"/>
      <c r="DK203" s="130"/>
      <c r="DL203" s="130"/>
      <c r="DM203" s="130"/>
      <c r="DN203" s="130"/>
      <c r="DO203" s="130"/>
      <c r="DP203" s="130"/>
      <c r="DQ203" s="130"/>
      <c r="DR203" s="130"/>
      <c r="DS203" s="130"/>
      <c r="DT203" s="130"/>
      <c r="DU203" s="130"/>
      <c r="DV203" s="130"/>
      <c r="DW203" s="130"/>
      <c r="DX203" s="130"/>
      <c r="DY203" s="130"/>
      <c r="DZ203" s="130"/>
      <c r="EA203" s="130"/>
      <c r="EB203" s="130"/>
      <c r="EC203" s="130"/>
      <c r="ED203" s="130"/>
      <c r="EE203" s="130"/>
      <c r="EF203" s="130"/>
      <c r="EG203" s="130"/>
      <c r="EH203" s="130"/>
      <c r="EI203" s="130"/>
      <c r="EJ203" s="130"/>
      <c r="EK203" s="130"/>
      <c r="EL203" s="130"/>
      <c r="EM203" s="130"/>
      <c r="EN203" s="130"/>
      <c r="EO203" s="130"/>
      <c r="EP203" s="130"/>
      <c r="EQ203" s="130"/>
      <c r="ER203" s="130"/>
      <c r="ES203" s="130"/>
      <c r="ET203" s="130"/>
      <c r="EU203" s="172">
        <v>46143</v>
      </c>
      <c r="EV203" s="130"/>
      <c r="EW203" s="130"/>
      <c r="EX203" s="130"/>
      <c r="EY203" s="130"/>
      <c r="EZ203" s="130"/>
      <c r="FA203" s="130"/>
      <c r="FB203" s="201"/>
      <c r="FC203" s="201"/>
      <c r="FD203" s="201"/>
      <c r="FE203" s="201"/>
      <c r="FF203" s="201"/>
      <c r="FG203" s="201"/>
      <c r="FH203" s="201"/>
      <c r="FI203" s="201"/>
      <c r="FJ203" s="201"/>
      <c r="FK203" s="201"/>
      <c r="FL203" s="201"/>
      <c r="FM203" s="201"/>
      <c r="FN203" s="201"/>
      <c r="FO203" s="201"/>
      <c r="FP203" s="201"/>
      <c r="FQ203" s="201"/>
      <c r="FR203" s="201"/>
      <c r="FS203" s="201"/>
      <c r="FT203" s="201"/>
      <c r="FU203" s="201"/>
      <c r="FV203" s="201"/>
      <c r="FW203" s="201"/>
      <c r="FX203" s="201"/>
      <c r="FY203" s="201"/>
      <c r="FZ203" s="201"/>
      <c r="GA203" s="201"/>
      <c r="GB203" s="201"/>
      <c r="GC203" s="201"/>
      <c r="GD203" s="201"/>
      <c r="GE203" s="201"/>
      <c r="GF203" s="201"/>
      <c r="GG203" s="201"/>
      <c r="GH203" s="201"/>
      <c r="GI203" s="201"/>
      <c r="GJ203" s="201"/>
      <c r="GK203" s="201"/>
      <c r="GL203" s="201"/>
      <c r="GM203" s="201"/>
      <c r="GN203" s="201"/>
      <c r="GO203" s="201"/>
      <c r="GP203" s="201"/>
      <c r="GQ203" s="201"/>
    </row>
    <row r="204" spans="1:204" s="68" customFormat="1" ht="14.45" customHeight="1" x14ac:dyDescent="0.25">
      <c r="A204" s="68" t="s">
        <v>694</v>
      </c>
      <c r="B204" s="82" t="s">
        <v>154</v>
      </c>
      <c r="C204" s="82" t="s">
        <v>172</v>
      </c>
      <c r="D204" s="95" t="s">
        <v>196</v>
      </c>
      <c r="E204" s="82" t="s">
        <v>5</v>
      </c>
      <c r="F204" s="95" t="s">
        <v>550</v>
      </c>
      <c r="G204" s="82" t="s">
        <v>288</v>
      </c>
      <c r="H204" s="82" t="s">
        <v>551</v>
      </c>
      <c r="I204" s="82" t="s">
        <v>300</v>
      </c>
      <c r="J204" s="82" t="s">
        <v>528</v>
      </c>
      <c r="K204" s="92" t="s">
        <v>326</v>
      </c>
      <c r="L204" s="88" t="s">
        <v>558</v>
      </c>
      <c r="M204" s="88" t="s">
        <v>530</v>
      </c>
      <c r="N204" s="88" t="s">
        <v>7</v>
      </c>
      <c r="O204" s="116" t="s">
        <v>559</v>
      </c>
      <c r="P204" s="116" t="s">
        <v>560</v>
      </c>
      <c r="Q204" s="82" t="s">
        <v>772</v>
      </c>
      <c r="R204" s="82" t="s">
        <v>773</v>
      </c>
      <c r="S204" s="82" t="s">
        <v>774</v>
      </c>
      <c r="T204" s="82" t="s">
        <v>320</v>
      </c>
      <c r="U204" s="83"/>
      <c r="V204" s="83"/>
      <c r="W204" s="83">
        <v>0.05</v>
      </c>
      <c r="X204" s="83"/>
      <c r="Y204" s="83"/>
      <c r="Z204" s="83">
        <v>0.05</v>
      </c>
      <c r="AA204" s="83"/>
      <c r="AB204" s="83"/>
      <c r="AC204" s="83">
        <v>0.05</v>
      </c>
      <c r="AD204" s="83"/>
      <c r="AE204" s="83"/>
      <c r="AF204" s="83">
        <v>0.05</v>
      </c>
      <c r="AG204" s="82" t="s">
        <v>535</v>
      </c>
      <c r="AH204" s="82" t="s">
        <v>529</v>
      </c>
      <c r="AI204" s="88" t="s">
        <v>538</v>
      </c>
      <c r="AJ204" s="89" t="s">
        <v>538</v>
      </c>
      <c r="AK204" s="90">
        <v>46023</v>
      </c>
      <c r="AL204" s="90">
        <v>46387</v>
      </c>
      <c r="AM204" s="89"/>
      <c r="AN204" s="89"/>
      <c r="AO204" s="89"/>
      <c r="AP204" s="187" t="s">
        <v>545</v>
      </c>
      <c r="AQ204" s="90" cm="1">
        <f t="array" ref="AQ204">IFERROR(DATE(2026, _xlfn.AGGREGATE(15, 6, (COLUMN(BY204:CJ204)-COLUMN(BY204)+1)/(BY204:CJ204&lt;&gt;0), 1), 1),"N/A")</f>
        <v>46113</v>
      </c>
      <c r="AR204" s="90" cm="1">
        <f t="array" ref="AR204">IFERROR(EOMONTH(DATE(2026, _xlfn.AGGREGATE(14, 6, (COLUMN(BY204:CJ204)-COLUMN(BY204)+1)/(BY204:CJ204&lt;&gt;0), 1), 1), 0),"N/A")</f>
        <v>46142</v>
      </c>
      <c r="AS204" s="89"/>
      <c r="AT204" s="89"/>
      <c r="AU204" s="89"/>
      <c r="AV204" s="89"/>
      <c r="AW204" s="89"/>
      <c r="AX204" s="89"/>
      <c r="AY204" s="89"/>
      <c r="AZ204" s="89"/>
      <c r="BA204" s="89"/>
      <c r="BB204" s="89"/>
      <c r="BC204" s="89"/>
      <c r="BD204" s="89"/>
      <c r="BE204" s="82" t="s">
        <v>1128</v>
      </c>
      <c r="BF204" s="82" t="s">
        <v>1129</v>
      </c>
      <c r="BG204" s="82" t="str">
        <f t="shared" si="18"/>
        <v>000</v>
      </c>
      <c r="BH204" s="88">
        <v>730207</v>
      </c>
      <c r="BI204" s="92" t="s">
        <v>706</v>
      </c>
      <c r="BJ204" s="93">
        <v>0</v>
      </c>
      <c r="BK204" s="74"/>
      <c r="BL204" s="74"/>
      <c r="BM204" s="74"/>
      <c r="BN204" s="72"/>
      <c r="BO204" s="74"/>
      <c r="BP204" s="74"/>
      <c r="BQ204" s="74"/>
      <c r="BR204" s="74"/>
      <c r="BS204" s="74"/>
      <c r="BT204" s="74"/>
      <c r="BU204" s="94"/>
      <c r="BV204" s="142"/>
      <c r="BW204" s="142">
        <v>120000</v>
      </c>
      <c r="BX204" s="143">
        <f t="shared" si="23"/>
        <v>120000</v>
      </c>
      <c r="BY204" s="74"/>
      <c r="BZ204" s="74"/>
      <c r="CA204" s="74"/>
      <c r="CB204" s="72">
        <v>120000</v>
      </c>
      <c r="CC204" s="74"/>
      <c r="CD204" s="74"/>
      <c r="CE204" s="74"/>
      <c r="CF204" s="74"/>
      <c r="CG204" s="74"/>
      <c r="CH204" s="74"/>
      <c r="CI204" s="94"/>
      <c r="CJ204" s="142"/>
      <c r="CK204" s="142"/>
      <c r="CL204" s="142">
        <f t="shared" si="19"/>
        <v>0</v>
      </c>
      <c r="CM204" s="171">
        <v>0</v>
      </c>
      <c r="CN204" s="171">
        <v>0</v>
      </c>
      <c r="CO204" s="171">
        <v>0</v>
      </c>
      <c r="CP204" s="171">
        <v>0</v>
      </c>
      <c r="CQ204" s="171">
        <v>120000</v>
      </c>
      <c r="CR204" s="171">
        <v>0</v>
      </c>
      <c r="CS204" s="171">
        <f t="shared" si="20"/>
        <v>0</v>
      </c>
      <c r="CT204" s="171">
        <f t="shared" si="21"/>
        <v>120000</v>
      </c>
      <c r="CU204" s="171">
        <f t="shared" si="22"/>
        <v>0</v>
      </c>
      <c r="CV204" s="149"/>
      <c r="CW204" s="149">
        <v>120000</v>
      </c>
      <c r="CX204" s="130"/>
      <c r="CY204" s="130">
        <v>1</v>
      </c>
      <c r="CZ204" s="130"/>
      <c r="DA204" s="130"/>
      <c r="DB204" s="130"/>
      <c r="DC204" s="130"/>
      <c r="DD204" s="130"/>
      <c r="DE204" s="130"/>
      <c r="DF204" s="130"/>
      <c r="DG204" s="130"/>
      <c r="DH204" s="130"/>
      <c r="DI204" s="130"/>
      <c r="DJ204" s="130"/>
      <c r="DK204" s="130"/>
      <c r="DL204" s="130"/>
      <c r="DM204" s="130"/>
      <c r="DN204" s="130"/>
      <c r="DO204" s="130"/>
      <c r="DP204" s="130"/>
      <c r="DQ204" s="130"/>
      <c r="DR204" s="130"/>
      <c r="DS204" s="130"/>
      <c r="DT204" s="130"/>
      <c r="DU204" s="130"/>
      <c r="DV204" s="130"/>
      <c r="DW204" s="130"/>
      <c r="DX204" s="130"/>
      <c r="DY204" s="130"/>
      <c r="DZ204" s="130"/>
      <c r="EA204" s="130"/>
      <c r="EB204" s="130"/>
      <c r="EC204" s="130"/>
      <c r="ED204" s="130"/>
      <c r="EE204" s="130"/>
      <c r="EF204" s="130"/>
      <c r="EG204" s="130"/>
      <c r="EH204" s="130"/>
      <c r="EI204" s="130"/>
      <c r="EJ204" s="130"/>
      <c r="EK204" s="130"/>
      <c r="EL204" s="130"/>
      <c r="EM204" s="130"/>
      <c r="EN204" s="130"/>
      <c r="EO204" s="130"/>
      <c r="EP204" s="130"/>
      <c r="EQ204" s="130"/>
      <c r="ER204" s="130"/>
      <c r="ES204" s="130"/>
      <c r="ET204" s="130"/>
      <c r="EU204" s="172">
        <v>46082</v>
      </c>
      <c r="EV204" s="130"/>
      <c r="EW204" s="130"/>
      <c r="EX204" s="130"/>
      <c r="EY204" s="130"/>
      <c r="EZ204" s="130"/>
      <c r="FA204" s="190"/>
      <c r="FB204" s="203">
        <v>46048</v>
      </c>
      <c r="FC204" s="203">
        <v>46048</v>
      </c>
      <c r="FD204" s="203">
        <v>46049</v>
      </c>
      <c r="FE204" s="203">
        <v>46049</v>
      </c>
      <c r="FF204" s="203">
        <v>46049</v>
      </c>
      <c r="FG204" s="203">
        <v>46050</v>
      </c>
      <c r="FH204" s="203">
        <v>46051</v>
      </c>
      <c r="FI204" s="203">
        <v>46052</v>
      </c>
      <c r="FJ204" s="203">
        <v>46055</v>
      </c>
      <c r="FK204" s="203">
        <v>46056</v>
      </c>
      <c r="FL204" s="203">
        <v>46057</v>
      </c>
      <c r="FM204" s="203">
        <v>46057</v>
      </c>
      <c r="FN204" s="203">
        <v>46058</v>
      </c>
      <c r="FO204" s="203">
        <v>46059</v>
      </c>
      <c r="FP204" s="203">
        <v>46062</v>
      </c>
      <c r="FQ204" s="203">
        <v>46063</v>
      </c>
      <c r="FR204" s="203">
        <v>46063</v>
      </c>
      <c r="FS204" s="203">
        <v>46064</v>
      </c>
      <c r="FT204" s="203">
        <v>46064</v>
      </c>
      <c r="FU204" s="203"/>
      <c r="FV204" s="203"/>
      <c r="FW204" s="203"/>
      <c r="FX204" s="203"/>
      <c r="FY204" s="203">
        <v>46065</v>
      </c>
      <c r="FZ204" s="203">
        <v>46066</v>
      </c>
      <c r="GA204" s="203">
        <v>46066</v>
      </c>
      <c r="GB204" s="203">
        <v>46069</v>
      </c>
      <c r="GC204" s="203">
        <v>46070</v>
      </c>
      <c r="GD204" s="203">
        <v>46071</v>
      </c>
      <c r="GE204" s="203">
        <v>46072</v>
      </c>
      <c r="GF204" s="203">
        <v>46072</v>
      </c>
      <c r="GG204" s="203">
        <v>18</v>
      </c>
      <c r="GH204" s="203">
        <v>46078</v>
      </c>
      <c r="GI204" s="203">
        <v>46080</v>
      </c>
      <c r="GJ204" s="203">
        <v>46086</v>
      </c>
      <c r="GK204" s="203">
        <v>46087</v>
      </c>
      <c r="GL204" s="203">
        <v>46090</v>
      </c>
      <c r="GM204" s="203">
        <v>46092</v>
      </c>
      <c r="GN204" s="203">
        <v>46093</v>
      </c>
      <c r="GO204" s="203">
        <v>46093</v>
      </c>
      <c r="GP204" s="203">
        <v>46098</v>
      </c>
      <c r="GQ204" s="203">
        <v>46101</v>
      </c>
      <c r="GR204" s="187"/>
      <c r="GS204" s="187" t="s">
        <v>1180</v>
      </c>
      <c r="GT204" s="187" t="s">
        <v>1167</v>
      </c>
      <c r="GU204" s="187" t="s">
        <v>914</v>
      </c>
      <c r="GV204" s="187" t="s">
        <v>1168</v>
      </c>
    </row>
    <row r="205" spans="1:204" s="68" customFormat="1" ht="14.45" customHeight="1" x14ac:dyDescent="0.25">
      <c r="A205" s="68" t="s">
        <v>697</v>
      </c>
      <c r="B205" s="82" t="s">
        <v>154</v>
      </c>
      <c r="C205" s="82" t="s">
        <v>172</v>
      </c>
      <c r="D205" s="95" t="s">
        <v>196</v>
      </c>
      <c r="E205" s="82" t="s">
        <v>5</v>
      </c>
      <c r="F205" s="95" t="s">
        <v>550</v>
      </c>
      <c r="G205" s="82" t="s">
        <v>288</v>
      </c>
      <c r="H205" s="82" t="s">
        <v>551</v>
      </c>
      <c r="I205" s="82" t="s">
        <v>300</v>
      </c>
      <c r="J205" s="82" t="s">
        <v>528</v>
      </c>
      <c r="K205" s="92" t="s">
        <v>326</v>
      </c>
      <c r="L205" s="88" t="s">
        <v>558</v>
      </c>
      <c r="M205" s="88" t="s">
        <v>530</v>
      </c>
      <c r="N205" s="88" t="s">
        <v>7</v>
      </c>
      <c r="O205" s="116" t="s">
        <v>559</v>
      </c>
      <c r="P205" s="116" t="s">
        <v>560</v>
      </c>
      <c r="Q205" s="82" t="s">
        <v>772</v>
      </c>
      <c r="R205" s="82" t="s">
        <v>773</v>
      </c>
      <c r="S205" s="82" t="s">
        <v>774</v>
      </c>
      <c r="T205" s="82" t="s">
        <v>320</v>
      </c>
      <c r="U205" s="83"/>
      <c r="V205" s="83"/>
      <c r="W205" s="83">
        <v>0.05</v>
      </c>
      <c r="X205" s="83"/>
      <c r="Y205" s="83"/>
      <c r="Z205" s="83">
        <v>0.05</v>
      </c>
      <c r="AA205" s="83"/>
      <c r="AB205" s="83"/>
      <c r="AC205" s="83">
        <v>0.05</v>
      </c>
      <c r="AD205" s="83"/>
      <c r="AE205" s="83"/>
      <c r="AF205" s="83">
        <v>0.05</v>
      </c>
      <c r="AG205" s="82" t="s">
        <v>535</v>
      </c>
      <c r="AH205" s="82" t="s">
        <v>529</v>
      </c>
      <c r="AI205" s="88" t="s">
        <v>538</v>
      </c>
      <c r="AJ205" s="89" t="s">
        <v>538</v>
      </c>
      <c r="AK205" s="90">
        <v>46023</v>
      </c>
      <c r="AL205" s="90">
        <v>46387</v>
      </c>
      <c r="AM205" s="89"/>
      <c r="AN205" s="89"/>
      <c r="AO205" s="89"/>
      <c r="AP205" s="187" t="s">
        <v>545</v>
      </c>
      <c r="AQ205" s="90" cm="1">
        <f t="array" ref="AQ205">IFERROR(DATE(2026, _xlfn.AGGREGATE(15, 6, (COLUMN(BY205:CJ205)-COLUMN(BY205)+1)/(BY205:CJ205&lt;&gt;0), 1), 1),"N/A")</f>
        <v>46266</v>
      </c>
      <c r="AR205" s="90" cm="1">
        <f t="array" ref="AR205">IFERROR(EOMONTH(DATE(2026, _xlfn.AGGREGATE(14, 6, (COLUMN(BY205:CJ205)-COLUMN(BY205)+1)/(BY205:CJ205&lt;&gt;0), 1), 1), 0),"N/A")</f>
        <v>46387</v>
      </c>
      <c r="AS205" s="89"/>
      <c r="AT205" s="89"/>
      <c r="AU205" s="89"/>
      <c r="AV205" s="89"/>
      <c r="AW205" s="89"/>
      <c r="AX205" s="89"/>
      <c r="AY205" s="89"/>
      <c r="AZ205" s="89"/>
      <c r="BA205" s="89"/>
      <c r="BB205" s="89"/>
      <c r="BC205" s="89"/>
      <c r="BD205" s="89"/>
      <c r="BE205" s="82" t="s">
        <v>687</v>
      </c>
      <c r="BF205" s="82" t="s">
        <v>1073</v>
      </c>
      <c r="BG205" s="82" t="str">
        <f t="shared" si="18"/>
        <v>000</v>
      </c>
      <c r="BH205" s="88">
        <v>730249</v>
      </c>
      <c r="BI205" s="92" t="s">
        <v>706</v>
      </c>
      <c r="BJ205" s="96">
        <v>340000</v>
      </c>
      <c r="BK205" s="74">
        <v>0</v>
      </c>
      <c r="BL205" s="74">
        <v>0</v>
      </c>
      <c r="BM205" s="94">
        <v>50000</v>
      </c>
      <c r="BN205" s="74">
        <v>0</v>
      </c>
      <c r="BO205" s="74">
        <v>0</v>
      </c>
      <c r="BP205" s="74">
        <v>0</v>
      </c>
      <c r="BQ205" s="74">
        <v>0</v>
      </c>
      <c r="BR205" s="74">
        <v>0</v>
      </c>
      <c r="BS205" s="94">
        <v>230000</v>
      </c>
      <c r="BT205" s="74">
        <v>0</v>
      </c>
      <c r="BU205" s="74">
        <v>0</v>
      </c>
      <c r="BV205" s="142">
        <v>60000</v>
      </c>
      <c r="BW205" s="142">
        <v>360000</v>
      </c>
      <c r="BX205" s="143">
        <f t="shared" si="23"/>
        <v>700000</v>
      </c>
      <c r="BY205" s="74">
        <v>0</v>
      </c>
      <c r="BZ205" s="74">
        <v>0</v>
      </c>
      <c r="CA205" s="94"/>
      <c r="CB205" s="74"/>
      <c r="CC205" s="74"/>
      <c r="CD205" s="74"/>
      <c r="CE205" s="74"/>
      <c r="CF205" s="74"/>
      <c r="CG205" s="94">
        <v>600000</v>
      </c>
      <c r="CH205" s="74"/>
      <c r="CI205" s="74"/>
      <c r="CJ205" s="142">
        <v>100000</v>
      </c>
      <c r="CK205" s="142"/>
      <c r="CL205" s="142">
        <f t="shared" si="19"/>
        <v>0</v>
      </c>
      <c r="CM205" s="171">
        <v>0</v>
      </c>
      <c r="CN205" s="171">
        <v>0</v>
      </c>
      <c r="CO205" s="171">
        <v>0</v>
      </c>
      <c r="CP205" s="171">
        <v>0</v>
      </c>
      <c r="CQ205" s="171">
        <v>0</v>
      </c>
      <c r="CR205" s="171">
        <v>0</v>
      </c>
      <c r="CS205" s="171">
        <f t="shared" si="20"/>
        <v>0</v>
      </c>
      <c r="CT205" s="171">
        <f t="shared" si="21"/>
        <v>0</v>
      </c>
      <c r="CU205" s="171">
        <f t="shared" si="22"/>
        <v>0</v>
      </c>
      <c r="CV205" s="152">
        <v>685000</v>
      </c>
      <c r="CW205" s="149">
        <v>1918669.92</v>
      </c>
      <c r="CX205" s="130">
        <v>1</v>
      </c>
      <c r="CY205" s="130">
        <v>1</v>
      </c>
      <c r="CZ205" s="130" t="s">
        <v>321</v>
      </c>
      <c r="DA205" s="130" t="s">
        <v>902</v>
      </c>
      <c r="DB205" s="130" t="s">
        <v>859</v>
      </c>
      <c r="DC205" s="130" t="s">
        <v>909</v>
      </c>
      <c r="DD205" s="130"/>
      <c r="DE205" s="131">
        <v>46006</v>
      </c>
      <c r="DF205" s="131">
        <v>46006</v>
      </c>
      <c r="DG205" s="132">
        <v>1</v>
      </c>
      <c r="DH205" s="131">
        <v>46007</v>
      </c>
      <c r="DI205" s="131">
        <v>46007</v>
      </c>
      <c r="DJ205" s="131">
        <v>46007</v>
      </c>
      <c r="DK205" s="131">
        <v>46008</v>
      </c>
      <c r="DL205" s="131">
        <v>46009</v>
      </c>
      <c r="DM205" s="131">
        <v>46010</v>
      </c>
      <c r="DN205" s="131">
        <v>46013</v>
      </c>
      <c r="DO205" s="131">
        <v>46014</v>
      </c>
      <c r="DP205" s="131">
        <v>46015</v>
      </c>
      <c r="DQ205" s="131">
        <v>46015</v>
      </c>
      <c r="DR205" s="132">
        <v>1</v>
      </c>
      <c r="DS205" s="131">
        <v>46016</v>
      </c>
      <c r="DT205" s="131">
        <v>46017</v>
      </c>
      <c r="DU205" s="131">
        <v>46020</v>
      </c>
      <c r="DV205" s="131">
        <v>46021</v>
      </c>
      <c r="DW205" s="131">
        <v>46021</v>
      </c>
      <c r="DX205" s="131">
        <v>46022</v>
      </c>
      <c r="DY205" s="131">
        <v>46022</v>
      </c>
      <c r="DZ205" s="132"/>
      <c r="EA205" s="132"/>
      <c r="EB205" s="132"/>
      <c r="EC205" s="132"/>
      <c r="ED205" s="131">
        <v>46023</v>
      </c>
      <c r="EE205" s="131">
        <v>46024</v>
      </c>
      <c r="EF205" s="131">
        <v>46024</v>
      </c>
      <c r="EG205" s="131">
        <v>46027</v>
      </c>
      <c r="EH205" s="131">
        <v>46028</v>
      </c>
      <c r="EI205" s="131">
        <v>46029</v>
      </c>
      <c r="EJ205" s="131">
        <v>46030</v>
      </c>
      <c r="EK205" s="140">
        <v>46055</v>
      </c>
      <c r="EL205" s="132">
        <v>35</v>
      </c>
      <c r="EM205" s="133">
        <v>46063</v>
      </c>
      <c r="EN205" s="131">
        <v>46065</v>
      </c>
      <c r="EO205" s="133">
        <v>46073</v>
      </c>
      <c r="EP205" s="133">
        <v>46076</v>
      </c>
      <c r="EQ205" s="133">
        <v>46077</v>
      </c>
      <c r="ER205" s="133">
        <v>46079</v>
      </c>
      <c r="ES205" s="133">
        <v>46080</v>
      </c>
      <c r="ET205" s="133">
        <v>46080</v>
      </c>
      <c r="EU205" s="133">
        <v>46174</v>
      </c>
      <c r="EV205" s="134">
        <v>1</v>
      </c>
      <c r="EW205" s="133">
        <v>46177</v>
      </c>
      <c r="EX205" s="133"/>
      <c r="EY205" s="154" t="s">
        <v>903</v>
      </c>
      <c r="EZ205" s="132" t="s">
        <v>904</v>
      </c>
      <c r="FA205" s="136" t="s">
        <v>911</v>
      </c>
      <c r="FB205" s="203">
        <v>46048</v>
      </c>
      <c r="FC205" s="203">
        <v>46048</v>
      </c>
      <c r="FD205" s="203">
        <v>46048</v>
      </c>
      <c r="FE205" s="203">
        <v>46048</v>
      </c>
      <c r="FF205" s="203">
        <v>46048</v>
      </c>
      <c r="FG205" s="203">
        <v>46049</v>
      </c>
      <c r="FH205" s="203">
        <v>46049</v>
      </c>
      <c r="FI205" s="203">
        <v>46050</v>
      </c>
      <c r="FJ205" s="203">
        <v>46050</v>
      </c>
      <c r="FK205" s="203">
        <v>46051</v>
      </c>
      <c r="FL205" s="203">
        <v>46051</v>
      </c>
      <c r="FM205" s="203">
        <v>46052</v>
      </c>
      <c r="FN205" s="203">
        <v>46052</v>
      </c>
      <c r="FO205" s="203">
        <v>46059</v>
      </c>
      <c r="FP205" s="203">
        <v>46063</v>
      </c>
      <c r="FQ205" s="203" t="s">
        <v>1179</v>
      </c>
      <c r="FR205" s="203">
        <v>46064</v>
      </c>
      <c r="FS205" s="203">
        <v>46065</v>
      </c>
      <c r="FT205" s="203">
        <v>46065</v>
      </c>
      <c r="FU205" s="203">
        <v>46083</v>
      </c>
      <c r="FV205" s="203">
        <v>46104</v>
      </c>
      <c r="FW205" s="203"/>
      <c r="FX205" s="203"/>
      <c r="FY205" s="203"/>
      <c r="FZ205" s="203">
        <v>46105</v>
      </c>
      <c r="GA205" s="203">
        <v>46105</v>
      </c>
      <c r="GB205" s="203">
        <v>46106</v>
      </c>
      <c r="GC205" s="203">
        <v>46107</v>
      </c>
      <c r="GD205" s="203">
        <v>46108</v>
      </c>
      <c r="GE205" s="203">
        <v>46108</v>
      </c>
      <c r="GF205" s="203">
        <v>46111</v>
      </c>
      <c r="GG205" s="203"/>
      <c r="GH205" s="203">
        <v>46120</v>
      </c>
      <c r="GI205" s="203">
        <v>46122</v>
      </c>
      <c r="GJ205" s="203">
        <v>46136</v>
      </c>
      <c r="GK205" s="203">
        <v>46140</v>
      </c>
      <c r="GL205" s="203">
        <v>46141</v>
      </c>
      <c r="GM205" s="203">
        <v>46146</v>
      </c>
      <c r="GN205" s="203">
        <v>46147</v>
      </c>
      <c r="GO205" s="203">
        <v>46147</v>
      </c>
      <c r="GP205" s="203">
        <v>46150</v>
      </c>
      <c r="GQ205" s="203">
        <v>46174</v>
      </c>
      <c r="GR205" s="187"/>
      <c r="GS205" s="187" t="s">
        <v>1180</v>
      </c>
      <c r="GT205" s="187" t="s">
        <v>863</v>
      </c>
      <c r="GU205" s="187" t="s">
        <v>904</v>
      </c>
      <c r="GV205" s="187" t="s">
        <v>1162</v>
      </c>
    </row>
    <row r="206" spans="1:204" s="68" customFormat="1" ht="14.45" customHeight="1" x14ac:dyDescent="0.25">
      <c r="A206" s="68" t="s">
        <v>695</v>
      </c>
      <c r="B206" s="82" t="s">
        <v>154</v>
      </c>
      <c r="C206" s="82" t="s">
        <v>172</v>
      </c>
      <c r="D206" s="95" t="s">
        <v>196</v>
      </c>
      <c r="E206" s="82" t="s">
        <v>5</v>
      </c>
      <c r="F206" s="95" t="s">
        <v>550</v>
      </c>
      <c r="G206" s="82" t="s">
        <v>288</v>
      </c>
      <c r="H206" s="82" t="s">
        <v>551</v>
      </c>
      <c r="I206" s="82" t="s">
        <v>300</v>
      </c>
      <c r="J206" s="82" t="s">
        <v>528</v>
      </c>
      <c r="K206" s="92" t="s">
        <v>326</v>
      </c>
      <c r="L206" s="88" t="s">
        <v>558</v>
      </c>
      <c r="M206" s="88" t="s">
        <v>530</v>
      </c>
      <c r="N206" s="88" t="s">
        <v>7</v>
      </c>
      <c r="O206" s="116" t="s">
        <v>559</v>
      </c>
      <c r="P206" s="116" t="s">
        <v>560</v>
      </c>
      <c r="Q206" s="82" t="s">
        <v>772</v>
      </c>
      <c r="R206" s="82" t="s">
        <v>773</v>
      </c>
      <c r="S206" s="82" t="s">
        <v>774</v>
      </c>
      <c r="T206" s="82" t="s">
        <v>320</v>
      </c>
      <c r="U206" s="83"/>
      <c r="V206" s="83"/>
      <c r="W206" s="83">
        <v>0.05</v>
      </c>
      <c r="X206" s="83"/>
      <c r="Y206" s="83"/>
      <c r="Z206" s="83">
        <v>0.05</v>
      </c>
      <c r="AA206" s="83"/>
      <c r="AB206" s="83"/>
      <c r="AC206" s="83">
        <v>0.05</v>
      </c>
      <c r="AD206" s="83"/>
      <c r="AE206" s="83"/>
      <c r="AF206" s="83">
        <v>0.05</v>
      </c>
      <c r="AG206" s="82" t="s">
        <v>535</v>
      </c>
      <c r="AH206" s="82" t="s">
        <v>529</v>
      </c>
      <c r="AI206" s="88" t="s">
        <v>538</v>
      </c>
      <c r="AJ206" s="89" t="s">
        <v>538</v>
      </c>
      <c r="AK206" s="90">
        <v>46023</v>
      </c>
      <c r="AL206" s="90">
        <v>46387</v>
      </c>
      <c r="AM206" s="89"/>
      <c r="AN206" s="89"/>
      <c r="AO206" s="89"/>
      <c r="AP206" s="187" t="s">
        <v>545</v>
      </c>
      <c r="AQ206" s="90" cm="1">
        <f t="array" ref="AQ206">IFERROR(DATE(2026, _xlfn.AGGREGATE(15, 6, (COLUMN(BY206:CJ206)-COLUMN(BY206)+1)/(BY206:CJ206&lt;&gt;0), 1), 1),"N/A")</f>
        <v>46174</v>
      </c>
      <c r="AR206" s="90" cm="1">
        <f t="array" ref="AR206">IFERROR(EOMONTH(DATE(2026, _xlfn.AGGREGATE(14, 6, (COLUMN(BY206:CJ206)-COLUMN(BY206)+1)/(BY206:CJ206&lt;&gt;0), 1), 1), 0),"N/A")</f>
        <v>46326</v>
      </c>
      <c r="AS206" s="89"/>
      <c r="AT206" s="89"/>
      <c r="AU206" s="89"/>
      <c r="AV206" s="89"/>
      <c r="AW206" s="89"/>
      <c r="AX206" s="89"/>
      <c r="AY206" s="89"/>
      <c r="AZ206" s="89"/>
      <c r="BA206" s="89"/>
      <c r="BB206" s="89"/>
      <c r="BC206" s="89"/>
      <c r="BD206" s="89"/>
      <c r="BE206" s="82" t="s">
        <v>659</v>
      </c>
      <c r="BF206" s="82" t="s">
        <v>1075</v>
      </c>
      <c r="BG206" s="82" t="str">
        <f t="shared" si="18"/>
        <v>002</v>
      </c>
      <c r="BH206" s="88">
        <v>730249</v>
      </c>
      <c r="BI206" s="92" t="s">
        <v>706</v>
      </c>
      <c r="BJ206" s="93">
        <f>35000</f>
        <v>35000</v>
      </c>
      <c r="BK206" s="74">
        <v>0</v>
      </c>
      <c r="BL206" s="74">
        <v>0</v>
      </c>
      <c r="BM206" s="74">
        <v>0</v>
      </c>
      <c r="BN206" s="74">
        <v>0</v>
      </c>
      <c r="BO206" s="74">
        <v>0</v>
      </c>
      <c r="BP206" s="94">
        <v>15000</v>
      </c>
      <c r="BQ206" s="74">
        <v>0</v>
      </c>
      <c r="BR206" s="94">
        <v>10000</v>
      </c>
      <c r="BS206" s="74">
        <v>0</v>
      </c>
      <c r="BT206" s="94">
        <v>10000</v>
      </c>
      <c r="BU206" s="74">
        <v>0</v>
      </c>
      <c r="BV206" s="143">
        <v>0</v>
      </c>
      <c r="BW206" s="143">
        <v>14999.99</v>
      </c>
      <c r="BX206" s="143">
        <f t="shared" si="23"/>
        <v>49999.99</v>
      </c>
      <c r="BY206" s="74">
        <v>0</v>
      </c>
      <c r="BZ206" s="74">
        <v>0</v>
      </c>
      <c r="CA206" s="74"/>
      <c r="CB206" s="74"/>
      <c r="CC206" s="74"/>
      <c r="CD206" s="94">
        <v>19999.990000000002</v>
      </c>
      <c r="CE206" s="74"/>
      <c r="CF206" s="94">
        <v>15000</v>
      </c>
      <c r="CG206" s="74"/>
      <c r="CH206" s="94">
        <v>15000</v>
      </c>
      <c r="CI206" s="74"/>
      <c r="CJ206" s="143"/>
      <c r="CK206" s="143"/>
      <c r="CL206" s="142">
        <f t="shared" si="19"/>
        <v>0</v>
      </c>
      <c r="CM206" s="171">
        <v>0</v>
      </c>
      <c r="CN206" s="171">
        <v>0</v>
      </c>
      <c r="CO206" s="171">
        <v>0</v>
      </c>
      <c r="CP206" s="171">
        <v>0</v>
      </c>
      <c r="CQ206" s="171">
        <v>0</v>
      </c>
      <c r="CR206" s="171">
        <v>0</v>
      </c>
      <c r="CS206" s="171">
        <f t="shared" si="20"/>
        <v>0</v>
      </c>
      <c r="CT206" s="171">
        <f t="shared" si="21"/>
        <v>0</v>
      </c>
      <c r="CU206" s="171">
        <f t="shared" si="22"/>
        <v>0</v>
      </c>
      <c r="CV206" s="149"/>
      <c r="CW206" s="149"/>
      <c r="CX206" s="130"/>
      <c r="CY206" s="130"/>
      <c r="CZ206" s="130"/>
      <c r="DA206" s="130"/>
      <c r="DB206" s="130"/>
      <c r="DC206" s="130"/>
      <c r="DD206" s="130"/>
      <c r="DE206" s="130"/>
      <c r="DF206" s="130"/>
      <c r="DG206" s="130"/>
      <c r="DH206" s="130"/>
      <c r="DI206" s="130"/>
      <c r="DJ206" s="130"/>
      <c r="DK206" s="130"/>
      <c r="DL206" s="130"/>
      <c r="DM206" s="130"/>
      <c r="DN206" s="130"/>
      <c r="DO206" s="130"/>
      <c r="DP206" s="130"/>
      <c r="DQ206" s="130"/>
      <c r="DR206" s="130"/>
      <c r="DS206" s="130"/>
      <c r="DT206" s="130"/>
      <c r="DU206" s="130"/>
      <c r="DV206" s="130"/>
      <c r="DW206" s="130"/>
      <c r="DX206" s="130"/>
      <c r="DY206" s="130"/>
      <c r="DZ206" s="130"/>
      <c r="EA206" s="130"/>
      <c r="EB206" s="130"/>
      <c r="EC206" s="130"/>
      <c r="ED206" s="130"/>
      <c r="EE206" s="130"/>
      <c r="EF206" s="130"/>
      <c r="EG206" s="130"/>
      <c r="EH206" s="130"/>
      <c r="EI206" s="130"/>
      <c r="EJ206" s="130"/>
      <c r="EK206" s="130"/>
      <c r="EL206" s="130"/>
      <c r="EM206" s="130"/>
      <c r="EN206" s="130"/>
      <c r="EO206" s="130"/>
      <c r="EP206" s="130"/>
      <c r="EQ206" s="130"/>
      <c r="ER206" s="130"/>
      <c r="ES206" s="130"/>
      <c r="ET206" s="130"/>
      <c r="EU206" s="172">
        <v>46143</v>
      </c>
      <c r="EV206" s="130"/>
      <c r="EW206" s="130"/>
      <c r="EX206" s="130"/>
      <c r="EY206" s="130"/>
      <c r="EZ206" s="130"/>
      <c r="FA206" s="130"/>
      <c r="FB206" s="201"/>
      <c r="FC206" s="201"/>
      <c r="FD206" s="201"/>
      <c r="FE206" s="201"/>
      <c r="FF206" s="201"/>
      <c r="FG206" s="201"/>
      <c r="FH206" s="201"/>
      <c r="FI206" s="201"/>
      <c r="FJ206" s="201"/>
      <c r="FK206" s="201"/>
      <c r="FL206" s="201"/>
      <c r="FM206" s="201"/>
      <c r="FN206" s="201"/>
      <c r="FO206" s="201"/>
      <c r="FP206" s="201"/>
      <c r="FQ206" s="201"/>
      <c r="FR206" s="201"/>
      <c r="FS206" s="201"/>
      <c r="FT206" s="201"/>
      <c r="FU206" s="201"/>
      <c r="FV206" s="201"/>
      <c r="FW206" s="201"/>
      <c r="FX206" s="201"/>
      <c r="FY206" s="201"/>
      <c r="FZ206" s="201"/>
      <c r="GA206" s="201"/>
      <c r="GB206" s="201"/>
      <c r="GC206" s="201"/>
      <c r="GD206" s="201"/>
      <c r="GE206" s="201"/>
      <c r="GF206" s="201"/>
      <c r="GG206" s="201"/>
      <c r="GH206" s="201"/>
      <c r="GI206" s="201"/>
      <c r="GJ206" s="201"/>
      <c r="GK206" s="201"/>
      <c r="GL206" s="201"/>
      <c r="GM206" s="201"/>
      <c r="GN206" s="201"/>
      <c r="GO206" s="201"/>
      <c r="GP206" s="201"/>
      <c r="GQ206" s="201"/>
    </row>
    <row r="207" spans="1:204" s="68" customFormat="1" ht="14.45" customHeight="1" x14ac:dyDescent="0.25">
      <c r="A207" s="68" t="s">
        <v>699</v>
      </c>
      <c r="B207" s="82" t="s">
        <v>154</v>
      </c>
      <c r="C207" s="82" t="s">
        <v>172</v>
      </c>
      <c r="D207" s="95" t="s">
        <v>196</v>
      </c>
      <c r="E207" s="82" t="s">
        <v>5</v>
      </c>
      <c r="F207" s="95" t="s">
        <v>550</v>
      </c>
      <c r="G207" s="82" t="s">
        <v>288</v>
      </c>
      <c r="H207" s="82" t="s">
        <v>551</v>
      </c>
      <c r="I207" s="82" t="s">
        <v>300</v>
      </c>
      <c r="J207" s="82" t="s">
        <v>528</v>
      </c>
      <c r="K207" s="92" t="s">
        <v>326</v>
      </c>
      <c r="L207" s="88" t="s">
        <v>558</v>
      </c>
      <c r="M207" s="88" t="s">
        <v>530</v>
      </c>
      <c r="N207" s="88" t="s">
        <v>7</v>
      </c>
      <c r="O207" s="116" t="s">
        <v>559</v>
      </c>
      <c r="P207" s="116" t="s">
        <v>560</v>
      </c>
      <c r="Q207" s="82" t="s">
        <v>772</v>
      </c>
      <c r="R207" s="82" t="s">
        <v>773</v>
      </c>
      <c r="S207" s="82" t="s">
        <v>774</v>
      </c>
      <c r="T207" s="82" t="s">
        <v>320</v>
      </c>
      <c r="U207" s="83"/>
      <c r="V207" s="83"/>
      <c r="W207" s="83">
        <v>0.05</v>
      </c>
      <c r="X207" s="83"/>
      <c r="Y207" s="83"/>
      <c r="Z207" s="83">
        <v>0.05</v>
      </c>
      <c r="AA207" s="83"/>
      <c r="AB207" s="83"/>
      <c r="AC207" s="83">
        <v>0.05</v>
      </c>
      <c r="AD207" s="83"/>
      <c r="AE207" s="83"/>
      <c r="AF207" s="83">
        <v>0.05</v>
      </c>
      <c r="AG207" s="82" t="s">
        <v>535</v>
      </c>
      <c r="AH207" s="82" t="s">
        <v>529</v>
      </c>
      <c r="AI207" s="88" t="s">
        <v>538</v>
      </c>
      <c r="AJ207" s="89" t="s">
        <v>538</v>
      </c>
      <c r="AK207" s="90">
        <v>46023</v>
      </c>
      <c r="AL207" s="90">
        <v>46387</v>
      </c>
      <c r="AM207" s="89"/>
      <c r="AN207" s="89"/>
      <c r="AO207" s="89"/>
      <c r="AP207" s="187" t="s">
        <v>545</v>
      </c>
      <c r="AQ207" s="90" cm="1">
        <f t="array" ref="AQ207">IFERROR(DATE(2026, _xlfn.AGGREGATE(15, 6, (COLUMN(BY207:CJ207)-COLUMN(BY207)+1)/(BY207:CJ207&lt;&gt;0), 1), 1),"N/A")</f>
        <v>46235</v>
      </c>
      <c r="AR207" s="90" cm="1">
        <f t="array" ref="AR207">IFERROR(EOMONTH(DATE(2026, _xlfn.AGGREGATE(14, 6, (COLUMN(BY207:CJ207)-COLUMN(BY207)+1)/(BY207:CJ207&lt;&gt;0), 1), 1), 0),"N/A")</f>
        <v>46387</v>
      </c>
      <c r="AS207" s="89"/>
      <c r="AT207" s="89"/>
      <c r="AU207" s="89"/>
      <c r="AV207" s="89"/>
      <c r="AW207" s="89"/>
      <c r="AX207" s="89"/>
      <c r="AY207" s="89"/>
      <c r="AZ207" s="89"/>
      <c r="BA207" s="89"/>
      <c r="BB207" s="89"/>
      <c r="BC207" s="89"/>
      <c r="BD207" s="89"/>
      <c r="BE207" s="82" t="s">
        <v>1126</v>
      </c>
      <c r="BF207" s="82" t="s">
        <v>1127</v>
      </c>
      <c r="BG207" s="82" t="str">
        <f t="shared" si="18"/>
        <v>003</v>
      </c>
      <c r="BH207" s="88">
        <v>730249</v>
      </c>
      <c r="BI207" s="92" t="s">
        <v>706</v>
      </c>
      <c r="BJ207" s="93">
        <v>0</v>
      </c>
      <c r="BK207" s="74"/>
      <c r="BL207" s="74"/>
      <c r="BM207" s="74"/>
      <c r="BN207" s="74"/>
      <c r="BO207" s="74"/>
      <c r="BP207" s="94"/>
      <c r="BQ207" s="74"/>
      <c r="BR207" s="94"/>
      <c r="BS207" s="74"/>
      <c r="BT207" s="94"/>
      <c r="BU207" s="74"/>
      <c r="BV207" s="143"/>
      <c r="BW207" s="143">
        <v>70000</v>
      </c>
      <c r="BX207" s="143">
        <f t="shared" si="23"/>
        <v>70000</v>
      </c>
      <c r="BY207" s="74"/>
      <c r="BZ207" s="74"/>
      <c r="CA207" s="74"/>
      <c r="CB207" s="74"/>
      <c r="CC207" s="74"/>
      <c r="CD207" s="94"/>
      <c r="CE207" s="74"/>
      <c r="CF207" s="94">
        <v>15000</v>
      </c>
      <c r="CG207" s="74"/>
      <c r="CH207" s="94">
        <v>12500</v>
      </c>
      <c r="CI207" s="74"/>
      <c r="CJ207" s="143">
        <v>42500</v>
      </c>
      <c r="CK207" s="143"/>
      <c r="CL207" s="142">
        <f t="shared" si="19"/>
        <v>0</v>
      </c>
      <c r="CM207" s="171">
        <v>0</v>
      </c>
      <c r="CN207" s="171">
        <v>0</v>
      </c>
      <c r="CO207" s="171">
        <v>0</v>
      </c>
      <c r="CP207" s="171">
        <v>0</v>
      </c>
      <c r="CQ207" s="171">
        <v>0</v>
      </c>
      <c r="CR207" s="171">
        <v>0</v>
      </c>
      <c r="CS207" s="171">
        <f t="shared" si="20"/>
        <v>0</v>
      </c>
      <c r="CT207" s="171">
        <f t="shared" si="21"/>
        <v>0</v>
      </c>
      <c r="CU207" s="171">
        <f t="shared" si="22"/>
        <v>0</v>
      </c>
      <c r="CV207" s="149"/>
      <c r="CW207" s="149"/>
      <c r="CX207" s="130"/>
      <c r="CY207" s="130"/>
      <c r="CZ207" s="130"/>
      <c r="DA207" s="130"/>
      <c r="DB207" s="130"/>
      <c r="DC207" s="130"/>
      <c r="DD207" s="130"/>
      <c r="DE207" s="130"/>
      <c r="DF207" s="130"/>
      <c r="DG207" s="130"/>
      <c r="DH207" s="130"/>
      <c r="DI207" s="130"/>
      <c r="DJ207" s="130"/>
      <c r="DK207" s="130"/>
      <c r="DL207" s="130"/>
      <c r="DM207" s="130"/>
      <c r="DN207" s="130"/>
      <c r="DO207" s="130"/>
      <c r="DP207" s="130"/>
      <c r="DQ207" s="130"/>
      <c r="DR207" s="130"/>
      <c r="DS207" s="130"/>
      <c r="DT207" s="130"/>
      <c r="DU207" s="130"/>
      <c r="DV207" s="130"/>
      <c r="DW207" s="130"/>
      <c r="DX207" s="130"/>
      <c r="DY207" s="130"/>
      <c r="DZ207" s="130"/>
      <c r="EA207" s="130"/>
      <c r="EB207" s="130"/>
      <c r="EC207" s="130"/>
      <c r="ED207" s="130"/>
      <c r="EE207" s="130"/>
      <c r="EF207" s="130"/>
      <c r="EG207" s="130"/>
      <c r="EH207" s="130"/>
      <c r="EI207" s="130"/>
      <c r="EJ207" s="130"/>
      <c r="EK207" s="130"/>
      <c r="EL207" s="130"/>
      <c r="EM207" s="130"/>
      <c r="EN207" s="130"/>
      <c r="EO207" s="130"/>
      <c r="EP207" s="130"/>
      <c r="EQ207" s="130"/>
      <c r="ER207" s="130"/>
      <c r="ES207" s="130"/>
      <c r="ET207" s="130"/>
      <c r="EU207" s="172">
        <v>46204</v>
      </c>
      <c r="EV207" s="130"/>
      <c r="EW207" s="130"/>
      <c r="EX207" s="130"/>
      <c r="EY207" s="130"/>
      <c r="EZ207" s="130"/>
      <c r="FA207" s="130"/>
      <c r="FB207" s="201"/>
      <c r="FC207" s="201"/>
      <c r="FD207" s="201"/>
      <c r="FE207" s="201"/>
      <c r="FF207" s="201"/>
      <c r="FG207" s="201"/>
      <c r="FH207" s="201"/>
      <c r="FI207" s="201"/>
      <c r="FJ207" s="201"/>
      <c r="FK207" s="201"/>
      <c r="FL207" s="201"/>
      <c r="FM207" s="201"/>
      <c r="FN207" s="201"/>
      <c r="FO207" s="201"/>
      <c r="FP207" s="201"/>
      <c r="FQ207" s="201"/>
      <c r="FR207" s="201"/>
      <c r="FS207" s="201"/>
      <c r="FT207" s="201"/>
      <c r="FU207" s="201"/>
      <c r="FV207" s="201"/>
      <c r="FW207" s="201"/>
      <c r="FX207" s="201"/>
      <c r="FY207" s="201"/>
      <c r="FZ207" s="201"/>
      <c r="GA207" s="201"/>
      <c r="GB207" s="201"/>
      <c r="GC207" s="201"/>
      <c r="GD207" s="201"/>
      <c r="GE207" s="201"/>
      <c r="GF207" s="201"/>
      <c r="GG207" s="201"/>
      <c r="GH207" s="201"/>
      <c r="GI207" s="201"/>
      <c r="GJ207" s="201"/>
      <c r="GK207" s="201"/>
      <c r="GL207" s="201"/>
      <c r="GM207" s="201"/>
      <c r="GN207" s="201"/>
      <c r="GO207" s="201"/>
      <c r="GP207" s="201"/>
      <c r="GQ207" s="201"/>
    </row>
    <row r="208" spans="1:204" s="68" customFormat="1" ht="14.45" customHeight="1" x14ac:dyDescent="0.25">
      <c r="A208" s="68" t="s">
        <v>692</v>
      </c>
      <c r="B208" s="82" t="s">
        <v>154</v>
      </c>
      <c r="C208" s="82" t="s">
        <v>172</v>
      </c>
      <c r="D208" s="82" t="s">
        <v>196</v>
      </c>
      <c r="E208" s="82" t="s">
        <v>5</v>
      </c>
      <c r="F208" s="95" t="s">
        <v>550</v>
      </c>
      <c r="G208" s="82" t="s">
        <v>288</v>
      </c>
      <c r="H208" s="82" t="s">
        <v>551</v>
      </c>
      <c r="I208" s="82" t="s">
        <v>300</v>
      </c>
      <c r="J208" s="82" t="s">
        <v>528</v>
      </c>
      <c r="K208" s="92" t="s">
        <v>326</v>
      </c>
      <c r="L208" s="88" t="s">
        <v>558</v>
      </c>
      <c r="M208" s="88" t="s">
        <v>530</v>
      </c>
      <c r="N208" s="88" t="s">
        <v>7</v>
      </c>
      <c r="O208" s="116" t="s">
        <v>559</v>
      </c>
      <c r="P208" s="116" t="s">
        <v>560</v>
      </c>
      <c r="Q208" s="82" t="s">
        <v>772</v>
      </c>
      <c r="R208" s="82" t="s">
        <v>773</v>
      </c>
      <c r="S208" s="82" t="s">
        <v>774</v>
      </c>
      <c r="T208" s="82" t="s">
        <v>320</v>
      </c>
      <c r="U208" s="83"/>
      <c r="V208" s="83"/>
      <c r="W208" s="83">
        <v>0.05</v>
      </c>
      <c r="X208" s="83"/>
      <c r="Y208" s="83"/>
      <c r="Z208" s="83">
        <v>0.05</v>
      </c>
      <c r="AA208" s="83"/>
      <c r="AB208" s="83"/>
      <c r="AC208" s="83">
        <v>0.05</v>
      </c>
      <c r="AD208" s="83"/>
      <c r="AE208" s="83"/>
      <c r="AF208" s="83">
        <v>0.05</v>
      </c>
      <c r="AG208" s="82" t="s">
        <v>780</v>
      </c>
      <c r="AH208" s="82" t="s">
        <v>530</v>
      </c>
      <c r="AI208" s="88" t="s">
        <v>538</v>
      </c>
      <c r="AJ208" s="89" t="s">
        <v>538</v>
      </c>
      <c r="AK208" s="90">
        <v>46023</v>
      </c>
      <c r="AL208" s="90">
        <v>46387</v>
      </c>
      <c r="AM208" s="89"/>
      <c r="AN208" s="89"/>
      <c r="AO208" s="89"/>
      <c r="AP208" s="82" t="s">
        <v>719</v>
      </c>
      <c r="AQ208" s="90" cm="1">
        <f t="array" ref="AQ208">IFERROR(DATE(2026, _xlfn.AGGREGATE(15, 6, (COLUMN(BY208:CJ208)-COLUMN(BY208)+1)/(BY208:CJ208&lt;&gt;0), 1), 1),"N/A")</f>
        <v>46113</v>
      </c>
      <c r="AR208" s="90" cm="1">
        <f t="array" ref="AR208">IFERROR(EOMONTH(DATE(2026, _xlfn.AGGREGATE(14, 6, (COLUMN(BY208:CJ208)-COLUMN(BY208)+1)/(BY208:CJ208&lt;&gt;0), 1), 1), 0),"N/A")</f>
        <v>46142</v>
      </c>
      <c r="AS208" s="89"/>
      <c r="AT208" s="89"/>
      <c r="AU208" s="89"/>
      <c r="AV208" s="89"/>
      <c r="AW208" s="89"/>
      <c r="AX208" s="89"/>
      <c r="AY208" s="89"/>
      <c r="AZ208" s="89"/>
      <c r="BA208" s="89"/>
      <c r="BB208" s="89"/>
      <c r="BC208" s="89"/>
      <c r="BD208" s="89"/>
      <c r="BE208" s="82" t="s">
        <v>1148</v>
      </c>
      <c r="BF208" s="82" t="s">
        <v>733</v>
      </c>
      <c r="BG208" s="82" t="str">
        <f t="shared" si="18"/>
        <v>000</v>
      </c>
      <c r="BH208" s="88">
        <v>730605</v>
      </c>
      <c r="BI208" s="92" t="s">
        <v>706</v>
      </c>
      <c r="BJ208" s="93">
        <v>200000</v>
      </c>
      <c r="BK208" s="74">
        <v>0</v>
      </c>
      <c r="BL208" s="74">
        <v>0</v>
      </c>
      <c r="BM208" s="94">
        <v>200000</v>
      </c>
      <c r="BN208" s="74">
        <v>0</v>
      </c>
      <c r="BO208" s="74">
        <v>0</v>
      </c>
      <c r="BP208" s="74">
        <v>0</v>
      </c>
      <c r="BQ208" s="74">
        <v>0</v>
      </c>
      <c r="BR208" s="74">
        <v>0</v>
      </c>
      <c r="BS208" s="74">
        <v>0</v>
      </c>
      <c r="BT208" s="74">
        <v>0</v>
      </c>
      <c r="BU208" s="74">
        <v>0</v>
      </c>
      <c r="BV208" s="143">
        <v>0</v>
      </c>
      <c r="BW208" s="143">
        <v>42000</v>
      </c>
      <c r="BX208" s="143">
        <f t="shared" si="23"/>
        <v>242000</v>
      </c>
      <c r="BY208" s="74">
        <v>0</v>
      </c>
      <c r="BZ208" s="74">
        <v>0</v>
      </c>
      <c r="CA208" s="94"/>
      <c r="CB208" s="74">
        <v>242000</v>
      </c>
      <c r="CC208" s="74">
        <v>0</v>
      </c>
      <c r="CD208" s="74">
        <v>0</v>
      </c>
      <c r="CE208" s="74">
        <v>0</v>
      </c>
      <c r="CF208" s="74">
        <v>0</v>
      </c>
      <c r="CG208" s="74">
        <v>0</v>
      </c>
      <c r="CH208" s="74">
        <v>0</v>
      </c>
      <c r="CI208" s="74">
        <v>0</v>
      </c>
      <c r="CJ208" s="143">
        <v>0</v>
      </c>
      <c r="CK208" s="143"/>
      <c r="CL208" s="142">
        <f t="shared" si="19"/>
        <v>0</v>
      </c>
      <c r="CM208" s="171">
        <v>0</v>
      </c>
      <c r="CN208" s="171">
        <v>169400</v>
      </c>
      <c r="CO208" s="171">
        <v>0</v>
      </c>
      <c r="CP208" s="171">
        <v>0</v>
      </c>
      <c r="CQ208" s="171">
        <v>0</v>
      </c>
      <c r="CR208" s="171">
        <v>242000</v>
      </c>
      <c r="CS208" s="171">
        <f t="shared" si="20"/>
        <v>0</v>
      </c>
      <c r="CT208" s="171">
        <f t="shared" si="21"/>
        <v>169400</v>
      </c>
      <c r="CU208" s="171">
        <f t="shared" si="22"/>
        <v>242000</v>
      </c>
      <c r="CV208" s="149"/>
      <c r="CW208" s="149"/>
      <c r="CX208" s="130"/>
      <c r="CY208" s="130"/>
      <c r="CZ208" s="130"/>
      <c r="DA208" s="130"/>
      <c r="DB208" s="130"/>
      <c r="DC208" s="130"/>
      <c r="DD208" s="130" t="s">
        <v>884</v>
      </c>
      <c r="DE208" s="130"/>
      <c r="DF208" s="130"/>
      <c r="DG208" s="130"/>
      <c r="DH208" s="130"/>
      <c r="DI208" s="130"/>
      <c r="DJ208" s="130"/>
      <c r="DK208" s="130"/>
      <c r="DL208" s="130"/>
      <c r="DM208" s="130"/>
      <c r="DN208" s="130"/>
      <c r="DO208" s="130"/>
      <c r="DP208" s="130"/>
      <c r="DQ208" s="130"/>
      <c r="DR208" s="130"/>
      <c r="DS208" s="130"/>
      <c r="DT208" s="130"/>
      <c r="DU208" s="130"/>
      <c r="DV208" s="130"/>
      <c r="DW208" s="130"/>
      <c r="DX208" s="130"/>
      <c r="DY208" s="130"/>
      <c r="DZ208" s="130"/>
      <c r="EA208" s="130"/>
      <c r="EB208" s="130"/>
      <c r="EC208" s="130"/>
      <c r="ED208" s="130"/>
      <c r="EE208" s="130"/>
      <c r="EF208" s="130"/>
      <c r="EG208" s="130"/>
      <c r="EH208" s="130"/>
      <c r="EI208" s="130"/>
      <c r="EJ208" s="130"/>
      <c r="EK208" s="130"/>
      <c r="EL208" s="130"/>
      <c r="EM208" s="130"/>
      <c r="EN208" s="130"/>
      <c r="EO208" s="130"/>
      <c r="EP208" s="130"/>
      <c r="EQ208" s="130"/>
      <c r="ER208" s="130"/>
      <c r="ES208" s="130"/>
      <c r="ET208" s="130"/>
      <c r="EU208" s="172">
        <v>46082</v>
      </c>
      <c r="EV208" s="130"/>
      <c r="EW208" s="130"/>
      <c r="EX208" s="130"/>
      <c r="EY208" s="130"/>
      <c r="EZ208" s="130"/>
      <c r="FA208" s="130"/>
      <c r="FB208" s="201"/>
      <c r="FC208" s="201"/>
      <c r="FD208" s="201"/>
      <c r="FE208" s="201"/>
      <c r="FF208" s="201"/>
      <c r="FG208" s="201"/>
      <c r="FH208" s="201"/>
      <c r="FI208" s="201"/>
      <c r="FJ208" s="201"/>
      <c r="FK208" s="201"/>
      <c r="FL208" s="201"/>
      <c r="FM208" s="201"/>
      <c r="FN208" s="201"/>
      <c r="FO208" s="201"/>
      <c r="FP208" s="201"/>
      <c r="FQ208" s="201"/>
      <c r="FR208" s="201"/>
      <c r="FS208" s="201"/>
      <c r="FT208" s="201"/>
      <c r="FU208" s="201"/>
      <c r="FV208" s="201"/>
      <c r="FW208" s="201"/>
      <c r="FX208" s="201"/>
      <c r="FY208" s="201"/>
      <c r="FZ208" s="201"/>
      <c r="GA208" s="201"/>
      <c r="GB208" s="201"/>
      <c r="GC208" s="201"/>
      <c r="GD208" s="201"/>
      <c r="GE208" s="201"/>
      <c r="GF208" s="201"/>
      <c r="GG208" s="201"/>
      <c r="GH208" s="201"/>
      <c r="GI208" s="201"/>
      <c r="GJ208" s="201"/>
      <c r="GK208" s="201"/>
      <c r="GL208" s="201"/>
      <c r="GM208" s="201"/>
      <c r="GN208" s="201"/>
      <c r="GO208" s="201"/>
      <c r="GP208" s="201"/>
      <c r="GQ208" s="201"/>
    </row>
    <row r="209" spans="1:204" s="68" customFormat="1" ht="14.45" customHeight="1" x14ac:dyDescent="0.25">
      <c r="A209" s="68" t="s">
        <v>691</v>
      </c>
      <c r="B209" s="82" t="s">
        <v>154</v>
      </c>
      <c r="C209" s="82" t="s">
        <v>172</v>
      </c>
      <c r="D209" s="95" t="s">
        <v>196</v>
      </c>
      <c r="E209" s="82" t="s">
        <v>5</v>
      </c>
      <c r="F209" s="95" t="s">
        <v>550</v>
      </c>
      <c r="G209" s="82" t="s">
        <v>288</v>
      </c>
      <c r="H209" s="82" t="s">
        <v>551</v>
      </c>
      <c r="I209" s="82" t="s">
        <v>300</v>
      </c>
      <c r="J209" s="82" t="s">
        <v>528</v>
      </c>
      <c r="K209" s="92" t="s">
        <v>326</v>
      </c>
      <c r="L209" s="88" t="s">
        <v>558</v>
      </c>
      <c r="M209" s="88" t="s">
        <v>530</v>
      </c>
      <c r="N209" s="88" t="s">
        <v>7</v>
      </c>
      <c r="O209" s="116" t="s">
        <v>559</v>
      </c>
      <c r="P209" s="116" t="s">
        <v>560</v>
      </c>
      <c r="Q209" s="82" t="s">
        <v>772</v>
      </c>
      <c r="R209" s="82" t="s">
        <v>773</v>
      </c>
      <c r="S209" s="82" t="s">
        <v>774</v>
      </c>
      <c r="T209" s="82" t="s">
        <v>320</v>
      </c>
      <c r="U209" s="83"/>
      <c r="V209" s="83"/>
      <c r="W209" s="83">
        <v>0.05</v>
      </c>
      <c r="X209" s="83"/>
      <c r="Y209" s="83"/>
      <c r="Z209" s="83">
        <v>0.05</v>
      </c>
      <c r="AA209" s="83"/>
      <c r="AB209" s="83"/>
      <c r="AC209" s="83">
        <v>0.05</v>
      </c>
      <c r="AD209" s="83"/>
      <c r="AE209" s="83"/>
      <c r="AF209" s="83">
        <v>0.05</v>
      </c>
      <c r="AG209" s="82" t="s">
        <v>535</v>
      </c>
      <c r="AH209" s="82" t="s">
        <v>529</v>
      </c>
      <c r="AI209" s="88" t="s">
        <v>538</v>
      </c>
      <c r="AJ209" s="89" t="s">
        <v>538</v>
      </c>
      <c r="AK209" s="90">
        <v>46023</v>
      </c>
      <c r="AL209" s="90">
        <v>46387</v>
      </c>
      <c r="AM209" s="89"/>
      <c r="AN209" s="89"/>
      <c r="AO209" s="89"/>
      <c r="AP209" s="91" t="s">
        <v>543</v>
      </c>
      <c r="AQ209" s="90" cm="1">
        <f t="array" ref="AQ209">IFERROR(DATE(2026, _xlfn.AGGREGATE(15, 6, (COLUMN(BY209:CJ209)-COLUMN(BY209)+1)/(BY209:CJ209&lt;&gt;0), 1), 1),"N/A")</f>
        <v>46023</v>
      </c>
      <c r="AR209" s="90" cm="1">
        <f t="array" ref="AR209">IFERROR(EOMONTH(DATE(2026, _xlfn.AGGREGATE(14, 6, (COLUMN(BY209:CJ209)-COLUMN(BY209)+1)/(BY209:CJ209&lt;&gt;0), 1), 1), 0),"N/A")</f>
        <v>46387</v>
      </c>
      <c r="AS209" s="89"/>
      <c r="AT209" s="89"/>
      <c r="AU209" s="89"/>
      <c r="AV209" s="89"/>
      <c r="AW209" s="89"/>
      <c r="AX209" s="89"/>
      <c r="AY209" s="89"/>
      <c r="AZ209" s="89"/>
      <c r="BA209" s="89"/>
      <c r="BB209" s="89"/>
      <c r="BC209" s="89"/>
      <c r="BD209" s="89"/>
      <c r="BE209" s="82" t="s">
        <v>650</v>
      </c>
      <c r="BF209" s="82" t="s">
        <v>1061</v>
      </c>
      <c r="BG209" s="82" t="str">
        <f t="shared" si="18"/>
        <v>000</v>
      </c>
      <c r="BH209" s="88">
        <v>710601</v>
      </c>
      <c r="BI209" s="92" t="s">
        <v>706</v>
      </c>
      <c r="BJ209" s="93">
        <v>13907.150000000001</v>
      </c>
      <c r="BK209" s="94">
        <v>1158.9291666666668</v>
      </c>
      <c r="BL209" s="94">
        <v>1158.9291666666668</v>
      </c>
      <c r="BM209" s="94">
        <v>1158.9291666666668</v>
      </c>
      <c r="BN209" s="72">
        <v>1158.9291666666668</v>
      </c>
      <c r="BO209" s="94">
        <v>1158.9291666666668</v>
      </c>
      <c r="BP209" s="94">
        <v>1158.9291666666668</v>
      </c>
      <c r="BQ209" s="94">
        <v>1158.9291666666668</v>
      </c>
      <c r="BR209" s="94">
        <v>1158.9291666666668</v>
      </c>
      <c r="BS209" s="94">
        <v>1158.9291666666668</v>
      </c>
      <c r="BT209" s="94">
        <v>1158.9291666666668</v>
      </c>
      <c r="BU209" s="94">
        <v>1158.9291666666668</v>
      </c>
      <c r="BV209" s="142">
        <v>1158.9291666666668</v>
      </c>
      <c r="BW209" s="142"/>
      <c r="BX209" s="143">
        <f t="shared" si="23"/>
        <v>13907.150000000001</v>
      </c>
      <c r="BY209" s="94">
        <v>1158.9291666666668</v>
      </c>
      <c r="BZ209" s="94">
        <v>1158.9291666666668</v>
      </c>
      <c r="CA209" s="94">
        <v>1158.9291666666668</v>
      </c>
      <c r="CB209" s="72">
        <v>1158.9291666666668</v>
      </c>
      <c r="CC209" s="94">
        <v>1158.9291666666668</v>
      </c>
      <c r="CD209" s="94">
        <v>1158.9291666666668</v>
      </c>
      <c r="CE209" s="94">
        <v>1158.9291666666668</v>
      </c>
      <c r="CF209" s="94">
        <v>1158.9291666666668</v>
      </c>
      <c r="CG209" s="94">
        <v>1158.9291666666668</v>
      </c>
      <c r="CH209" s="94">
        <v>1158.9291666666668</v>
      </c>
      <c r="CI209" s="94">
        <v>1158.9291666666668</v>
      </c>
      <c r="CJ209" s="142">
        <v>1158.9291666666668</v>
      </c>
      <c r="CK209" s="142"/>
      <c r="CL209" s="142">
        <f t="shared" si="19"/>
        <v>0</v>
      </c>
      <c r="CM209" s="171">
        <v>1047.9100000000001</v>
      </c>
      <c r="CN209" s="171">
        <v>1321.65</v>
      </c>
      <c r="CO209" s="171">
        <v>1047.9100000000001</v>
      </c>
      <c r="CP209" s="171">
        <v>1023.51</v>
      </c>
      <c r="CQ209" s="171">
        <v>1205.03</v>
      </c>
      <c r="CR209" s="171">
        <v>1023.51</v>
      </c>
      <c r="CS209" s="171">
        <f t="shared" si="20"/>
        <v>2071.42</v>
      </c>
      <c r="CT209" s="171">
        <f t="shared" si="21"/>
        <v>2526.6800000000003</v>
      </c>
      <c r="CU209" s="171">
        <f t="shared" si="22"/>
        <v>2071.42</v>
      </c>
      <c r="CV209" s="149"/>
      <c r="CW209" s="149"/>
      <c r="CX209" s="130"/>
      <c r="CY209" s="130"/>
      <c r="CZ209" s="130"/>
      <c r="DA209" s="130"/>
      <c r="DB209" s="130"/>
      <c r="DC209" s="130"/>
      <c r="DD209" s="130"/>
      <c r="DE209" s="130"/>
      <c r="DF209" s="130"/>
      <c r="DG209" s="130"/>
      <c r="DH209" s="130"/>
      <c r="DI209" s="130"/>
      <c r="DJ209" s="130"/>
      <c r="DK209" s="130"/>
      <c r="DL209" s="130"/>
      <c r="DM209" s="130"/>
      <c r="DN209" s="130"/>
      <c r="DO209" s="130"/>
      <c r="DP209" s="130"/>
      <c r="DQ209" s="130"/>
      <c r="DR209" s="130"/>
      <c r="DS209" s="130"/>
      <c r="DT209" s="130"/>
      <c r="DU209" s="130"/>
      <c r="DV209" s="130"/>
      <c r="DW209" s="130"/>
      <c r="DX209" s="130"/>
      <c r="DY209" s="130"/>
      <c r="DZ209" s="130"/>
      <c r="EA209" s="130"/>
      <c r="EB209" s="130"/>
      <c r="EC209" s="130"/>
      <c r="ED209" s="130"/>
      <c r="EE209" s="130"/>
      <c r="EF209" s="130"/>
      <c r="EG209" s="130"/>
      <c r="EH209" s="130"/>
      <c r="EI209" s="130"/>
      <c r="EJ209" s="130"/>
      <c r="EK209" s="130"/>
      <c r="EL209" s="130"/>
      <c r="EM209" s="130"/>
      <c r="EN209" s="130"/>
      <c r="EO209" s="130"/>
      <c r="EP209" s="130"/>
      <c r="EQ209" s="130"/>
      <c r="ER209" s="130"/>
      <c r="ES209" s="130"/>
      <c r="ET209" s="130"/>
      <c r="EU209" s="172"/>
      <c r="EV209" s="130"/>
      <c r="EW209" s="130"/>
      <c r="EX209" s="130"/>
      <c r="EY209" s="130"/>
      <c r="EZ209" s="130"/>
      <c r="FA209" s="130"/>
      <c r="FB209" s="201"/>
      <c r="FC209" s="201"/>
      <c r="FD209" s="201"/>
      <c r="FE209" s="201"/>
      <c r="FF209" s="201"/>
      <c r="FG209" s="201"/>
      <c r="FH209" s="201"/>
      <c r="FI209" s="201"/>
      <c r="FJ209" s="201"/>
      <c r="FK209" s="201"/>
      <c r="FL209" s="201"/>
      <c r="FM209" s="201"/>
      <c r="FN209" s="201"/>
      <c r="FO209" s="201"/>
      <c r="FP209" s="201"/>
      <c r="FQ209" s="201"/>
      <c r="FR209" s="201"/>
      <c r="FS209" s="201"/>
      <c r="FT209" s="201"/>
      <c r="FU209" s="201"/>
      <c r="FV209" s="201"/>
      <c r="FW209" s="201"/>
      <c r="FX209" s="201"/>
      <c r="FY209" s="201"/>
      <c r="FZ209" s="201"/>
      <c r="GA209" s="201"/>
      <c r="GB209" s="201"/>
      <c r="GC209" s="201"/>
      <c r="GD209" s="201"/>
      <c r="GE209" s="201"/>
      <c r="GF209" s="201"/>
      <c r="GG209" s="201"/>
      <c r="GH209" s="201"/>
      <c r="GI209" s="201"/>
      <c r="GJ209" s="201"/>
      <c r="GK209" s="201"/>
      <c r="GL209" s="201"/>
      <c r="GM209" s="201"/>
      <c r="GN209" s="201"/>
      <c r="GO209" s="201"/>
      <c r="GP209" s="201"/>
      <c r="GQ209" s="201"/>
    </row>
    <row r="210" spans="1:204" s="68" customFormat="1" ht="14.45" customHeight="1" x14ac:dyDescent="0.25">
      <c r="A210" s="68" t="s">
        <v>691</v>
      </c>
      <c r="B210" s="82" t="s">
        <v>154</v>
      </c>
      <c r="C210" s="82" t="s">
        <v>172</v>
      </c>
      <c r="D210" s="95" t="s">
        <v>196</v>
      </c>
      <c r="E210" s="82" t="s">
        <v>5</v>
      </c>
      <c r="F210" s="95" t="s">
        <v>550</v>
      </c>
      <c r="G210" s="82" t="s">
        <v>288</v>
      </c>
      <c r="H210" s="82" t="s">
        <v>551</v>
      </c>
      <c r="I210" s="82" t="s">
        <v>300</v>
      </c>
      <c r="J210" s="82" t="s">
        <v>528</v>
      </c>
      <c r="K210" s="92" t="s">
        <v>326</v>
      </c>
      <c r="L210" s="88" t="s">
        <v>558</v>
      </c>
      <c r="M210" s="88" t="s">
        <v>530</v>
      </c>
      <c r="N210" s="88" t="s">
        <v>7</v>
      </c>
      <c r="O210" s="116" t="s">
        <v>559</v>
      </c>
      <c r="P210" s="116" t="s">
        <v>560</v>
      </c>
      <c r="Q210" s="82" t="s">
        <v>772</v>
      </c>
      <c r="R210" s="82" t="s">
        <v>773</v>
      </c>
      <c r="S210" s="82" t="s">
        <v>774</v>
      </c>
      <c r="T210" s="82" t="s">
        <v>320</v>
      </c>
      <c r="U210" s="83"/>
      <c r="V210" s="83"/>
      <c r="W210" s="83">
        <v>0.05</v>
      </c>
      <c r="X210" s="83"/>
      <c r="Y210" s="83"/>
      <c r="Z210" s="83">
        <v>0.05</v>
      </c>
      <c r="AA210" s="83"/>
      <c r="AB210" s="83"/>
      <c r="AC210" s="83">
        <v>0.05</v>
      </c>
      <c r="AD210" s="83"/>
      <c r="AE210" s="83"/>
      <c r="AF210" s="83">
        <v>0.05</v>
      </c>
      <c r="AG210" s="82" t="s">
        <v>535</v>
      </c>
      <c r="AH210" s="82" t="s">
        <v>529</v>
      </c>
      <c r="AI210" s="88" t="s">
        <v>538</v>
      </c>
      <c r="AJ210" s="89" t="s">
        <v>538</v>
      </c>
      <c r="AK210" s="90">
        <v>46023</v>
      </c>
      <c r="AL210" s="90">
        <v>46387</v>
      </c>
      <c r="AM210" s="89"/>
      <c r="AN210" s="89"/>
      <c r="AO210" s="89"/>
      <c r="AP210" s="91" t="s">
        <v>543</v>
      </c>
      <c r="AQ210" s="90" cm="1">
        <f t="array" ref="AQ210">IFERROR(DATE(2026, _xlfn.AGGREGATE(15, 6, (COLUMN(BY210:CJ210)-COLUMN(BY210)+1)/(BY210:CJ210&lt;&gt;0), 1), 1),"N/A")</f>
        <v>46023</v>
      </c>
      <c r="AR210" s="90" cm="1">
        <f t="array" ref="AR210">IFERROR(EOMONTH(DATE(2026, _xlfn.AGGREGATE(14, 6, (COLUMN(BY210:CJ210)-COLUMN(BY210)+1)/(BY210:CJ210&lt;&gt;0), 1), 1), 0),"N/A")</f>
        <v>46387</v>
      </c>
      <c r="AS210" s="89"/>
      <c r="AT210" s="89"/>
      <c r="AU210" s="89"/>
      <c r="AV210" s="89"/>
      <c r="AW210" s="89"/>
      <c r="AX210" s="89"/>
      <c r="AY210" s="89"/>
      <c r="AZ210" s="89"/>
      <c r="BA210" s="89"/>
      <c r="BB210" s="89"/>
      <c r="BC210" s="89"/>
      <c r="BD210" s="89"/>
      <c r="BE210" s="82" t="s">
        <v>615</v>
      </c>
      <c r="BF210" s="82" t="s">
        <v>1062</v>
      </c>
      <c r="BG210" s="82" t="str">
        <f t="shared" si="18"/>
        <v>000</v>
      </c>
      <c r="BH210" s="88">
        <v>710707</v>
      </c>
      <c r="BI210" s="92" t="s">
        <v>706</v>
      </c>
      <c r="BJ210" s="93">
        <v>4775</v>
      </c>
      <c r="BK210" s="94">
        <v>397.91666666666669</v>
      </c>
      <c r="BL210" s="94">
        <v>397.91666666666669</v>
      </c>
      <c r="BM210" s="94">
        <v>397.91666666666669</v>
      </c>
      <c r="BN210" s="72">
        <v>397.91666666666669</v>
      </c>
      <c r="BO210" s="94">
        <v>397.91666666666669</v>
      </c>
      <c r="BP210" s="94">
        <v>397.91666666666669</v>
      </c>
      <c r="BQ210" s="94">
        <v>397.91666666666669</v>
      </c>
      <c r="BR210" s="94">
        <v>397.91666666666669</v>
      </c>
      <c r="BS210" s="94">
        <v>397.91666666666669</v>
      </c>
      <c r="BT210" s="94">
        <v>397.91666666666669</v>
      </c>
      <c r="BU210" s="94">
        <v>397.91666666666669</v>
      </c>
      <c r="BV210" s="142">
        <v>397.91666666666669</v>
      </c>
      <c r="BW210" s="142"/>
      <c r="BX210" s="143">
        <f t="shared" si="23"/>
        <v>4775</v>
      </c>
      <c r="BY210" s="94">
        <v>397.91666666666669</v>
      </c>
      <c r="BZ210" s="94">
        <v>397.91666666666669</v>
      </c>
      <c r="CA210" s="94">
        <v>397.91666666666669</v>
      </c>
      <c r="CB210" s="72">
        <v>397.91666666666669</v>
      </c>
      <c r="CC210" s="94">
        <v>397.91666666666669</v>
      </c>
      <c r="CD210" s="94">
        <v>397.91666666666669</v>
      </c>
      <c r="CE210" s="94">
        <v>397.91666666666669</v>
      </c>
      <c r="CF210" s="94">
        <v>397.91666666666669</v>
      </c>
      <c r="CG210" s="94">
        <v>397.91666666666669</v>
      </c>
      <c r="CH210" s="94">
        <v>397.91666666666669</v>
      </c>
      <c r="CI210" s="94">
        <v>397.91666666666669</v>
      </c>
      <c r="CJ210" s="142">
        <v>397.91666666666669</v>
      </c>
      <c r="CK210" s="142"/>
      <c r="CL210" s="142">
        <f t="shared" si="19"/>
        <v>0</v>
      </c>
      <c r="CM210" s="171">
        <v>0</v>
      </c>
      <c r="CN210" s="171">
        <v>0</v>
      </c>
      <c r="CO210" s="171">
        <v>0</v>
      </c>
      <c r="CP210" s="171">
        <v>0</v>
      </c>
      <c r="CQ210" s="171">
        <v>0</v>
      </c>
      <c r="CR210" s="171">
        <v>0</v>
      </c>
      <c r="CS210" s="171">
        <f t="shared" si="20"/>
        <v>0</v>
      </c>
      <c r="CT210" s="171">
        <f t="shared" si="21"/>
        <v>0</v>
      </c>
      <c r="CU210" s="171">
        <f t="shared" si="22"/>
        <v>0</v>
      </c>
      <c r="CV210" s="149"/>
      <c r="CW210" s="149"/>
      <c r="CX210" s="130"/>
      <c r="CY210" s="130"/>
      <c r="CZ210" s="130"/>
      <c r="DA210" s="130"/>
      <c r="DB210" s="130"/>
      <c r="DC210" s="130"/>
      <c r="DD210" s="130"/>
      <c r="DE210" s="130"/>
      <c r="DF210" s="130"/>
      <c r="DG210" s="130"/>
      <c r="DH210" s="130"/>
      <c r="DI210" s="130"/>
      <c r="DJ210" s="130"/>
      <c r="DK210" s="130"/>
      <c r="DL210" s="130"/>
      <c r="DM210" s="130"/>
      <c r="DN210" s="130"/>
      <c r="DO210" s="130"/>
      <c r="DP210" s="130"/>
      <c r="DQ210" s="130"/>
      <c r="DR210" s="130"/>
      <c r="DS210" s="130"/>
      <c r="DT210" s="130"/>
      <c r="DU210" s="130"/>
      <c r="DV210" s="130"/>
      <c r="DW210" s="130"/>
      <c r="DX210" s="130"/>
      <c r="DY210" s="130"/>
      <c r="DZ210" s="130"/>
      <c r="EA210" s="130"/>
      <c r="EB210" s="130"/>
      <c r="EC210" s="130"/>
      <c r="ED210" s="130"/>
      <c r="EE210" s="130"/>
      <c r="EF210" s="130"/>
      <c r="EG210" s="130"/>
      <c r="EH210" s="130"/>
      <c r="EI210" s="130"/>
      <c r="EJ210" s="130"/>
      <c r="EK210" s="130"/>
      <c r="EL210" s="130"/>
      <c r="EM210" s="130"/>
      <c r="EN210" s="130"/>
      <c r="EO210" s="130"/>
      <c r="EP210" s="130"/>
      <c r="EQ210" s="130"/>
      <c r="ER210" s="130"/>
      <c r="ES210" s="130"/>
      <c r="ET210" s="130"/>
      <c r="EU210" s="172"/>
      <c r="EV210" s="130"/>
      <c r="EW210" s="130"/>
      <c r="EX210" s="130"/>
      <c r="EY210" s="130"/>
      <c r="EZ210" s="130"/>
      <c r="FA210" s="130"/>
      <c r="FB210" s="201"/>
      <c r="FC210" s="201"/>
      <c r="FD210" s="201"/>
      <c r="FE210" s="201"/>
      <c r="FF210" s="201"/>
      <c r="FG210" s="201"/>
      <c r="FH210" s="201"/>
      <c r="FI210" s="201"/>
      <c r="FJ210" s="201"/>
      <c r="FK210" s="201"/>
      <c r="FL210" s="201"/>
      <c r="FM210" s="201"/>
      <c r="FN210" s="201"/>
      <c r="FO210" s="201"/>
      <c r="FP210" s="201"/>
      <c r="FQ210" s="201"/>
      <c r="FR210" s="201"/>
      <c r="FS210" s="201"/>
      <c r="FT210" s="201"/>
      <c r="FU210" s="201"/>
      <c r="FV210" s="201"/>
      <c r="FW210" s="201"/>
      <c r="FX210" s="201"/>
      <c r="FY210" s="201"/>
      <c r="FZ210" s="201"/>
      <c r="GA210" s="201"/>
      <c r="GB210" s="201"/>
      <c r="GC210" s="201"/>
      <c r="GD210" s="201"/>
      <c r="GE210" s="201"/>
      <c r="GF210" s="201"/>
      <c r="GG210" s="201"/>
      <c r="GH210" s="201"/>
      <c r="GI210" s="201"/>
      <c r="GJ210" s="201"/>
      <c r="GK210" s="201"/>
      <c r="GL210" s="201"/>
      <c r="GM210" s="201"/>
      <c r="GN210" s="201"/>
      <c r="GO210" s="201"/>
      <c r="GP210" s="201"/>
      <c r="GQ210" s="201"/>
    </row>
    <row r="211" spans="1:204" s="68" customFormat="1" ht="14.45" customHeight="1" x14ac:dyDescent="0.25">
      <c r="A211" s="68" t="s">
        <v>691</v>
      </c>
      <c r="B211" s="82" t="s">
        <v>154</v>
      </c>
      <c r="C211" s="82" t="s">
        <v>172</v>
      </c>
      <c r="D211" s="95" t="s">
        <v>196</v>
      </c>
      <c r="E211" s="82" t="s">
        <v>5</v>
      </c>
      <c r="F211" s="95" t="s">
        <v>550</v>
      </c>
      <c r="G211" s="82" t="s">
        <v>288</v>
      </c>
      <c r="H211" s="82" t="s">
        <v>551</v>
      </c>
      <c r="I211" s="82" t="s">
        <v>300</v>
      </c>
      <c r="J211" s="82" t="s">
        <v>528</v>
      </c>
      <c r="K211" s="92" t="s">
        <v>326</v>
      </c>
      <c r="L211" s="88" t="s">
        <v>558</v>
      </c>
      <c r="M211" s="88" t="s">
        <v>530</v>
      </c>
      <c r="N211" s="88" t="s">
        <v>7</v>
      </c>
      <c r="O211" s="116" t="s">
        <v>559</v>
      </c>
      <c r="P211" s="116" t="s">
        <v>560</v>
      </c>
      <c r="Q211" s="82" t="s">
        <v>772</v>
      </c>
      <c r="R211" s="82" t="s">
        <v>773</v>
      </c>
      <c r="S211" s="82" t="s">
        <v>774</v>
      </c>
      <c r="T211" s="82" t="s">
        <v>320</v>
      </c>
      <c r="U211" s="83"/>
      <c r="V211" s="83"/>
      <c r="W211" s="83">
        <v>0.05</v>
      </c>
      <c r="X211" s="83"/>
      <c r="Y211" s="83"/>
      <c r="Z211" s="83">
        <v>0.05</v>
      </c>
      <c r="AA211" s="83"/>
      <c r="AB211" s="83"/>
      <c r="AC211" s="83">
        <v>0.05</v>
      </c>
      <c r="AD211" s="83"/>
      <c r="AE211" s="83"/>
      <c r="AF211" s="83">
        <v>0.05</v>
      </c>
      <c r="AG211" s="82" t="s">
        <v>535</v>
      </c>
      <c r="AH211" s="82" t="s">
        <v>529</v>
      </c>
      <c r="AI211" s="88" t="s">
        <v>538</v>
      </c>
      <c r="AJ211" s="89" t="s">
        <v>538</v>
      </c>
      <c r="AK211" s="90">
        <v>46023</v>
      </c>
      <c r="AL211" s="90">
        <v>46387</v>
      </c>
      <c r="AM211" s="89"/>
      <c r="AN211" s="89"/>
      <c r="AO211" s="89"/>
      <c r="AP211" s="91" t="s">
        <v>543</v>
      </c>
      <c r="AQ211" s="90" cm="1">
        <f t="array" ref="AQ211">IFERROR(DATE(2026, _xlfn.AGGREGATE(15, 6, (COLUMN(BY211:CJ211)-COLUMN(BY211)+1)/(BY211:CJ211&lt;&gt;0), 1), 1),"N/A")</f>
        <v>46023</v>
      </c>
      <c r="AR211" s="90" cm="1">
        <f t="array" ref="AR211">IFERROR(EOMONTH(DATE(2026, _xlfn.AGGREGATE(14, 6, (COLUMN(BY211:CJ211)-COLUMN(BY211)+1)/(BY211:CJ211&lt;&gt;0), 1), 1), 0),"N/A")</f>
        <v>46387</v>
      </c>
      <c r="AS211" s="89"/>
      <c r="AT211" s="89"/>
      <c r="AU211" s="89"/>
      <c r="AV211" s="89"/>
      <c r="AW211" s="89"/>
      <c r="AX211" s="89"/>
      <c r="AY211" s="89"/>
      <c r="AZ211" s="89"/>
      <c r="BA211" s="89"/>
      <c r="BB211" s="89"/>
      <c r="BC211" s="89"/>
      <c r="BD211" s="89"/>
      <c r="BE211" s="82" t="s">
        <v>618</v>
      </c>
      <c r="BF211" s="82" t="s">
        <v>1063</v>
      </c>
      <c r="BG211" s="82" t="str">
        <f t="shared" si="18"/>
        <v>000</v>
      </c>
      <c r="BH211" s="88">
        <v>710204</v>
      </c>
      <c r="BI211" s="92" t="s">
        <v>706</v>
      </c>
      <c r="BJ211" s="93">
        <v>5280</v>
      </c>
      <c r="BK211" s="94">
        <v>440</v>
      </c>
      <c r="BL211" s="94">
        <v>440</v>
      </c>
      <c r="BM211" s="94">
        <v>440</v>
      </c>
      <c r="BN211" s="72">
        <v>440</v>
      </c>
      <c r="BO211" s="94">
        <v>440</v>
      </c>
      <c r="BP211" s="94">
        <v>440</v>
      </c>
      <c r="BQ211" s="94">
        <v>440</v>
      </c>
      <c r="BR211" s="94">
        <v>440</v>
      </c>
      <c r="BS211" s="94">
        <v>440</v>
      </c>
      <c r="BT211" s="94">
        <v>440</v>
      </c>
      <c r="BU211" s="94">
        <v>440</v>
      </c>
      <c r="BV211" s="142">
        <v>440</v>
      </c>
      <c r="BW211" s="142"/>
      <c r="BX211" s="143">
        <f t="shared" si="23"/>
        <v>5280</v>
      </c>
      <c r="BY211" s="94">
        <v>440</v>
      </c>
      <c r="BZ211" s="94">
        <v>440</v>
      </c>
      <c r="CA211" s="94">
        <v>440</v>
      </c>
      <c r="CB211" s="72">
        <v>440</v>
      </c>
      <c r="CC211" s="94">
        <v>440</v>
      </c>
      <c r="CD211" s="94">
        <v>440</v>
      </c>
      <c r="CE211" s="94">
        <v>440</v>
      </c>
      <c r="CF211" s="94">
        <v>440</v>
      </c>
      <c r="CG211" s="94">
        <v>440</v>
      </c>
      <c r="CH211" s="94">
        <v>440</v>
      </c>
      <c r="CI211" s="94">
        <v>440</v>
      </c>
      <c r="CJ211" s="142">
        <v>440</v>
      </c>
      <c r="CK211" s="142"/>
      <c r="CL211" s="142">
        <f t="shared" si="19"/>
        <v>0</v>
      </c>
      <c r="CM211" s="171">
        <v>40.17</v>
      </c>
      <c r="CN211" s="171">
        <v>455.22</v>
      </c>
      <c r="CO211" s="171">
        <v>40.17</v>
      </c>
      <c r="CP211" s="171">
        <v>40.17</v>
      </c>
      <c r="CQ211" s="171">
        <v>455.22</v>
      </c>
      <c r="CR211" s="171">
        <v>40.17</v>
      </c>
      <c r="CS211" s="171">
        <f t="shared" si="20"/>
        <v>80.34</v>
      </c>
      <c r="CT211" s="171">
        <f t="shared" si="21"/>
        <v>910.44</v>
      </c>
      <c r="CU211" s="171">
        <f t="shared" si="22"/>
        <v>80.34</v>
      </c>
      <c r="CV211" s="149"/>
      <c r="CW211" s="149"/>
      <c r="CX211" s="130"/>
      <c r="CY211" s="130"/>
      <c r="CZ211" s="130"/>
      <c r="DA211" s="130"/>
      <c r="DB211" s="130"/>
      <c r="DC211" s="130"/>
      <c r="DD211" s="130"/>
      <c r="DE211" s="130"/>
      <c r="DF211" s="130"/>
      <c r="DG211" s="130"/>
      <c r="DH211" s="130"/>
      <c r="DI211" s="130"/>
      <c r="DJ211" s="130"/>
      <c r="DK211" s="130"/>
      <c r="DL211" s="130"/>
      <c r="DM211" s="130"/>
      <c r="DN211" s="130"/>
      <c r="DO211" s="130"/>
      <c r="DP211" s="130"/>
      <c r="DQ211" s="130"/>
      <c r="DR211" s="130"/>
      <c r="DS211" s="130"/>
      <c r="DT211" s="130"/>
      <c r="DU211" s="130"/>
      <c r="DV211" s="130"/>
      <c r="DW211" s="130"/>
      <c r="DX211" s="130"/>
      <c r="DY211" s="130"/>
      <c r="DZ211" s="130"/>
      <c r="EA211" s="130"/>
      <c r="EB211" s="130"/>
      <c r="EC211" s="130"/>
      <c r="ED211" s="130"/>
      <c r="EE211" s="130"/>
      <c r="EF211" s="130"/>
      <c r="EG211" s="130"/>
      <c r="EH211" s="130"/>
      <c r="EI211" s="130"/>
      <c r="EJ211" s="130"/>
      <c r="EK211" s="130"/>
      <c r="EL211" s="130"/>
      <c r="EM211" s="130"/>
      <c r="EN211" s="130"/>
      <c r="EO211" s="130"/>
      <c r="EP211" s="130"/>
      <c r="EQ211" s="130"/>
      <c r="ER211" s="130"/>
      <c r="ES211" s="130"/>
      <c r="ET211" s="130"/>
      <c r="EU211" s="172"/>
      <c r="EV211" s="130"/>
      <c r="EW211" s="130"/>
      <c r="EX211" s="130"/>
      <c r="EY211" s="130"/>
      <c r="EZ211" s="130"/>
      <c r="FA211" s="130"/>
      <c r="FB211" s="201"/>
      <c r="FC211" s="201"/>
      <c r="FD211" s="201"/>
      <c r="FE211" s="201"/>
      <c r="FF211" s="201"/>
      <c r="FG211" s="201"/>
      <c r="FH211" s="201"/>
      <c r="FI211" s="201"/>
      <c r="FJ211" s="201"/>
      <c r="FK211" s="201"/>
      <c r="FL211" s="201"/>
      <c r="FM211" s="201"/>
      <c r="FN211" s="201"/>
      <c r="FO211" s="201"/>
      <c r="FP211" s="201"/>
      <c r="FQ211" s="201"/>
      <c r="FR211" s="201"/>
      <c r="FS211" s="201"/>
      <c r="FT211" s="201"/>
      <c r="FU211" s="201"/>
      <c r="FV211" s="201"/>
      <c r="FW211" s="201"/>
      <c r="FX211" s="201"/>
      <c r="FY211" s="201"/>
      <c r="FZ211" s="201"/>
      <c r="GA211" s="201"/>
      <c r="GB211" s="201"/>
      <c r="GC211" s="201"/>
      <c r="GD211" s="201"/>
      <c r="GE211" s="201"/>
      <c r="GF211" s="201"/>
      <c r="GG211" s="201"/>
      <c r="GH211" s="201"/>
      <c r="GI211" s="201"/>
      <c r="GJ211" s="201"/>
      <c r="GK211" s="201"/>
      <c r="GL211" s="201"/>
      <c r="GM211" s="201"/>
      <c r="GN211" s="201"/>
      <c r="GO211" s="201"/>
      <c r="GP211" s="201"/>
      <c r="GQ211" s="201"/>
    </row>
    <row r="212" spans="1:204" s="68" customFormat="1" ht="14.45" customHeight="1" x14ac:dyDescent="0.25">
      <c r="A212" s="68" t="s">
        <v>691</v>
      </c>
      <c r="B212" s="82" t="s">
        <v>154</v>
      </c>
      <c r="C212" s="82" t="s">
        <v>172</v>
      </c>
      <c r="D212" s="95" t="s">
        <v>196</v>
      </c>
      <c r="E212" s="82" t="s">
        <v>5</v>
      </c>
      <c r="F212" s="95" t="s">
        <v>550</v>
      </c>
      <c r="G212" s="82" t="s">
        <v>288</v>
      </c>
      <c r="H212" s="82" t="s">
        <v>551</v>
      </c>
      <c r="I212" s="82" t="s">
        <v>300</v>
      </c>
      <c r="J212" s="82" t="s">
        <v>528</v>
      </c>
      <c r="K212" s="92" t="s">
        <v>326</v>
      </c>
      <c r="L212" s="88" t="s">
        <v>558</v>
      </c>
      <c r="M212" s="88" t="s">
        <v>530</v>
      </c>
      <c r="N212" s="88" t="s">
        <v>7</v>
      </c>
      <c r="O212" s="116" t="s">
        <v>559</v>
      </c>
      <c r="P212" s="116" t="s">
        <v>560</v>
      </c>
      <c r="Q212" s="82" t="s">
        <v>772</v>
      </c>
      <c r="R212" s="82" t="s">
        <v>773</v>
      </c>
      <c r="S212" s="82" t="s">
        <v>774</v>
      </c>
      <c r="T212" s="82" t="s">
        <v>320</v>
      </c>
      <c r="U212" s="83"/>
      <c r="V212" s="83"/>
      <c r="W212" s="83">
        <v>0.05</v>
      </c>
      <c r="X212" s="83"/>
      <c r="Y212" s="83"/>
      <c r="Z212" s="83">
        <v>0.05</v>
      </c>
      <c r="AA212" s="83"/>
      <c r="AB212" s="83"/>
      <c r="AC212" s="83">
        <v>0.05</v>
      </c>
      <c r="AD212" s="83"/>
      <c r="AE212" s="83"/>
      <c r="AF212" s="83">
        <v>0.05</v>
      </c>
      <c r="AG212" s="82" t="s">
        <v>535</v>
      </c>
      <c r="AH212" s="82" t="s">
        <v>529</v>
      </c>
      <c r="AI212" s="88" t="s">
        <v>538</v>
      </c>
      <c r="AJ212" s="89" t="s">
        <v>538</v>
      </c>
      <c r="AK212" s="90">
        <v>46023</v>
      </c>
      <c r="AL212" s="90">
        <v>46387</v>
      </c>
      <c r="AM212" s="89"/>
      <c r="AN212" s="89"/>
      <c r="AO212" s="89"/>
      <c r="AP212" s="91" t="s">
        <v>543</v>
      </c>
      <c r="AQ212" s="90" cm="1">
        <f t="array" ref="AQ212">IFERROR(DATE(2026, _xlfn.AGGREGATE(15, 6, (COLUMN(BY212:CJ212)-COLUMN(BY212)+1)/(BY212:CJ212&lt;&gt;0), 1), 1),"N/A")</f>
        <v>46023</v>
      </c>
      <c r="AR212" s="90" cm="1">
        <f t="array" ref="AR212">IFERROR(EOMONTH(DATE(2026, _xlfn.AGGREGATE(14, 6, (COLUMN(BY212:CJ212)-COLUMN(BY212)+1)/(BY212:CJ212&lt;&gt;0), 1), 1), 0),"N/A")</f>
        <v>46387</v>
      </c>
      <c r="AS212" s="89"/>
      <c r="AT212" s="89"/>
      <c r="AU212" s="89"/>
      <c r="AV212" s="89"/>
      <c r="AW212" s="89"/>
      <c r="AX212" s="89"/>
      <c r="AY212" s="89"/>
      <c r="AZ212" s="89"/>
      <c r="BA212" s="89"/>
      <c r="BB212" s="89"/>
      <c r="BC212" s="89"/>
      <c r="BD212" s="89"/>
      <c r="BE212" s="82" t="s">
        <v>639</v>
      </c>
      <c r="BF212" s="82" t="s">
        <v>1064</v>
      </c>
      <c r="BG212" s="82" t="str">
        <f t="shared" si="18"/>
        <v>000</v>
      </c>
      <c r="BH212" s="88">
        <v>710203</v>
      </c>
      <c r="BI212" s="92" t="s">
        <v>706</v>
      </c>
      <c r="BJ212" s="93">
        <v>9947.9</v>
      </c>
      <c r="BK212" s="94">
        <v>828.99166666666679</v>
      </c>
      <c r="BL212" s="94">
        <v>828.99166666666679</v>
      </c>
      <c r="BM212" s="94">
        <v>828.99166666666679</v>
      </c>
      <c r="BN212" s="72">
        <v>828.99166666666679</v>
      </c>
      <c r="BO212" s="94">
        <v>828.99166666666679</v>
      </c>
      <c r="BP212" s="94">
        <v>828.99166666666679</v>
      </c>
      <c r="BQ212" s="94">
        <v>828.99166666666679</v>
      </c>
      <c r="BR212" s="94">
        <v>828.99166666666679</v>
      </c>
      <c r="BS212" s="94">
        <v>828.99166666666679</v>
      </c>
      <c r="BT212" s="94">
        <v>828.99166666666679</v>
      </c>
      <c r="BU212" s="94">
        <v>828.99166666666679</v>
      </c>
      <c r="BV212" s="142">
        <v>828.99166666666679</v>
      </c>
      <c r="BW212" s="142"/>
      <c r="BX212" s="143">
        <f t="shared" si="23"/>
        <v>9947.9</v>
      </c>
      <c r="BY212" s="94">
        <v>828.99166666666679</v>
      </c>
      <c r="BZ212" s="94">
        <v>828.99166666666679</v>
      </c>
      <c r="CA212" s="94">
        <v>828.99166666666679</v>
      </c>
      <c r="CB212" s="72">
        <v>828.99166666666679</v>
      </c>
      <c r="CC212" s="94">
        <v>828.99166666666679</v>
      </c>
      <c r="CD212" s="94">
        <v>828.99166666666679</v>
      </c>
      <c r="CE212" s="94">
        <v>828.99166666666679</v>
      </c>
      <c r="CF212" s="94">
        <v>828.99166666666679</v>
      </c>
      <c r="CG212" s="94">
        <v>828.99166666666679</v>
      </c>
      <c r="CH212" s="94">
        <v>828.99166666666679</v>
      </c>
      <c r="CI212" s="94">
        <v>828.99166666666679</v>
      </c>
      <c r="CJ212" s="142">
        <v>828.99166666666679</v>
      </c>
      <c r="CK212" s="142"/>
      <c r="CL212" s="142">
        <f t="shared" si="19"/>
        <v>0</v>
      </c>
      <c r="CM212" s="171">
        <v>75.34</v>
      </c>
      <c r="CN212" s="171">
        <v>945.39</v>
      </c>
      <c r="CO212" s="171">
        <v>75.34</v>
      </c>
      <c r="CP212" s="171">
        <v>64.58</v>
      </c>
      <c r="CQ212" s="171">
        <v>945.39</v>
      </c>
      <c r="CR212" s="171">
        <v>64.58</v>
      </c>
      <c r="CS212" s="171">
        <f t="shared" si="20"/>
        <v>139.92000000000002</v>
      </c>
      <c r="CT212" s="171">
        <f t="shared" si="21"/>
        <v>1890.78</v>
      </c>
      <c r="CU212" s="171">
        <f t="shared" si="22"/>
        <v>139.92000000000002</v>
      </c>
      <c r="CV212" s="149"/>
      <c r="CW212" s="149"/>
      <c r="CX212" s="130"/>
      <c r="CY212" s="130"/>
      <c r="CZ212" s="130"/>
      <c r="DA212" s="130"/>
      <c r="DB212" s="130"/>
      <c r="DC212" s="130"/>
      <c r="DD212" s="130"/>
      <c r="DE212" s="130"/>
      <c r="DF212" s="130"/>
      <c r="DG212" s="130"/>
      <c r="DH212" s="130"/>
      <c r="DI212" s="130"/>
      <c r="DJ212" s="130"/>
      <c r="DK212" s="130"/>
      <c r="DL212" s="130"/>
      <c r="DM212" s="130"/>
      <c r="DN212" s="130"/>
      <c r="DO212" s="130"/>
      <c r="DP212" s="130"/>
      <c r="DQ212" s="130"/>
      <c r="DR212" s="130"/>
      <c r="DS212" s="130"/>
      <c r="DT212" s="130"/>
      <c r="DU212" s="130"/>
      <c r="DV212" s="130"/>
      <c r="DW212" s="130"/>
      <c r="DX212" s="130"/>
      <c r="DY212" s="130"/>
      <c r="DZ212" s="130"/>
      <c r="EA212" s="130"/>
      <c r="EB212" s="130"/>
      <c r="EC212" s="130"/>
      <c r="ED212" s="130"/>
      <c r="EE212" s="130"/>
      <c r="EF212" s="130"/>
      <c r="EG212" s="130"/>
      <c r="EH212" s="130"/>
      <c r="EI212" s="130"/>
      <c r="EJ212" s="130"/>
      <c r="EK212" s="130"/>
      <c r="EL212" s="130"/>
      <c r="EM212" s="130"/>
      <c r="EN212" s="130"/>
      <c r="EO212" s="130"/>
      <c r="EP212" s="130"/>
      <c r="EQ212" s="130"/>
      <c r="ER212" s="130"/>
      <c r="ES212" s="130"/>
      <c r="ET212" s="130"/>
      <c r="EU212" s="172"/>
      <c r="EV212" s="130"/>
      <c r="EW212" s="130"/>
      <c r="EX212" s="130"/>
      <c r="EY212" s="130"/>
      <c r="EZ212" s="130"/>
      <c r="FA212" s="130"/>
      <c r="FB212" s="201"/>
      <c r="FC212" s="201"/>
      <c r="FD212" s="201"/>
      <c r="FE212" s="201"/>
      <c r="FF212" s="201"/>
      <c r="FG212" s="201"/>
      <c r="FH212" s="201"/>
      <c r="FI212" s="201"/>
      <c r="FJ212" s="201"/>
      <c r="FK212" s="201"/>
      <c r="FL212" s="201"/>
      <c r="FM212" s="201"/>
      <c r="FN212" s="201"/>
      <c r="FO212" s="201"/>
      <c r="FP212" s="201"/>
      <c r="FQ212" s="201"/>
      <c r="FR212" s="201"/>
      <c r="FS212" s="201"/>
      <c r="FT212" s="201"/>
      <c r="FU212" s="201"/>
      <c r="FV212" s="201"/>
      <c r="FW212" s="201"/>
      <c r="FX212" s="201"/>
      <c r="FY212" s="201"/>
      <c r="FZ212" s="201"/>
      <c r="GA212" s="201"/>
      <c r="GB212" s="201"/>
      <c r="GC212" s="201"/>
      <c r="GD212" s="201"/>
      <c r="GE212" s="201"/>
      <c r="GF212" s="201"/>
      <c r="GG212" s="201"/>
      <c r="GH212" s="201"/>
      <c r="GI212" s="201"/>
      <c r="GJ212" s="201"/>
      <c r="GK212" s="201"/>
      <c r="GL212" s="201"/>
      <c r="GM212" s="201"/>
      <c r="GN212" s="201"/>
      <c r="GO212" s="201"/>
      <c r="GP212" s="201"/>
      <c r="GQ212" s="201"/>
    </row>
    <row r="213" spans="1:204" s="68" customFormat="1" ht="14.45" customHeight="1" x14ac:dyDescent="0.25">
      <c r="A213" s="68" t="s">
        <v>691</v>
      </c>
      <c r="B213" s="82" t="s">
        <v>154</v>
      </c>
      <c r="C213" s="82" t="s">
        <v>172</v>
      </c>
      <c r="D213" s="95" t="s">
        <v>196</v>
      </c>
      <c r="E213" s="82" t="s">
        <v>5</v>
      </c>
      <c r="F213" s="95" t="s">
        <v>550</v>
      </c>
      <c r="G213" s="82" t="s">
        <v>288</v>
      </c>
      <c r="H213" s="82" t="s">
        <v>551</v>
      </c>
      <c r="I213" s="82" t="s">
        <v>300</v>
      </c>
      <c r="J213" s="82" t="s">
        <v>528</v>
      </c>
      <c r="K213" s="92" t="s">
        <v>326</v>
      </c>
      <c r="L213" s="88" t="s">
        <v>558</v>
      </c>
      <c r="M213" s="88" t="s">
        <v>530</v>
      </c>
      <c r="N213" s="88" t="s">
        <v>7</v>
      </c>
      <c r="O213" s="116" t="s">
        <v>559</v>
      </c>
      <c r="P213" s="116" t="s">
        <v>560</v>
      </c>
      <c r="Q213" s="82" t="s">
        <v>772</v>
      </c>
      <c r="R213" s="82" t="s">
        <v>773</v>
      </c>
      <c r="S213" s="82" t="s">
        <v>774</v>
      </c>
      <c r="T213" s="82" t="s">
        <v>320</v>
      </c>
      <c r="U213" s="83"/>
      <c r="V213" s="83"/>
      <c r="W213" s="83">
        <v>0.05</v>
      </c>
      <c r="X213" s="83"/>
      <c r="Y213" s="83"/>
      <c r="Z213" s="83">
        <v>0.05</v>
      </c>
      <c r="AA213" s="83"/>
      <c r="AB213" s="83"/>
      <c r="AC213" s="83">
        <v>0.05</v>
      </c>
      <c r="AD213" s="83"/>
      <c r="AE213" s="83"/>
      <c r="AF213" s="83">
        <v>0.05</v>
      </c>
      <c r="AG213" s="82" t="s">
        <v>535</v>
      </c>
      <c r="AH213" s="82" t="s">
        <v>529</v>
      </c>
      <c r="AI213" s="88" t="s">
        <v>538</v>
      </c>
      <c r="AJ213" s="89" t="s">
        <v>538</v>
      </c>
      <c r="AK213" s="90">
        <v>46023</v>
      </c>
      <c r="AL213" s="90">
        <v>46387</v>
      </c>
      <c r="AM213" s="89"/>
      <c r="AN213" s="89"/>
      <c r="AO213" s="89"/>
      <c r="AP213" s="91" t="s">
        <v>543</v>
      </c>
      <c r="AQ213" s="90" cm="1">
        <f t="array" ref="AQ213">IFERROR(DATE(2026, _xlfn.AGGREGATE(15, 6, (COLUMN(BY213:CJ213)-COLUMN(BY213)+1)/(BY213:CJ213&lt;&gt;0), 1), 1),"N/A")</f>
        <v>46023</v>
      </c>
      <c r="AR213" s="90" cm="1">
        <f t="array" ref="AR213">IFERROR(EOMONTH(DATE(2026, _xlfn.AGGREGATE(14, 6, (COLUMN(BY213:CJ213)-COLUMN(BY213)+1)/(BY213:CJ213&lt;&gt;0), 1), 1), 0),"N/A")</f>
        <v>46387</v>
      </c>
      <c r="AS213" s="89"/>
      <c r="AT213" s="89"/>
      <c r="AU213" s="89"/>
      <c r="AV213" s="89"/>
      <c r="AW213" s="89"/>
      <c r="AX213" s="89"/>
      <c r="AY213" s="89"/>
      <c r="AZ213" s="89"/>
      <c r="BA213" s="89"/>
      <c r="BB213" s="89"/>
      <c r="BC213" s="89"/>
      <c r="BD213" s="89"/>
      <c r="BE213" s="82" t="s">
        <v>638</v>
      </c>
      <c r="BF213" s="82" t="s">
        <v>1065</v>
      </c>
      <c r="BG213" s="82" t="str">
        <f t="shared" si="18"/>
        <v>000</v>
      </c>
      <c r="BH213" s="88">
        <v>710602</v>
      </c>
      <c r="BI213" s="92" t="s">
        <v>706</v>
      </c>
      <c r="BJ213" s="93">
        <v>9943.9500000000007</v>
      </c>
      <c r="BK213" s="94">
        <v>828.66250000000002</v>
      </c>
      <c r="BL213" s="94">
        <v>828.66250000000002</v>
      </c>
      <c r="BM213" s="94">
        <v>828.66250000000002</v>
      </c>
      <c r="BN213" s="72">
        <v>828.66250000000002</v>
      </c>
      <c r="BO213" s="94">
        <v>828.66250000000002</v>
      </c>
      <c r="BP213" s="94">
        <v>828.66250000000002</v>
      </c>
      <c r="BQ213" s="94">
        <v>828.66250000000002</v>
      </c>
      <c r="BR213" s="94">
        <v>828.66250000000002</v>
      </c>
      <c r="BS213" s="94">
        <v>828.66250000000002</v>
      </c>
      <c r="BT213" s="94">
        <v>828.66250000000002</v>
      </c>
      <c r="BU213" s="94">
        <v>828.66250000000002</v>
      </c>
      <c r="BV213" s="142">
        <v>828.66250000000002</v>
      </c>
      <c r="BW213" s="142"/>
      <c r="BX213" s="143">
        <f t="shared" si="23"/>
        <v>9943.9500000000007</v>
      </c>
      <c r="BY213" s="94">
        <v>828.66250000000002</v>
      </c>
      <c r="BZ213" s="94">
        <v>828.66250000000002</v>
      </c>
      <c r="CA213" s="94">
        <v>828.66250000000002</v>
      </c>
      <c r="CB213" s="72">
        <v>828.66250000000002</v>
      </c>
      <c r="CC213" s="94">
        <v>828.66250000000002</v>
      </c>
      <c r="CD213" s="94">
        <v>828.66250000000002</v>
      </c>
      <c r="CE213" s="94">
        <v>828.66250000000002</v>
      </c>
      <c r="CF213" s="94">
        <v>828.66250000000002</v>
      </c>
      <c r="CG213" s="94">
        <v>828.66250000000002</v>
      </c>
      <c r="CH213" s="94">
        <v>828.66250000000002</v>
      </c>
      <c r="CI213" s="94">
        <v>828.66250000000002</v>
      </c>
      <c r="CJ213" s="142">
        <v>828.66250000000002</v>
      </c>
      <c r="CK213" s="142"/>
      <c r="CL213" s="142">
        <f t="shared" si="19"/>
        <v>0</v>
      </c>
      <c r="CM213" s="171">
        <v>577.05999999999995</v>
      </c>
      <c r="CN213" s="171">
        <v>945.01</v>
      </c>
      <c r="CO213" s="171">
        <v>577.05999999999995</v>
      </c>
      <c r="CP213" s="171">
        <v>519.33000000000004</v>
      </c>
      <c r="CQ213" s="171">
        <v>945.01</v>
      </c>
      <c r="CR213" s="171">
        <v>519.33000000000004</v>
      </c>
      <c r="CS213" s="171">
        <f t="shared" si="20"/>
        <v>1096.3899999999999</v>
      </c>
      <c r="CT213" s="171">
        <f t="shared" si="21"/>
        <v>1890.02</v>
      </c>
      <c r="CU213" s="171">
        <f t="shared" si="22"/>
        <v>1096.3899999999999</v>
      </c>
      <c r="CV213" s="149"/>
      <c r="CW213" s="149"/>
      <c r="CX213" s="130"/>
      <c r="CY213" s="130"/>
      <c r="CZ213" s="130"/>
      <c r="DA213" s="130"/>
      <c r="DB213" s="130"/>
      <c r="DC213" s="130"/>
      <c r="DD213" s="130"/>
      <c r="DE213" s="130"/>
      <c r="DF213" s="130"/>
      <c r="DG213" s="130"/>
      <c r="DH213" s="130"/>
      <c r="DI213" s="130"/>
      <c r="DJ213" s="130"/>
      <c r="DK213" s="130"/>
      <c r="DL213" s="130"/>
      <c r="DM213" s="130"/>
      <c r="DN213" s="130"/>
      <c r="DO213" s="130"/>
      <c r="DP213" s="130"/>
      <c r="DQ213" s="130"/>
      <c r="DR213" s="130"/>
      <c r="DS213" s="130"/>
      <c r="DT213" s="130"/>
      <c r="DU213" s="130"/>
      <c r="DV213" s="130"/>
      <c r="DW213" s="130"/>
      <c r="DX213" s="130"/>
      <c r="DY213" s="130"/>
      <c r="DZ213" s="130"/>
      <c r="EA213" s="130"/>
      <c r="EB213" s="130"/>
      <c r="EC213" s="130"/>
      <c r="ED213" s="130"/>
      <c r="EE213" s="130"/>
      <c r="EF213" s="130"/>
      <c r="EG213" s="130"/>
      <c r="EH213" s="130"/>
      <c r="EI213" s="130"/>
      <c r="EJ213" s="130"/>
      <c r="EK213" s="130"/>
      <c r="EL213" s="130"/>
      <c r="EM213" s="130"/>
      <c r="EN213" s="130"/>
      <c r="EO213" s="130"/>
      <c r="EP213" s="130"/>
      <c r="EQ213" s="130"/>
      <c r="ER213" s="130"/>
      <c r="ES213" s="130"/>
      <c r="ET213" s="130"/>
      <c r="EU213" s="172"/>
      <c r="EV213" s="130"/>
      <c r="EW213" s="130"/>
      <c r="EX213" s="130"/>
      <c r="EY213" s="130"/>
      <c r="EZ213" s="130"/>
      <c r="FA213" s="130"/>
      <c r="FB213" s="201"/>
      <c r="FC213" s="201"/>
      <c r="FD213" s="201"/>
      <c r="FE213" s="201"/>
      <c r="FF213" s="201"/>
      <c r="FG213" s="201"/>
      <c r="FH213" s="201"/>
      <c r="FI213" s="201"/>
      <c r="FJ213" s="201"/>
      <c r="FK213" s="201"/>
      <c r="FL213" s="201"/>
      <c r="FM213" s="201"/>
      <c r="FN213" s="201"/>
      <c r="FO213" s="201"/>
      <c r="FP213" s="201"/>
      <c r="FQ213" s="201"/>
      <c r="FR213" s="201"/>
      <c r="FS213" s="201"/>
      <c r="FT213" s="201"/>
      <c r="FU213" s="201"/>
      <c r="FV213" s="201"/>
      <c r="FW213" s="201"/>
      <c r="FX213" s="201"/>
      <c r="FY213" s="201"/>
      <c r="FZ213" s="201"/>
      <c r="GA213" s="201"/>
      <c r="GB213" s="201"/>
      <c r="GC213" s="201"/>
      <c r="GD213" s="201"/>
      <c r="GE213" s="201"/>
      <c r="GF213" s="201"/>
      <c r="GG213" s="201"/>
      <c r="GH213" s="201"/>
      <c r="GI213" s="201"/>
      <c r="GJ213" s="201"/>
      <c r="GK213" s="201"/>
      <c r="GL213" s="201"/>
      <c r="GM213" s="201"/>
      <c r="GN213" s="201"/>
      <c r="GO213" s="201"/>
      <c r="GP213" s="201"/>
      <c r="GQ213" s="201"/>
    </row>
    <row r="214" spans="1:204" s="68" customFormat="1" ht="14.45" customHeight="1" x14ac:dyDescent="0.25">
      <c r="A214" s="68" t="s">
        <v>691</v>
      </c>
      <c r="B214" s="82" t="s">
        <v>154</v>
      </c>
      <c r="C214" s="82" t="s">
        <v>172</v>
      </c>
      <c r="D214" s="95" t="s">
        <v>196</v>
      </c>
      <c r="E214" s="82" t="s">
        <v>5</v>
      </c>
      <c r="F214" s="95" t="s">
        <v>550</v>
      </c>
      <c r="G214" s="82" t="s">
        <v>288</v>
      </c>
      <c r="H214" s="82" t="s">
        <v>551</v>
      </c>
      <c r="I214" s="82" t="s">
        <v>300</v>
      </c>
      <c r="J214" s="82" t="s">
        <v>528</v>
      </c>
      <c r="K214" s="92" t="s">
        <v>326</v>
      </c>
      <c r="L214" s="88" t="s">
        <v>558</v>
      </c>
      <c r="M214" s="88" t="s">
        <v>530</v>
      </c>
      <c r="N214" s="88" t="s">
        <v>7</v>
      </c>
      <c r="O214" s="116" t="s">
        <v>559</v>
      </c>
      <c r="P214" s="116" t="s">
        <v>560</v>
      </c>
      <c r="Q214" s="82" t="s">
        <v>772</v>
      </c>
      <c r="R214" s="82" t="s">
        <v>773</v>
      </c>
      <c r="S214" s="82" t="s">
        <v>774</v>
      </c>
      <c r="T214" s="82" t="s">
        <v>320</v>
      </c>
      <c r="U214" s="83"/>
      <c r="V214" s="83"/>
      <c r="W214" s="83">
        <v>0.05</v>
      </c>
      <c r="X214" s="83"/>
      <c r="Y214" s="83"/>
      <c r="Z214" s="83">
        <v>0.05</v>
      </c>
      <c r="AA214" s="83"/>
      <c r="AB214" s="83"/>
      <c r="AC214" s="83">
        <v>0.05</v>
      </c>
      <c r="AD214" s="83"/>
      <c r="AE214" s="83"/>
      <c r="AF214" s="83">
        <v>0.05</v>
      </c>
      <c r="AG214" s="82" t="s">
        <v>535</v>
      </c>
      <c r="AH214" s="82" t="s">
        <v>529</v>
      </c>
      <c r="AI214" s="88" t="s">
        <v>538</v>
      </c>
      <c r="AJ214" s="89" t="s">
        <v>538</v>
      </c>
      <c r="AK214" s="90">
        <v>46023</v>
      </c>
      <c r="AL214" s="90">
        <v>46387</v>
      </c>
      <c r="AM214" s="89"/>
      <c r="AN214" s="89"/>
      <c r="AO214" s="89"/>
      <c r="AP214" s="91" t="s">
        <v>543</v>
      </c>
      <c r="AQ214" s="90" cm="1">
        <f t="array" ref="AQ214">IFERROR(DATE(2026, _xlfn.AGGREGATE(15, 6, (COLUMN(BY214:CJ214)-COLUMN(BY214)+1)/(BY214:CJ214&lt;&gt;0), 1), 1),"N/A")</f>
        <v>46023</v>
      </c>
      <c r="AR214" s="90" cm="1">
        <f t="array" ref="AR214">IFERROR(EOMONTH(DATE(2026, _xlfn.AGGREGATE(14, 6, (COLUMN(BY214:CJ214)-COLUMN(BY214)+1)/(BY214:CJ214&lt;&gt;0), 1), 1), 0),"N/A")</f>
        <v>46387</v>
      </c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2" t="s">
        <v>616</v>
      </c>
      <c r="BF214" s="82" t="s">
        <v>1071</v>
      </c>
      <c r="BG214" s="82" t="str">
        <f t="shared" si="18"/>
        <v>000</v>
      </c>
      <c r="BH214" s="88">
        <v>710509</v>
      </c>
      <c r="BI214" s="92" t="s">
        <v>706</v>
      </c>
      <c r="BJ214" s="93">
        <v>4775</v>
      </c>
      <c r="BK214" s="94">
        <v>397.91666666666669</v>
      </c>
      <c r="BL214" s="94">
        <v>397.91666666666669</v>
      </c>
      <c r="BM214" s="94">
        <v>397.91666666666669</v>
      </c>
      <c r="BN214" s="72">
        <v>397.91666666666669</v>
      </c>
      <c r="BO214" s="94">
        <v>397.91666666666669</v>
      </c>
      <c r="BP214" s="94">
        <v>397.91666666666669</v>
      </c>
      <c r="BQ214" s="94">
        <v>397.91666666666669</v>
      </c>
      <c r="BR214" s="94">
        <v>397.91666666666669</v>
      </c>
      <c r="BS214" s="94">
        <v>397.91666666666669</v>
      </c>
      <c r="BT214" s="94">
        <v>397.91666666666669</v>
      </c>
      <c r="BU214" s="94">
        <v>397.91666666666669</v>
      </c>
      <c r="BV214" s="142">
        <v>397.91666666666669</v>
      </c>
      <c r="BW214" s="142"/>
      <c r="BX214" s="143">
        <f t="shared" si="23"/>
        <v>4775</v>
      </c>
      <c r="BY214" s="94">
        <v>397.91666666666669</v>
      </c>
      <c r="BZ214" s="94">
        <v>397.91666666666669</v>
      </c>
      <c r="CA214" s="94">
        <v>397.91666666666669</v>
      </c>
      <c r="CB214" s="72">
        <v>397.91666666666669</v>
      </c>
      <c r="CC214" s="94">
        <v>397.91666666666669</v>
      </c>
      <c r="CD214" s="94">
        <v>397.91666666666669</v>
      </c>
      <c r="CE214" s="94">
        <v>397.91666666666669</v>
      </c>
      <c r="CF214" s="94">
        <v>397.91666666666669</v>
      </c>
      <c r="CG214" s="94">
        <v>397.91666666666669</v>
      </c>
      <c r="CH214" s="94">
        <v>397.91666666666669</v>
      </c>
      <c r="CI214" s="94">
        <v>397.91666666666669</v>
      </c>
      <c r="CJ214" s="142">
        <v>397.91666666666669</v>
      </c>
      <c r="CK214" s="142"/>
      <c r="CL214" s="142">
        <f t="shared" si="19"/>
        <v>0</v>
      </c>
      <c r="CM214" s="171">
        <v>0</v>
      </c>
      <c r="CN214" s="171">
        <v>3797.02</v>
      </c>
      <c r="CO214" s="171">
        <v>0</v>
      </c>
      <c r="CP214" s="171">
        <v>34.31</v>
      </c>
      <c r="CQ214" s="171">
        <v>3762.71</v>
      </c>
      <c r="CR214" s="171">
        <v>34.31</v>
      </c>
      <c r="CS214" s="171">
        <f t="shared" si="20"/>
        <v>34.31</v>
      </c>
      <c r="CT214" s="171">
        <f t="shared" si="21"/>
        <v>7559.73</v>
      </c>
      <c r="CU214" s="171">
        <f t="shared" si="22"/>
        <v>34.31</v>
      </c>
      <c r="CV214" s="149"/>
      <c r="CW214" s="149"/>
      <c r="CX214" s="130"/>
      <c r="CY214" s="130"/>
      <c r="CZ214" s="130"/>
      <c r="DA214" s="130"/>
      <c r="DB214" s="130"/>
      <c r="DC214" s="130"/>
      <c r="DD214" s="130"/>
      <c r="DE214" s="130"/>
      <c r="DF214" s="130"/>
      <c r="DG214" s="130"/>
      <c r="DH214" s="130"/>
      <c r="DI214" s="130"/>
      <c r="DJ214" s="130"/>
      <c r="DK214" s="130"/>
      <c r="DL214" s="130"/>
      <c r="DM214" s="130"/>
      <c r="DN214" s="130"/>
      <c r="DO214" s="130"/>
      <c r="DP214" s="130"/>
      <c r="DQ214" s="130"/>
      <c r="DR214" s="130"/>
      <c r="DS214" s="130"/>
      <c r="DT214" s="130"/>
      <c r="DU214" s="130"/>
      <c r="DV214" s="130"/>
      <c r="DW214" s="130"/>
      <c r="DX214" s="130"/>
      <c r="DY214" s="130"/>
      <c r="DZ214" s="130"/>
      <c r="EA214" s="130"/>
      <c r="EB214" s="130"/>
      <c r="EC214" s="130"/>
      <c r="ED214" s="130"/>
      <c r="EE214" s="130"/>
      <c r="EF214" s="130"/>
      <c r="EG214" s="130"/>
      <c r="EH214" s="130"/>
      <c r="EI214" s="130"/>
      <c r="EJ214" s="130"/>
      <c r="EK214" s="130"/>
      <c r="EL214" s="130"/>
      <c r="EM214" s="130"/>
      <c r="EN214" s="130"/>
      <c r="EO214" s="130"/>
      <c r="EP214" s="130"/>
      <c r="EQ214" s="130"/>
      <c r="ER214" s="130"/>
      <c r="ES214" s="130"/>
      <c r="ET214" s="130"/>
      <c r="EU214" s="172"/>
      <c r="EV214" s="130"/>
      <c r="EW214" s="130"/>
      <c r="EX214" s="130"/>
      <c r="EY214" s="130"/>
      <c r="EZ214" s="130"/>
      <c r="FA214" s="130"/>
      <c r="FB214" s="201"/>
      <c r="FC214" s="201"/>
      <c r="FD214" s="201"/>
      <c r="FE214" s="201"/>
      <c r="FF214" s="201"/>
      <c r="FG214" s="201"/>
      <c r="FH214" s="201"/>
      <c r="FI214" s="201"/>
      <c r="FJ214" s="201"/>
      <c r="FK214" s="201"/>
      <c r="FL214" s="201"/>
      <c r="FM214" s="201"/>
      <c r="FN214" s="201"/>
      <c r="FO214" s="201"/>
      <c r="FP214" s="201"/>
      <c r="FQ214" s="201"/>
      <c r="FR214" s="201"/>
      <c r="FS214" s="201"/>
      <c r="FT214" s="201"/>
      <c r="FU214" s="201"/>
      <c r="FV214" s="201"/>
      <c r="FW214" s="201"/>
      <c r="FX214" s="201"/>
      <c r="FY214" s="201"/>
      <c r="FZ214" s="201"/>
      <c r="GA214" s="201"/>
      <c r="GB214" s="201"/>
      <c r="GC214" s="201"/>
      <c r="GD214" s="201"/>
      <c r="GE214" s="201"/>
      <c r="GF214" s="201"/>
      <c r="GG214" s="201"/>
      <c r="GH214" s="201"/>
      <c r="GI214" s="201"/>
      <c r="GJ214" s="201"/>
      <c r="GK214" s="201"/>
      <c r="GL214" s="201"/>
      <c r="GM214" s="201"/>
      <c r="GN214" s="201"/>
      <c r="GO214" s="201"/>
      <c r="GP214" s="201"/>
      <c r="GQ214" s="201"/>
    </row>
    <row r="215" spans="1:204" s="68" customFormat="1" ht="14.45" customHeight="1" x14ac:dyDescent="0.25">
      <c r="A215" s="68" t="s">
        <v>691</v>
      </c>
      <c r="B215" s="82" t="s">
        <v>154</v>
      </c>
      <c r="C215" s="82" t="s">
        <v>172</v>
      </c>
      <c r="D215" s="95" t="s">
        <v>196</v>
      </c>
      <c r="E215" s="82" t="s">
        <v>5</v>
      </c>
      <c r="F215" s="95" t="s">
        <v>550</v>
      </c>
      <c r="G215" s="82" t="s">
        <v>288</v>
      </c>
      <c r="H215" s="82" t="s">
        <v>551</v>
      </c>
      <c r="I215" s="82" t="s">
        <v>300</v>
      </c>
      <c r="J215" s="82" t="s">
        <v>528</v>
      </c>
      <c r="K215" s="92" t="s">
        <v>326</v>
      </c>
      <c r="L215" s="88" t="s">
        <v>558</v>
      </c>
      <c r="M215" s="88" t="s">
        <v>530</v>
      </c>
      <c r="N215" s="88" t="s">
        <v>7</v>
      </c>
      <c r="O215" s="116" t="s">
        <v>559</v>
      </c>
      <c r="P215" s="116" t="s">
        <v>560</v>
      </c>
      <c r="Q215" s="82" t="s">
        <v>772</v>
      </c>
      <c r="R215" s="82" t="s">
        <v>773</v>
      </c>
      <c r="S215" s="82" t="s">
        <v>774</v>
      </c>
      <c r="T215" s="82" t="s">
        <v>320</v>
      </c>
      <c r="U215" s="83"/>
      <c r="V215" s="83"/>
      <c r="W215" s="83">
        <v>0.05</v>
      </c>
      <c r="X215" s="83"/>
      <c r="Y215" s="83"/>
      <c r="Z215" s="83">
        <v>0.05</v>
      </c>
      <c r="AA215" s="83"/>
      <c r="AB215" s="83"/>
      <c r="AC215" s="83">
        <v>0.05</v>
      </c>
      <c r="AD215" s="83"/>
      <c r="AE215" s="83"/>
      <c r="AF215" s="83">
        <v>0.05</v>
      </c>
      <c r="AG215" s="82" t="s">
        <v>535</v>
      </c>
      <c r="AH215" s="82" t="s">
        <v>529</v>
      </c>
      <c r="AI215" s="88" t="s">
        <v>538</v>
      </c>
      <c r="AJ215" s="89" t="s">
        <v>538</v>
      </c>
      <c r="AK215" s="90">
        <v>46023</v>
      </c>
      <c r="AL215" s="90">
        <v>46387</v>
      </c>
      <c r="AM215" s="89"/>
      <c r="AN215" s="89"/>
      <c r="AO215" s="89"/>
      <c r="AP215" s="91" t="s">
        <v>543</v>
      </c>
      <c r="AQ215" s="90" cm="1">
        <f t="array" ref="AQ215">IFERROR(DATE(2026, _xlfn.AGGREGATE(15, 6, (COLUMN(BY215:CJ215)-COLUMN(BY215)+1)/(BY215:CJ215&lt;&gt;0), 1), 1),"N/A")</f>
        <v>46023</v>
      </c>
      <c r="AR215" s="90" cm="1">
        <f t="array" ref="AR215">IFERROR(EOMONTH(DATE(2026, _xlfn.AGGREGATE(14, 6, (COLUMN(BY215:CJ215)-COLUMN(BY215)+1)/(BY215:CJ215&lt;&gt;0), 1), 1), 0),"N/A")</f>
        <v>46387</v>
      </c>
      <c r="AS215" s="89"/>
      <c r="AT215" s="89"/>
      <c r="AU215" s="89"/>
      <c r="AV215" s="89"/>
      <c r="AW215" s="89"/>
      <c r="AX215" s="89"/>
      <c r="AY215" s="89"/>
      <c r="AZ215" s="89"/>
      <c r="BA215" s="89"/>
      <c r="BB215" s="89"/>
      <c r="BC215" s="89"/>
      <c r="BD215" s="89"/>
      <c r="BE215" s="82" t="s">
        <v>681</v>
      </c>
      <c r="BF215" s="82" t="s">
        <v>1066</v>
      </c>
      <c r="BG215" s="82" t="str">
        <f t="shared" si="18"/>
        <v>000</v>
      </c>
      <c r="BH215" s="88">
        <v>710510</v>
      </c>
      <c r="BI215" s="92" t="s">
        <v>706</v>
      </c>
      <c r="BJ215" s="93">
        <v>114600</v>
      </c>
      <c r="BK215" s="94">
        <v>9550</v>
      </c>
      <c r="BL215" s="94">
        <v>9550</v>
      </c>
      <c r="BM215" s="94">
        <v>9550</v>
      </c>
      <c r="BN215" s="72">
        <v>9550</v>
      </c>
      <c r="BO215" s="94">
        <v>9550</v>
      </c>
      <c r="BP215" s="94">
        <v>9550</v>
      </c>
      <c r="BQ215" s="94">
        <v>9550</v>
      </c>
      <c r="BR215" s="94">
        <v>9550</v>
      </c>
      <c r="BS215" s="94">
        <v>9550</v>
      </c>
      <c r="BT215" s="94">
        <v>9550</v>
      </c>
      <c r="BU215" s="94">
        <v>9550</v>
      </c>
      <c r="BV215" s="142">
        <v>9550</v>
      </c>
      <c r="BW215" s="142"/>
      <c r="BX215" s="143">
        <f t="shared" si="23"/>
        <v>114600</v>
      </c>
      <c r="BY215" s="94">
        <v>9550</v>
      </c>
      <c r="BZ215" s="94">
        <v>9550</v>
      </c>
      <c r="CA215" s="94">
        <v>9550</v>
      </c>
      <c r="CB215" s="72">
        <v>9550</v>
      </c>
      <c r="CC215" s="94">
        <v>9550</v>
      </c>
      <c r="CD215" s="94">
        <v>9550</v>
      </c>
      <c r="CE215" s="94">
        <v>9550</v>
      </c>
      <c r="CF215" s="94">
        <v>9550</v>
      </c>
      <c r="CG215" s="94">
        <v>9550</v>
      </c>
      <c r="CH215" s="94">
        <v>9550</v>
      </c>
      <c r="CI215" s="94">
        <v>9550</v>
      </c>
      <c r="CJ215" s="142">
        <v>9550</v>
      </c>
      <c r="CK215" s="142"/>
      <c r="CL215" s="142">
        <f t="shared" si="19"/>
        <v>0</v>
      </c>
      <c r="CM215" s="171">
        <v>8994.91</v>
      </c>
      <c r="CN215" s="171">
        <v>11344.67</v>
      </c>
      <c r="CO215" s="171">
        <v>8994.91</v>
      </c>
      <c r="CP215" s="171">
        <v>8751</v>
      </c>
      <c r="CQ215" s="171">
        <v>10343.67</v>
      </c>
      <c r="CR215" s="171">
        <v>8751</v>
      </c>
      <c r="CS215" s="171">
        <f t="shared" si="20"/>
        <v>17745.91</v>
      </c>
      <c r="CT215" s="171">
        <f t="shared" si="21"/>
        <v>21688.34</v>
      </c>
      <c r="CU215" s="171">
        <f t="shared" si="22"/>
        <v>17745.91</v>
      </c>
      <c r="CV215" s="149"/>
      <c r="CW215" s="149"/>
      <c r="CX215" s="130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  <c r="DI215" s="130"/>
      <c r="DJ215" s="130"/>
      <c r="DK215" s="130"/>
      <c r="DL215" s="130"/>
      <c r="DM215" s="130"/>
      <c r="DN215" s="130"/>
      <c r="DO215" s="130"/>
      <c r="DP215" s="130"/>
      <c r="DQ215" s="130"/>
      <c r="DR215" s="130"/>
      <c r="DS215" s="130"/>
      <c r="DT215" s="130"/>
      <c r="DU215" s="130"/>
      <c r="DV215" s="130"/>
      <c r="DW215" s="130"/>
      <c r="DX215" s="130"/>
      <c r="DY215" s="130"/>
      <c r="DZ215" s="130"/>
      <c r="EA215" s="130"/>
      <c r="EB215" s="130"/>
      <c r="EC215" s="130"/>
      <c r="ED215" s="130"/>
      <c r="EE215" s="130"/>
      <c r="EF215" s="130"/>
      <c r="EG215" s="130"/>
      <c r="EH215" s="130"/>
      <c r="EI215" s="130"/>
      <c r="EJ215" s="130"/>
      <c r="EK215" s="130"/>
      <c r="EL215" s="130"/>
      <c r="EM215" s="130"/>
      <c r="EN215" s="130"/>
      <c r="EO215" s="130"/>
      <c r="EP215" s="130"/>
      <c r="EQ215" s="130"/>
      <c r="ER215" s="130"/>
      <c r="ES215" s="130"/>
      <c r="ET215" s="130"/>
      <c r="EU215" s="172"/>
      <c r="EV215" s="130"/>
      <c r="EW215" s="130"/>
      <c r="EX215" s="130"/>
      <c r="EY215" s="130"/>
      <c r="EZ215" s="130"/>
      <c r="FA215" s="130"/>
      <c r="FB215" s="201"/>
      <c r="FC215" s="201"/>
      <c r="FD215" s="201"/>
      <c r="FE215" s="201"/>
      <c r="FF215" s="201"/>
      <c r="FG215" s="201"/>
      <c r="FH215" s="201"/>
      <c r="FI215" s="201"/>
      <c r="FJ215" s="201"/>
      <c r="FK215" s="201"/>
      <c r="FL215" s="201"/>
      <c r="FM215" s="201"/>
      <c r="FN215" s="201"/>
      <c r="FO215" s="201"/>
      <c r="FP215" s="201"/>
      <c r="FQ215" s="201"/>
      <c r="FR215" s="201"/>
      <c r="FS215" s="201"/>
      <c r="FT215" s="201"/>
      <c r="FU215" s="201"/>
      <c r="FV215" s="201"/>
      <c r="FW215" s="201"/>
      <c r="FX215" s="201"/>
      <c r="FY215" s="201"/>
      <c r="FZ215" s="201"/>
      <c r="GA215" s="201"/>
      <c r="GB215" s="201"/>
      <c r="GC215" s="201"/>
      <c r="GD215" s="201"/>
      <c r="GE215" s="201"/>
      <c r="GF215" s="201"/>
      <c r="GG215" s="201"/>
      <c r="GH215" s="201"/>
      <c r="GI215" s="201"/>
      <c r="GJ215" s="201"/>
      <c r="GK215" s="201"/>
      <c r="GL215" s="201"/>
      <c r="GM215" s="201"/>
      <c r="GN215" s="201"/>
      <c r="GO215" s="201"/>
      <c r="GP215" s="201"/>
      <c r="GQ215" s="201"/>
    </row>
    <row r="216" spans="1:204" s="68" customFormat="1" ht="14.45" customHeight="1" x14ac:dyDescent="0.25">
      <c r="A216" s="68" t="s">
        <v>697</v>
      </c>
      <c r="B216" s="82" t="s">
        <v>154</v>
      </c>
      <c r="C216" s="82" t="s">
        <v>172</v>
      </c>
      <c r="D216" s="95" t="s">
        <v>196</v>
      </c>
      <c r="E216" s="82" t="s">
        <v>5</v>
      </c>
      <c r="F216" s="95" t="s">
        <v>550</v>
      </c>
      <c r="G216" s="82" t="s">
        <v>288</v>
      </c>
      <c r="H216" s="82" t="s">
        <v>551</v>
      </c>
      <c r="I216" s="82" t="s">
        <v>300</v>
      </c>
      <c r="J216" s="82" t="s">
        <v>528</v>
      </c>
      <c r="K216" s="92" t="s">
        <v>326</v>
      </c>
      <c r="L216" s="88" t="s">
        <v>558</v>
      </c>
      <c r="M216" s="88" t="s">
        <v>530</v>
      </c>
      <c r="N216" s="88" t="s">
        <v>7</v>
      </c>
      <c r="O216" s="116" t="s">
        <v>559</v>
      </c>
      <c r="P216" s="116" t="s">
        <v>560</v>
      </c>
      <c r="Q216" s="82" t="s">
        <v>772</v>
      </c>
      <c r="R216" s="82" t="s">
        <v>773</v>
      </c>
      <c r="S216" s="82" t="s">
        <v>774</v>
      </c>
      <c r="T216" s="82" t="s">
        <v>320</v>
      </c>
      <c r="U216" s="83"/>
      <c r="V216" s="83"/>
      <c r="W216" s="83">
        <v>0.05</v>
      </c>
      <c r="X216" s="83"/>
      <c r="Y216" s="83"/>
      <c r="Z216" s="83">
        <v>0.05</v>
      </c>
      <c r="AA216" s="83"/>
      <c r="AB216" s="83"/>
      <c r="AC216" s="83">
        <v>0.05</v>
      </c>
      <c r="AD216" s="83"/>
      <c r="AE216" s="83"/>
      <c r="AF216" s="83">
        <v>0.05</v>
      </c>
      <c r="AG216" s="82" t="s">
        <v>780</v>
      </c>
      <c r="AH216" s="82" t="s">
        <v>530</v>
      </c>
      <c r="AI216" s="88" t="s">
        <v>538</v>
      </c>
      <c r="AJ216" s="89" t="s">
        <v>538</v>
      </c>
      <c r="AK216" s="90">
        <v>46023</v>
      </c>
      <c r="AL216" s="90">
        <v>46387</v>
      </c>
      <c r="AM216" s="89"/>
      <c r="AN216" s="89"/>
      <c r="AO216" s="89"/>
      <c r="AP216" s="187" t="s">
        <v>781</v>
      </c>
      <c r="AQ216" s="90" cm="1">
        <f t="array" ref="AQ216">IFERROR(DATE(2026, _xlfn.AGGREGATE(15, 6, (COLUMN(BY216:CJ216)-COLUMN(BY216)+1)/(BY216:CJ216&lt;&gt;0), 1), 1),"N/A")</f>
        <v>46204</v>
      </c>
      <c r="AR216" s="90" cm="1">
        <f t="array" ref="AR216">IFERROR(EOMONTH(DATE(2026, _xlfn.AGGREGATE(14, 6, (COLUMN(BY216:CJ216)-COLUMN(BY216)+1)/(BY216:CJ216&lt;&gt;0), 1), 1), 0),"N/A")</f>
        <v>46387</v>
      </c>
      <c r="AS216" s="89"/>
      <c r="AT216" s="89"/>
      <c r="AU216" s="89"/>
      <c r="AV216" s="89"/>
      <c r="AW216" s="89"/>
      <c r="AX216" s="89"/>
      <c r="AY216" s="89"/>
      <c r="AZ216" s="89"/>
      <c r="BA216" s="89"/>
      <c r="BB216" s="89"/>
      <c r="BC216" s="89"/>
      <c r="BD216" s="89"/>
      <c r="BE216" s="82" t="s">
        <v>685</v>
      </c>
      <c r="BF216" s="82" t="s">
        <v>734</v>
      </c>
      <c r="BG216" s="82" t="str">
        <f t="shared" si="18"/>
        <v>000</v>
      </c>
      <c r="BH216" s="88">
        <v>730207</v>
      </c>
      <c r="BI216" s="92" t="s">
        <v>706</v>
      </c>
      <c r="BJ216" s="93">
        <v>302000</v>
      </c>
      <c r="BK216" s="74">
        <v>0</v>
      </c>
      <c r="BL216" s="74">
        <v>0</v>
      </c>
      <c r="BM216" s="74">
        <v>0</v>
      </c>
      <c r="BN216" s="74">
        <v>0</v>
      </c>
      <c r="BO216" s="74">
        <v>0</v>
      </c>
      <c r="BP216" s="74">
        <v>0</v>
      </c>
      <c r="BQ216" s="94">
        <v>151000</v>
      </c>
      <c r="BR216" s="74">
        <v>0</v>
      </c>
      <c r="BS216" s="74">
        <v>0</v>
      </c>
      <c r="BT216" s="74">
        <v>0</v>
      </c>
      <c r="BU216" s="74">
        <v>0</v>
      </c>
      <c r="BV216" s="142">
        <v>151000</v>
      </c>
      <c r="BW216" s="142">
        <v>-67200</v>
      </c>
      <c r="BX216" s="143">
        <f t="shared" si="23"/>
        <v>234800</v>
      </c>
      <c r="BY216" s="74">
        <v>0</v>
      </c>
      <c r="BZ216" s="74">
        <v>0</v>
      </c>
      <c r="CA216" s="74">
        <v>0</v>
      </c>
      <c r="CB216" s="74">
        <v>0</v>
      </c>
      <c r="CC216" s="74">
        <v>0</v>
      </c>
      <c r="CD216" s="74">
        <v>0</v>
      </c>
      <c r="CE216" s="94">
        <v>117400</v>
      </c>
      <c r="CF216" s="74">
        <v>0</v>
      </c>
      <c r="CG216" s="74">
        <v>0</v>
      </c>
      <c r="CH216" s="74">
        <v>0</v>
      </c>
      <c r="CI216" s="74">
        <v>0</v>
      </c>
      <c r="CJ216" s="142">
        <v>117400</v>
      </c>
      <c r="CK216" s="142"/>
      <c r="CL216" s="142">
        <f t="shared" si="19"/>
        <v>0</v>
      </c>
      <c r="CM216" s="171">
        <v>0</v>
      </c>
      <c r="CN216" s="171">
        <v>234800</v>
      </c>
      <c r="CO216" s="171">
        <v>0</v>
      </c>
      <c r="CP216" s="171">
        <v>0</v>
      </c>
      <c r="CQ216" s="171">
        <v>234800</v>
      </c>
      <c r="CR216" s="171">
        <v>0</v>
      </c>
      <c r="CS216" s="171">
        <f t="shared" si="20"/>
        <v>0</v>
      </c>
      <c r="CT216" s="171">
        <f t="shared" si="21"/>
        <v>469600</v>
      </c>
      <c r="CU216" s="171">
        <f t="shared" si="22"/>
        <v>0</v>
      </c>
      <c r="CV216" s="149"/>
      <c r="CW216" s="149"/>
      <c r="CX216" s="130"/>
      <c r="CY216" s="130"/>
      <c r="CZ216" s="130"/>
      <c r="DA216" s="130"/>
      <c r="DB216" s="130"/>
      <c r="DC216" s="130"/>
      <c r="DD216" s="130" t="s">
        <v>848</v>
      </c>
      <c r="DE216" s="130"/>
      <c r="DF216" s="130"/>
      <c r="DG216" s="130"/>
      <c r="DH216" s="130"/>
      <c r="DI216" s="130"/>
      <c r="DJ216" s="130"/>
      <c r="DK216" s="130"/>
      <c r="DL216" s="130"/>
      <c r="DM216" s="130"/>
      <c r="DN216" s="130"/>
      <c r="DO216" s="130"/>
      <c r="DP216" s="130"/>
      <c r="DQ216" s="130"/>
      <c r="DR216" s="130"/>
      <c r="DS216" s="130"/>
      <c r="DT216" s="130"/>
      <c r="DU216" s="130"/>
      <c r="DV216" s="130"/>
      <c r="DW216" s="130"/>
      <c r="DX216" s="130"/>
      <c r="DY216" s="130"/>
      <c r="DZ216" s="130"/>
      <c r="EA216" s="130"/>
      <c r="EB216" s="130"/>
      <c r="EC216" s="130"/>
      <c r="ED216" s="130"/>
      <c r="EE216" s="130"/>
      <c r="EF216" s="130"/>
      <c r="EG216" s="130"/>
      <c r="EH216" s="130"/>
      <c r="EI216" s="130"/>
      <c r="EJ216" s="130"/>
      <c r="EK216" s="130"/>
      <c r="EL216" s="130"/>
      <c r="EM216" s="130"/>
      <c r="EN216" s="130"/>
      <c r="EO216" s="130"/>
      <c r="EP216" s="130"/>
      <c r="EQ216" s="130"/>
      <c r="ER216" s="130"/>
      <c r="ES216" s="130"/>
      <c r="ET216" s="130"/>
      <c r="EU216" s="172">
        <v>46174</v>
      </c>
      <c r="EV216" s="130"/>
      <c r="EW216" s="130"/>
      <c r="EX216" s="130"/>
      <c r="EY216" s="130"/>
      <c r="EZ216" s="130"/>
      <c r="FA216" s="130"/>
      <c r="FB216" s="201"/>
      <c r="FC216" s="201"/>
      <c r="FD216" s="201"/>
      <c r="FE216" s="201"/>
      <c r="FF216" s="201"/>
      <c r="FG216" s="201"/>
      <c r="FH216" s="201"/>
      <c r="FI216" s="201"/>
      <c r="FJ216" s="201"/>
      <c r="FK216" s="201"/>
      <c r="FL216" s="201"/>
      <c r="FM216" s="201"/>
      <c r="FN216" s="201"/>
      <c r="FO216" s="201"/>
      <c r="FP216" s="201"/>
      <c r="FQ216" s="201"/>
      <c r="FR216" s="201"/>
      <c r="FS216" s="201"/>
      <c r="FT216" s="201"/>
      <c r="FU216" s="201"/>
      <c r="FV216" s="201"/>
      <c r="FW216" s="201"/>
      <c r="FX216" s="201"/>
      <c r="FY216" s="201"/>
      <c r="FZ216" s="201"/>
      <c r="GA216" s="201"/>
      <c r="GB216" s="201"/>
      <c r="GC216" s="201"/>
      <c r="GD216" s="201"/>
      <c r="GE216" s="201"/>
      <c r="GF216" s="201"/>
      <c r="GG216" s="201"/>
      <c r="GH216" s="201"/>
      <c r="GI216" s="201"/>
      <c r="GJ216" s="201"/>
      <c r="GK216" s="201"/>
      <c r="GL216" s="201"/>
      <c r="GM216" s="201"/>
      <c r="GN216" s="201"/>
      <c r="GO216" s="201"/>
      <c r="GP216" s="201"/>
      <c r="GQ216" s="201"/>
    </row>
    <row r="217" spans="1:204" s="68" customFormat="1" ht="14.45" customHeight="1" x14ac:dyDescent="0.25">
      <c r="A217" s="68" t="s">
        <v>695</v>
      </c>
      <c r="B217" s="82" t="s">
        <v>154</v>
      </c>
      <c r="C217" s="82" t="s">
        <v>172</v>
      </c>
      <c r="D217" s="95" t="s">
        <v>196</v>
      </c>
      <c r="E217" s="82" t="s">
        <v>5</v>
      </c>
      <c r="F217" s="95" t="s">
        <v>550</v>
      </c>
      <c r="G217" s="82" t="s">
        <v>288</v>
      </c>
      <c r="H217" s="82" t="s">
        <v>551</v>
      </c>
      <c r="I217" s="82" t="s">
        <v>300</v>
      </c>
      <c r="J217" s="82" t="s">
        <v>528</v>
      </c>
      <c r="K217" s="92" t="s">
        <v>326</v>
      </c>
      <c r="L217" s="88" t="s">
        <v>558</v>
      </c>
      <c r="M217" s="88" t="s">
        <v>530</v>
      </c>
      <c r="N217" s="88" t="s">
        <v>7</v>
      </c>
      <c r="O217" s="116" t="s">
        <v>559</v>
      </c>
      <c r="P217" s="116" t="s">
        <v>560</v>
      </c>
      <c r="Q217" s="82" t="s">
        <v>772</v>
      </c>
      <c r="R217" s="82" t="s">
        <v>773</v>
      </c>
      <c r="S217" s="82" t="s">
        <v>774</v>
      </c>
      <c r="T217" s="82" t="s">
        <v>320</v>
      </c>
      <c r="U217" s="83"/>
      <c r="V217" s="83"/>
      <c r="W217" s="83">
        <v>0.05</v>
      </c>
      <c r="X217" s="83"/>
      <c r="Y217" s="83"/>
      <c r="Z217" s="83">
        <v>0.05</v>
      </c>
      <c r="AA217" s="83"/>
      <c r="AB217" s="83"/>
      <c r="AC217" s="83">
        <v>0.05</v>
      </c>
      <c r="AD217" s="83"/>
      <c r="AE217" s="83"/>
      <c r="AF217" s="83">
        <v>0.05</v>
      </c>
      <c r="AG217" s="82" t="s">
        <v>535</v>
      </c>
      <c r="AH217" s="82" t="s">
        <v>529</v>
      </c>
      <c r="AI217" s="88" t="s">
        <v>538</v>
      </c>
      <c r="AJ217" s="89" t="s">
        <v>538</v>
      </c>
      <c r="AK217" s="90">
        <v>46023</v>
      </c>
      <c r="AL217" s="90">
        <v>46387</v>
      </c>
      <c r="AM217" s="89"/>
      <c r="AN217" s="89"/>
      <c r="AO217" s="89"/>
      <c r="AP217" s="187" t="s">
        <v>545</v>
      </c>
      <c r="AQ217" s="90" cm="1">
        <f t="array" ref="AQ217">IFERROR(DATE(2026, _xlfn.AGGREGATE(15, 6, (COLUMN(BY217:CJ217)-COLUMN(BY217)+1)/(BY217:CJ217&lt;&gt;0), 1), 1),"N/A")</f>
        <v>46174</v>
      </c>
      <c r="AR217" s="90" cm="1">
        <f t="array" ref="AR217">IFERROR(EOMONTH(DATE(2026, _xlfn.AGGREGATE(14, 6, (COLUMN(BY217:CJ217)-COLUMN(BY217)+1)/(BY217:CJ217&lt;&gt;0), 1), 1), 0),"N/A")</f>
        <v>46203</v>
      </c>
      <c r="AS217" s="89"/>
      <c r="AT217" s="89"/>
      <c r="AU217" s="89"/>
      <c r="AV217" s="89"/>
      <c r="AW217" s="89"/>
      <c r="AX217" s="89"/>
      <c r="AY217" s="89"/>
      <c r="AZ217" s="89"/>
      <c r="BA217" s="89"/>
      <c r="BB217" s="89"/>
      <c r="BC217" s="89"/>
      <c r="BD217" s="89"/>
      <c r="BE217" s="82" t="s">
        <v>722</v>
      </c>
      <c r="BF217" s="82" t="s">
        <v>1080</v>
      </c>
      <c r="BG217" s="82" t="str">
        <f t="shared" si="18"/>
        <v>000</v>
      </c>
      <c r="BH217" s="88">
        <v>730249</v>
      </c>
      <c r="BI217" s="92" t="s">
        <v>706</v>
      </c>
      <c r="BJ217" s="93">
        <v>40000</v>
      </c>
      <c r="BK217" s="74">
        <v>0</v>
      </c>
      <c r="BL217" s="74">
        <v>0</v>
      </c>
      <c r="BM217" s="74">
        <v>0</v>
      </c>
      <c r="BN217" s="74">
        <v>0</v>
      </c>
      <c r="BO217" s="74">
        <v>0</v>
      </c>
      <c r="BP217" s="94">
        <v>40000</v>
      </c>
      <c r="BQ217" s="74">
        <v>0</v>
      </c>
      <c r="BR217" s="74">
        <v>0</v>
      </c>
      <c r="BS217" s="74">
        <v>0</v>
      </c>
      <c r="BT217" s="74">
        <v>0</v>
      </c>
      <c r="BU217" s="74">
        <v>0</v>
      </c>
      <c r="BV217" s="143">
        <v>0</v>
      </c>
      <c r="BW217" s="143"/>
      <c r="BX217" s="143">
        <f t="shared" si="23"/>
        <v>40000</v>
      </c>
      <c r="BY217" s="74">
        <v>0</v>
      </c>
      <c r="BZ217" s="74">
        <v>0</v>
      </c>
      <c r="CA217" s="74">
        <v>0</v>
      </c>
      <c r="CB217" s="74">
        <v>0</v>
      </c>
      <c r="CC217" s="74">
        <v>0</v>
      </c>
      <c r="CD217" s="94">
        <v>40000</v>
      </c>
      <c r="CE217" s="74">
        <v>0</v>
      </c>
      <c r="CF217" s="74">
        <v>0</v>
      </c>
      <c r="CG217" s="74">
        <v>0</v>
      </c>
      <c r="CH217" s="74">
        <v>0</v>
      </c>
      <c r="CI217" s="74">
        <v>0</v>
      </c>
      <c r="CJ217" s="143">
        <v>0</v>
      </c>
      <c r="CK217" s="143"/>
      <c r="CL217" s="142">
        <f t="shared" si="19"/>
        <v>0</v>
      </c>
      <c r="CM217" s="171">
        <v>0</v>
      </c>
      <c r="CN217" s="171">
        <v>0</v>
      </c>
      <c r="CO217" s="171">
        <v>0</v>
      </c>
      <c r="CP217" s="171">
        <v>0</v>
      </c>
      <c r="CQ217" s="171">
        <v>0</v>
      </c>
      <c r="CR217" s="171">
        <v>0</v>
      </c>
      <c r="CS217" s="171">
        <f t="shared" si="20"/>
        <v>0</v>
      </c>
      <c r="CT217" s="171">
        <f t="shared" si="21"/>
        <v>0</v>
      </c>
      <c r="CU217" s="171">
        <f t="shared" si="22"/>
        <v>0</v>
      </c>
      <c r="CV217" s="152">
        <v>40000</v>
      </c>
      <c r="CW217" s="194">
        <v>40000</v>
      </c>
      <c r="CX217" s="130">
        <v>1</v>
      </c>
      <c r="CY217" s="130">
        <v>1</v>
      </c>
      <c r="CZ217" s="130" t="s">
        <v>321</v>
      </c>
      <c r="DA217" s="130" t="s">
        <v>863</v>
      </c>
      <c r="DB217" s="130" t="s">
        <v>850</v>
      </c>
      <c r="DC217" s="130" t="s">
        <v>909</v>
      </c>
      <c r="DD217" s="130"/>
      <c r="DE217" s="131">
        <v>46086</v>
      </c>
      <c r="DF217" s="131">
        <v>46086</v>
      </c>
      <c r="DG217" s="132">
        <v>1</v>
      </c>
      <c r="DH217" s="131">
        <v>46087</v>
      </c>
      <c r="DI217" s="131">
        <v>46087</v>
      </c>
      <c r="DJ217" s="131">
        <v>46087</v>
      </c>
      <c r="DK217" s="131">
        <v>46090</v>
      </c>
      <c r="DL217" s="131">
        <v>46091</v>
      </c>
      <c r="DM217" s="131">
        <v>46092</v>
      </c>
      <c r="DN217" s="131">
        <v>46093</v>
      </c>
      <c r="DO217" s="131">
        <v>46094</v>
      </c>
      <c r="DP217" s="131">
        <v>46097</v>
      </c>
      <c r="DQ217" s="131">
        <v>46097</v>
      </c>
      <c r="DR217" s="132">
        <v>1</v>
      </c>
      <c r="DS217" s="131">
        <v>46098</v>
      </c>
      <c r="DT217" s="131">
        <v>46099</v>
      </c>
      <c r="DU217" s="131">
        <v>46100</v>
      </c>
      <c r="DV217" s="131">
        <v>46101</v>
      </c>
      <c r="DW217" s="131">
        <v>46101</v>
      </c>
      <c r="DX217" s="131">
        <v>46104</v>
      </c>
      <c r="DY217" s="131">
        <v>46104</v>
      </c>
      <c r="DZ217" s="132"/>
      <c r="EA217" s="132"/>
      <c r="EB217" s="132"/>
      <c r="EC217" s="132"/>
      <c r="ED217" s="131">
        <v>46105</v>
      </c>
      <c r="EE217" s="131">
        <v>46106</v>
      </c>
      <c r="EF217" s="131">
        <v>46106</v>
      </c>
      <c r="EG217" s="131">
        <v>46107</v>
      </c>
      <c r="EH217" s="131">
        <v>46108</v>
      </c>
      <c r="EI217" s="131">
        <v>46111</v>
      </c>
      <c r="EJ217" s="131">
        <v>46112</v>
      </c>
      <c r="EK217" s="131">
        <v>46112</v>
      </c>
      <c r="EL217" s="132">
        <v>18</v>
      </c>
      <c r="EM217" s="131">
        <v>46114</v>
      </c>
      <c r="EN217" s="131">
        <v>46118</v>
      </c>
      <c r="EO217" s="133">
        <v>46120</v>
      </c>
      <c r="EP217" s="133">
        <v>46121</v>
      </c>
      <c r="EQ217" s="133">
        <v>46122</v>
      </c>
      <c r="ER217" s="133">
        <v>46126</v>
      </c>
      <c r="ES217" s="133">
        <v>46127</v>
      </c>
      <c r="ET217" s="133">
        <v>46127</v>
      </c>
      <c r="EU217" s="133">
        <v>46132</v>
      </c>
      <c r="EV217" s="134">
        <v>1</v>
      </c>
      <c r="EW217" s="133">
        <v>46135</v>
      </c>
      <c r="EX217" s="133"/>
      <c r="EY217" s="154" t="s">
        <v>863</v>
      </c>
      <c r="EZ217" s="132" t="s">
        <v>912</v>
      </c>
      <c r="FA217" s="130"/>
      <c r="FB217" s="203">
        <v>46086</v>
      </c>
      <c r="FC217" s="203">
        <v>46086</v>
      </c>
      <c r="FD217" s="203">
        <v>46087</v>
      </c>
      <c r="FE217" s="203">
        <v>46087</v>
      </c>
      <c r="FF217" s="203">
        <v>46087</v>
      </c>
      <c r="FG217" s="203">
        <v>46090</v>
      </c>
      <c r="FH217" s="203">
        <v>46091</v>
      </c>
      <c r="FI217" s="203">
        <v>46092</v>
      </c>
      <c r="FJ217" s="203">
        <v>46093</v>
      </c>
      <c r="FK217" s="203">
        <v>46094</v>
      </c>
      <c r="FL217" s="203">
        <v>46097</v>
      </c>
      <c r="FM217" s="203">
        <v>46097</v>
      </c>
      <c r="FN217" s="203">
        <v>46098</v>
      </c>
      <c r="FO217" s="203">
        <v>46099</v>
      </c>
      <c r="FP217" s="203">
        <v>46100</v>
      </c>
      <c r="FQ217" s="203">
        <v>46101</v>
      </c>
      <c r="FR217" s="203">
        <v>46101</v>
      </c>
      <c r="FS217" s="203">
        <v>46104</v>
      </c>
      <c r="FT217" s="203">
        <v>46104</v>
      </c>
      <c r="FU217" s="203"/>
      <c r="FV217" s="203"/>
      <c r="FW217" s="203"/>
      <c r="FX217" s="203"/>
      <c r="FY217" s="203">
        <v>46105</v>
      </c>
      <c r="FZ217" s="203">
        <v>46106</v>
      </c>
      <c r="GA217" s="203">
        <v>46106</v>
      </c>
      <c r="GB217" s="203">
        <v>46107</v>
      </c>
      <c r="GC217" s="203">
        <v>46108</v>
      </c>
      <c r="GD217" s="203">
        <v>46111</v>
      </c>
      <c r="GE217" s="203">
        <v>46112</v>
      </c>
      <c r="GF217" s="203">
        <v>46112</v>
      </c>
      <c r="GG217" s="203">
        <v>18</v>
      </c>
      <c r="GH217" s="203">
        <v>46114</v>
      </c>
      <c r="GI217" s="203">
        <v>46118</v>
      </c>
      <c r="GJ217" s="203">
        <v>46120</v>
      </c>
      <c r="GK217" s="203">
        <v>46121</v>
      </c>
      <c r="GL217" s="203">
        <v>46122</v>
      </c>
      <c r="GM217" s="203">
        <v>46126</v>
      </c>
      <c r="GN217" s="203">
        <v>46127</v>
      </c>
      <c r="GO217" s="203">
        <v>46127</v>
      </c>
      <c r="GP217" s="203">
        <v>46132</v>
      </c>
      <c r="GQ217" s="203">
        <v>46135</v>
      </c>
      <c r="GR217" s="187"/>
      <c r="GS217" s="187" t="s">
        <v>1180</v>
      </c>
      <c r="GT217" s="187" t="s">
        <v>863</v>
      </c>
      <c r="GU217" s="187" t="s">
        <v>912</v>
      </c>
      <c r="GV217" s="187" t="s">
        <v>1173</v>
      </c>
    </row>
    <row r="218" spans="1:204" s="68" customFormat="1" ht="14.45" customHeight="1" x14ac:dyDescent="0.25">
      <c r="A218" s="68" t="s">
        <v>694</v>
      </c>
      <c r="B218" s="82" t="s">
        <v>154</v>
      </c>
      <c r="C218" s="82" t="s">
        <v>172</v>
      </c>
      <c r="D218" s="95" t="s">
        <v>196</v>
      </c>
      <c r="E218" s="82" t="s">
        <v>5</v>
      </c>
      <c r="F218" s="95" t="s">
        <v>550</v>
      </c>
      <c r="G218" s="82" t="s">
        <v>288</v>
      </c>
      <c r="H218" s="82" t="s">
        <v>551</v>
      </c>
      <c r="I218" s="82" t="s">
        <v>300</v>
      </c>
      <c r="J218" s="82" t="s">
        <v>528</v>
      </c>
      <c r="K218" s="92" t="s">
        <v>326</v>
      </c>
      <c r="L218" s="88" t="s">
        <v>558</v>
      </c>
      <c r="M218" s="88" t="s">
        <v>530</v>
      </c>
      <c r="N218" s="88" t="s">
        <v>7</v>
      </c>
      <c r="O218" s="116" t="s">
        <v>559</v>
      </c>
      <c r="P218" s="88" t="s">
        <v>561</v>
      </c>
      <c r="Q218" s="82" t="s">
        <v>775</v>
      </c>
      <c r="R218" s="82" t="s">
        <v>776</v>
      </c>
      <c r="S218" s="82" t="s">
        <v>777</v>
      </c>
      <c r="T218" s="82" t="s">
        <v>2</v>
      </c>
      <c r="U218" s="83">
        <v>0</v>
      </c>
      <c r="V218" s="83">
        <v>0</v>
      </c>
      <c r="W218" s="83">
        <v>0.2</v>
      </c>
      <c r="X218" s="83">
        <v>0.2</v>
      </c>
      <c r="Y218" s="83">
        <v>0.2</v>
      </c>
      <c r="Z218" s="83">
        <v>0.4</v>
      </c>
      <c r="AA218" s="83">
        <v>0.4</v>
      </c>
      <c r="AB218" s="83">
        <v>0.4</v>
      </c>
      <c r="AC218" s="83">
        <v>0.7</v>
      </c>
      <c r="AD218" s="83">
        <v>0.7</v>
      </c>
      <c r="AE218" s="83">
        <v>0.7</v>
      </c>
      <c r="AF218" s="83">
        <v>1</v>
      </c>
      <c r="AG218" s="82" t="s">
        <v>537</v>
      </c>
      <c r="AH218" s="82" t="s">
        <v>529</v>
      </c>
      <c r="AI218" s="88" t="s">
        <v>538</v>
      </c>
      <c r="AJ218" s="89" t="s">
        <v>538</v>
      </c>
      <c r="AK218" s="90">
        <v>46174</v>
      </c>
      <c r="AL218" s="90">
        <v>46326</v>
      </c>
      <c r="AM218" s="89"/>
      <c r="AN218" s="89"/>
      <c r="AO218" s="89"/>
      <c r="AP218" s="187" t="s">
        <v>547</v>
      </c>
      <c r="AQ218" s="90" t="str" cm="1">
        <f t="array" ref="AQ218">IFERROR(DATE(2026, _xlfn.AGGREGATE(15, 6, (COLUMN(BY218:CJ218)-COLUMN(BY218)+1)/(BY218:CJ218&lt;&gt;0), 1), 1),"N/A")</f>
        <v>N/A</v>
      </c>
      <c r="AR218" s="90" t="str" cm="1">
        <f t="array" ref="AR218">IFERROR(EOMONTH(DATE(2026, _xlfn.AGGREGATE(14, 6, (COLUMN(BY218:CJ218)-COLUMN(BY218)+1)/(BY218:CJ218&lt;&gt;0), 1), 1), 0),"N/A")</f>
        <v>N/A</v>
      </c>
      <c r="AS218" s="89"/>
      <c r="AT218" s="89"/>
      <c r="AU218" s="89"/>
      <c r="AV218" s="89"/>
      <c r="AW218" s="89"/>
      <c r="AX218" s="89"/>
      <c r="AY218" s="89"/>
      <c r="AZ218" s="89"/>
      <c r="BA218" s="89"/>
      <c r="BB218" s="89"/>
      <c r="BC218" s="89"/>
      <c r="BD218" s="89"/>
      <c r="BE218" s="82" t="s">
        <v>709</v>
      </c>
      <c r="BF218" s="82" t="s">
        <v>1076</v>
      </c>
      <c r="BG218" s="82" t="str">
        <f t="shared" si="18"/>
        <v>000</v>
      </c>
      <c r="BH218" s="88">
        <v>730601</v>
      </c>
      <c r="BI218" s="92" t="s">
        <v>706</v>
      </c>
      <c r="BJ218" s="93">
        <v>120000</v>
      </c>
      <c r="BK218" s="74">
        <v>0</v>
      </c>
      <c r="BL218" s="74">
        <v>0</v>
      </c>
      <c r="BM218" s="74">
        <v>0</v>
      </c>
      <c r="BN218" s="74">
        <v>0</v>
      </c>
      <c r="BO218" s="74">
        <v>0</v>
      </c>
      <c r="BP218" s="74">
        <v>0</v>
      </c>
      <c r="BQ218" s="74">
        <v>0</v>
      </c>
      <c r="BR218" s="74">
        <v>0</v>
      </c>
      <c r="BS218" s="74">
        <v>0</v>
      </c>
      <c r="BT218" s="74">
        <v>0</v>
      </c>
      <c r="BU218" s="74">
        <v>120000</v>
      </c>
      <c r="BV218" s="143">
        <v>0</v>
      </c>
      <c r="BW218" s="143">
        <v>-120000</v>
      </c>
      <c r="BX218" s="143">
        <f t="shared" si="23"/>
        <v>0</v>
      </c>
      <c r="BY218" s="74">
        <v>0</v>
      </c>
      <c r="BZ218" s="74">
        <v>0</v>
      </c>
      <c r="CA218" s="74">
        <v>0</v>
      </c>
      <c r="CB218" s="74">
        <v>0</v>
      </c>
      <c r="CC218" s="74">
        <v>0</v>
      </c>
      <c r="CD218" s="74">
        <v>0</v>
      </c>
      <c r="CE218" s="74">
        <v>0</v>
      </c>
      <c r="CF218" s="74">
        <v>0</v>
      </c>
      <c r="CG218" s="74">
        <v>0</v>
      </c>
      <c r="CH218" s="74">
        <v>0</v>
      </c>
      <c r="CI218" s="74">
        <v>0</v>
      </c>
      <c r="CJ218" s="143">
        <v>0</v>
      </c>
      <c r="CK218" s="143"/>
      <c r="CL218" s="142">
        <f t="shared" si="19"/>
        <v>0</v>
      </c>
      <c r="CM218" s="171">
        <v>0</v>
      </c>
      <c r="CN218" s="171">
        <v>0</v>
      </c>
      <c r="CO218" s="171">
        <v>0</v>
      </c>
      <c r="CP218" s="171">
        <v>0</v>
      </c>
      <c r="CQ218" s="171">
        <v>0</v>
      </c>
      <c r="CR218" s="171">
        <v>0</v>
      </c>
      <c r="CS218" s="171">
        <f t="shared" si="20"/>
        <v>0</v>
      </c>
      <c r="CT218" s="171">
        <f t="shared" si="21"/>
        <v>0</v>
      </c>
      <c r="CU218" s="171">
        <f t="shared" si="22"/>
        <v>0</v>
      </c>
      <c r="CV218" s="152">
        <v>120000</v>
      </c>
      <c r="CW218" s="149">
        <v>0</v>
      </c>
      <c r="CX218" s="130">
        <v>2</v>
      </c>
      <c r="CY218" s="130">
        <v>0</v>
      </c>
      <c r="CZ218" s="130" t="s">
        <v>321</v>
      </c>
      <c r="DA218" s="130" t="s">
        <v>872</v>
      </c>
      <c r="DB218" s="130" t="s">
        <v>850</v>
      </c>
      <c r="DC218" s="130" t="s">
        <v>909</v>
      </c>
      <c r="DD218" s="130"/>
      <c r="DE218" s="131">
        <v>46183</v>
      </c>
      <c r="DF218" s="131">
        <v>46183</v>
      </c>
      <c r="DG218" s="132">
        <v>2</v>
      </c>
      <c r="DH218" s="131">
        <v>46184</v>
      </c>
      <c r="DI218" s="131">
        <v>46184</v>
      </c>
      <c r="DJ218" s="131">
        <v>46184</v>
      </c>
      <c r="DK218" s="131">
        <v>46185</v>
      </c>
      <c r="DL218" s="131">
        <v>46188</v>
      </c>
      <c r="DM218" s="131">
        <v>46189</v>
      </c>
      <c r="DN218" s="131">
        <v>46190</v>
      </c>
      <c r="DO218" s="131">
        <v>46191</v>
      </c>
      <c r="DP218" s="131">
        <v>46192</v>
      </c>
      <c r="DQ218" s="131">
        <v>46192</v>
      </c>
      <c r="DR218" s="132">
        <v>2</v>
      </c>
      <c r="DS218" s="131">
        <v>46195</v>
      </c>
      <c r="DT218" s="131">
        <v>46196</v>
      </c>
      <c r="DU218" s="131">
        <v>46197</v>
      </c>
      <c r="DV218" s="131">
        <v>46198</v>
      </c>
      <c r="DW218" s="131">
        <v>46198</v>
      </c>
      <c r="DX218" s="131">
        <v>46199</v>
      </c>
      <c r="DY218" s="131">
        <v>46199</v>
      </c>
      <c r="DZ218" s="132"/>
      <c r="EA218" s="132"/>
      <c r="EB218" s="132"/>
      <c r="EC218" s="132"/>
      <c r="ED218" s="131">
        <v>46202</v>
      </c>
      <c r="EE218" s="131">
        <v>46203</v>
      </c>
      <c r="EF218" s="131">
        <v>46203</v>
      </c>
      <c r="EG218" s="131">
        <v>46204</v>
      </c>
      <c r="EH218" s="131">
        <v>46205</v>
      </c>
      <c r="EI218" s="131">
        <v>46206</v>
      </c>
      <c r="EJ218" s="131">
        <v>46209</v>
      </c>
      <c r="EK218" s="131">
        <v>46209</v>
      </c>
      <c r="EL218" s="132">
        <v>18</v>
      </c>
      <c r="EM218" s="133">
        <v>46213</v>
      </c>
      <c r="EN218" s="131">
        <v>46217</v>
      </c>
      <c r="EO218" s="133">
        <v>46223</v>
      </c>
      <c r="EP218" s="133">
        <v>46224</v>
      </c>
      <c r="EQ218" s="133">
        <v>46225</v>
      </c>
      <c r="ER218" s="133">
        <v>46227</v>
      </c>
      <c r="ES218" s="133">
        <v>46230</v>
      </c>
      <c r="ET218" s="133">
        <v>46230</v>
      </c>
      <c r="EU218" s="133">
        <v>46233</v>
      </c>
      <c r="EV218" s="134">
        <v>2</v>
      </c>
      <c r="EW218" s="133">
        <v>46238</v>
      </c>
      <c r="EX218" s="133"/>
      <c r="EY218" s="154" t="s">
        <v>872</v>
      </c>
      <c r="EZ218" s="132" t="s">
        <v>913</v>
      </c>
      <c r="FA218" s="136"/>
      <c r="FB218" s="202" t="e">
        <v>#NUM!</v>
      </c>
      <c r="FC218" s="202" t="e">
        <v>#NUM!</v>
      </c>
      <c r="FD218" s="202" t="e">
        <v>#NUM!</v>
      </c>
      <c r="FE218" s="202" t="e">
        <v>#NUM!</v>
      </c>
      <c r="FF218" s="202" t="e">
        <v>#NUM!</v>
      </c>
      <c r="FG218" s="202" t="e">
        <v>#NUM!</v>
      </c>
      <c r="FH218" s="202" t="e">
        <v>#NUM!</v>
      </c>
      <c r="FI218" s="202" t="e">
        <v>#NUM!</v>
      </c>
      <c r="FJ218" s="202" t="e">
        <v>#NUM!</v>
      </c>
      <c r="FK218" s="202" t="e">
        <v>#NUM!</v>
      </c>
      <c r="FL218" s="202" t="e">
        <v>#NUM!</v>
      </c>
      <c r="FM218" s="202" t="e">
        <v>#NUM!</v>
      </c>
      <c r="FN218" s="202" t="e">
        <v>#NUM!</v>
      </c>
      <c r="FO218" s="202" t="e">
        <v>#NUM!</v>
      </c>
      <c r="FP218" s="202" t="e">
        <v>#NUM!</v>
      </c>
      <c r="FQ218" s="202" t="e">
        <v>#NUM!</v>
      </c>
      <c r="FR218" s="202" t="e">
        <v>#NUM!</v>
      </c>
      <c r="FS218" s="202" t="e">
        <v>#NUM!</v>
      </c>
      <c r="FT218" s="202" t="e">
        <v>#NUM!</v>
      </c>
      <c r="FU218" s="202"/>
      <c r="FV218" s="202"/>
      <c r="FW218" s="202"/>
      <c r="FX218" s="202"/>
      <c r="FY218" s="202" t="e">
        <v>#NUM!</v>
      </c>
      <c r="FZ218" s="202" t="e">
        <v>#NUM!</v>
      </c>
      <c r="GA218" s="202" t="e">
        <v>#NUM!</v>
      </c>
      <c r="GB218" s="202" t="e">
        <v>#NUM!</v>
      </c>
      <c r="GC218" s="202" t="e">
        <v>#NUM!</v>
      </c>
      <c r="GD218" s="202" t="e">
        <v>#NUM!</v>
      </c>
      <c r="GE218" s="202" t="e">
        <v>#NUM!</v>
      </c>
      <c r="GF218" s="202"/>
      <c r="GG218" s="202">
        <v>18</v>
      </c>
      <c r="GH218" s="202">
        <v>5</v>
      </c>
      <c r="GI218" s="202">
        <v>9</v>
      </c>
      <c r="GJ218" s="202">
        <v>13</v>
      </c>
      <c r="GK218" s="202">
        <v>16</v>
      </c>
      <c r="GL218" s="202">
        <v>17</v>
      </c>
      <c r="GM218" s="202">
        <v>19</v>
      </c>
      <c r="GN218" s="202">
        <v>20</v>
      </c>
      <c r="GO218" s="202">
        <v>20</v>
      </c>
      <c r="GP218" s="202">
        <v>25</v>
      </c>
      <c r="GQ218" s="202"/>
      <c r="GR218" s="189"/>
      <c r="GS218" s="189"/>
      <c r="GT218" s="189"/>
      <c r="GU218" s="189"/>
      <c r="GV218" s="189" t="s">
        <v>1165</v>
      </c>
    </row>
    <row r="219" spans="1:204" s="68" customFormat="1" ht="14.45" customHeight="1" x14ac:dyDescent="0.25">
      <c r="A219" s="68" t="s">
        <v>697</v>
      </c>
      <c r="B219" s="82" t="s">
        <v>154</v>
      </c>
      <c r="C219" s="82" t="s">
        <v>172</v>
      </c>
      <c r="D219" s="95" t="s">
        <v>196</v>
      </c>
      <c r="E219" s="82" t="s">
        <v>5</v>
      </c>
      <c r="F219" s="95" t="s">
        <v>550</v>
      </c>
      <c r="G219" s="82" t="s">
        <v>288</v>
      </c>
      <c r="H219" s="82" t="s">
        <v>551</v>
      </c>
      <c r="I219" s="82" t="s">
        <v>300</v>
      </c>
      <c r="J219" s="82" t="s">
        <v>528</v>
      </c>
      <c r="K219" s="92" t="s">
        <v>326</v>
      </c>
      <c r="L219" s="88" t="s">
        <v>558</v>
      </c>
      <c r="M219" s="88" t="s">
        <v>530</v>
      </c>
      <c r="N219" s="88" t="s">
        <v>7</v>
      </c>
      <c r="O219" s="116" t="s">
        <v>559</v>
      </c>
      <c r="P219" s="116" t="s">
        <v>560</v>
      </c>
      <c r="Q219" s="82" t="s">
        <v>772</v>
      </c>
      <c r="R219" s="82" t="s">
        <v>773</v>
      </c>
      <c r="S219" s="82" t="s">
        <v>774</v>
      </c>
      <c r="T219" s="82" t="s">
        <v>320</v>
      </c>
      <c r="U219" s="83"/>
      <c r="V219" s="83"/>
      <c r="W219" s="83">
        <v>0.05</v>
      </c>
      <c r="X219" s="83"/>
      <c r="Y219" s="83"/>
      <c r="Z219" s="83">
        <v>0.05</v>
      </c>
      <c r="AA219" s="83"/>
      <c r="AB219" s="83"/>
      <c r="AC219" s="83">
        <v>0.05</v>
      </c>
      <c r="AD219" s="83"/>
      <c r="AE219" s="83"/>
      <c r="AF219" s="83">
        <v>0.05</v>
      </c>
      <c r="AG219" s="82" t="s">
        <v>780</v>
      </c>
      <c r="AH219" s="82" t="s">
        <v>530</v>
      </c>
      <c r="AI219" s="88" t="s">
        <v>538</v>
      </c>
      <c r="AJ219" s="89" t="s">
        <v>538</v>
      </c>
      <c r="AK219" s="90">
        <v>46023</v>
      </c>
      <c r="AL219" s="90">
        <v>46387</v>
      </c>
      <c r="AM219" s="89"/>
      <c r="AN219" s="89"/>
      <c r="AO219" s="89"/>
      <c r="AP219" s="91" t="s">
        <v>781</v>
      </c>
      <c r="AQ219" s="90" cm="1">
        <f t="array" ref="AQ219">IFERROR(DATE(2026, _xlfn.AGGREGATE(15, 6, (COLUMN(BY219:CJ219)-COLUMN(BY219)+1)/(BY219:CJ219&lt;&gt;0), 1), 1),"N/A")</f>
        <v>46054</v>
      </c>
      <c r="AR219" s="90" cm="1">
        <f t="array" ref="AR219">IFERROR(EOMONTH(DATE(2026, _xlfn.AGGREGATE(14, 6, (COLUMN(BY219:CJ219)-COLUMN(BY219)+1)/(BY219:CJ219&lt;&gt;0), 1), 1), 0),"N/A")</f>
        <v>46234</v>
      </c>
      <c r="AS219" s="89"/>
      <c r="AT219" s="89"/>
      <c r="AU219" s="89"/>
      <c r="AV219" s="89"/>
      <c r="AW219" s="89"/>
      <c r="AX219" s="89"/>
      <c r="AY219" s="89"/>
      <c r="AZ219" s="89"/>
      <c r="BA219" s="89"/>
      <c r="BB219" s="89"/>
      <c r="BC219" s="89"/>
      <c r="BD219" s="89"/>
      <c r="BE219" s="82" t="s">
        <v>654</v>
      </c>
      <c r="BF219" s="82" t="s">
        <v>1068</v>
      </c>
      <c r="BG219" s="82" t="str">
        <f t="shared" si="18"/>
        <v>000</v>
      </c>
      <c r="BH219" s="88">
        <v>730207</v>
      </c>
      <c r="BI219" s="92" t="s">
        <v>706</v>
      </c>
      <c r="BJ219" s="84">
        <v>188000</v>
      </c>
      <c r="BK219" s="74">
        <v>0</v>
      </c>
      <c r="BL219" s="94">
        <v>19000</v>
      </c>
      <c r="BM219" s="94">
        <v>19000</v>
      </c>
      <c r="BN219" s="72">
        <v>19655</v>
      </c>
      <c r="BO219" s="94">
        <v>19655</v>
      </c>
      <c r="BP219" s="94">
        <v>19655</v>
      </c>
      <c r="BQ219" s="94">
        <v>19655</v>
      </c>
      <c r="BR219" s="94">
        <v>19655</v>
      </c>
      <c r="BS219" s="94">
        <v>19655</v>
      </c>
      <c r="BT219" s="94">
        <v>19655</v>
      </c>
      <c r="BU219" s="94">
        <v>12415</v>
      </c>
      <c r="BV219" s="143">
        <v>0</v>
      </c>
      <c r="BW219" s="143">
        <v>-130345</v>
      </c>
      <c r="BX219" s="143">
        <f t="shared" si="23"/>
        <v>57655</v>
      </c>
      <c r="BY219" s="74">
        <v>0</v>
      </c>
      <c r="BZ219" s="94">
        <v>9609.16</v>
      </c>
      <c r="CA219" s="94">
        <v>9609.16</v>
      </c>
      <c r="CB219" s="94">
        <v>9609.17</v>
      </c>
      <c r="CC219" s="94">
        <v>9609.17</v>
      </c>
      <c r="CD219" s="94">
        <v>9609.17</v>
      </c>
      <c r="CE219" s="94">
        <v>9609.17</v>
      </c>
      <c r="CF219" s="94"/>
      <c r="CG219" s="94"/>
      <c r="CH219" s="94"/>
      <c r="CI219" s="94"/>
      <c r="CJ219" s="143"/>
      <c r="CK219" s="143"/>
      <c r="CL219" s="142">
        <f t="shared" si="19"/>
        <v>0</v>
      </c>
      <c r="CM219" s="171">
        <v>0</v>
      </c>
      <c r="CN219" s="171">
        <v>0</v>
      </c>
      <c r="CO219" s="171">
        <v>0</v>
      </c>
      <c r="CP219" s="171">
        <v>0</v>
      </c>
      <c r="CQ219" s="171">
        <v>0</v>
      </c>
      <c r="CR219" s="171">
        <v>57655</v>
      </c>
      <c r="CS219" s="171">
        <f t="shared" si="20"/>
        <v>0</v>
      </c>
      <c r="CT219" s="171">
        <f t="shared" si="21"/>
        <v>0</v>
      </c>
      <c r="CU219" s="171">
        <f t="shared" si="22"/>
        <v>57655</v>
      </c>
      <c r="CV219" s="149"/>
      <c r="CW219" s="149"/>
      <c r="CX219" s="130"/>
      <c r="CY219" s="130"/>
      <c r="CZ219" s="130"/>
      <c r="DA219" s="130"/>
      <c r="DB219" s="130"/>
      <c r="DC219" s="130"/>
      <c r="DD219" s="130" t="s">
        <v>848</v>
      </c>
      <c r="DE219" s="130"/>
      <c r="DF219" s="130"/>
      <c r="DG219" s="130"/>
      <c r="DH219" s="130"/>
      <c r="DI219" s="130"/>
      <c r="DJ219" s="130"/>
      <c r="DK219" s="130"/>
      <c r="DL219" s="130"/>
      <c r="DM219" s="130"/>
      <c r="DN219" s="130"/>
      <c r="DO219" s="130"/>
      <c r="DP219" s="130"/>
      <c r="DQ219" s="130"/>
      <c r="DR219" s="130"/>
      <c r="DS219" s="130"/>
      <c r="DT219" s="130"/>
      <c r="DU219" s="130"/>
      <c r="DV219" s="130"/>
      <c r="DW219" s="130"/>
      <c r="DX219" s="130"/>
      <c r="DY219" s="130"/>
      <c r="DZ219" s="130"/>
      <c r="EA219" s="130"/>
      <c r="EB219" s="130"/>
      <c r="EC219" s="130"/>
      <c r="ED219" s="130"/>
      <c r="EE219" s="130"/>
      <c r="EF219" s="130"/>
      <c r="EG219" s="130"/>
      <c r="EH219" s="130"/>
      <c r="EI219" s="130"/>
      <c r="EJ219" s="130"/>
      <c r="EK219" s="130"/>
      <c r="EL219" s="130"/>
      <c r="EM219" s="130"/>
      <c r="EN219" s="130"/>
      <c r="EO219" s="130"/>
      <c r="EP219" s="130"/>
      <c r="EQ219" s="130"/>
      <c r="ER219" s="130"/>
      <c r="ES219" s="130"/>
      <c r="ET219" s="130"/>
      <c r="EU219" s="172">
        <v>46023</v>
      </c>
      <c r="EV219" s="130"/>
      <c r="EW219" s="130"/>
      <c r="EX219" s="130"/>
      <c r="EY219" s="130"/>
      <c r="EZ219" s="130"/>
      <c r="FA219" s="130"/>
      <c r="FB219" s="201"/>
      <c r="FC219" s="201"/>
      <c r="FD219" s="201"/>
      <c r="FE219" s="201"/>
      <c r="FF219" s="201"/>
      <c r="FG219" s="201"/>
      <c r="FH219" s="201"/>
      <c r="FI219" s="201"/>
      <c r="FJ219" s="201"/>
      <c r="FK219" s="201"/>
      <c r="FL219" s="201"/>
      <c r="FM219" s="201"/>
      <c r="FN219" s="201"/>
      <c r="FO219" s="201"/>
      <c r="FP219" s="201"/>
      <c r="FQ219" s="201"/>
      <c r="FR219" s="201"/>
      <c r="FS219" s="201"/>
      <c r="FT219" s="201"/>
      <c r="FU219" s="201"/>
      <c r="FV219" s="201"/>
      <c r="FW219" s="201"/>
      <c r="FX219" s="201"/>
      <c r="FY219" s="201"/>
      <c r="FZ219" s="201"/>
      <c r="GA219" s="201"/>
      <c r="GB219" s="201"/>
      <c r="GC219" s="201"/>
      <c r="GD219" s="201"/>
      <c r="GE219" s="201"/>
      <c r="GF219" s="201"/>
      <c r="GG219" s="201"/>
      <c r="GH219" s="201"/>
      <c r="GI219" s="201"/>
      <c r="GJ219" s="201"/>
      <c r="GK219" s="201"/>
      <c r="GL219" s="201"/>
      <c r="GM219" s="201"/>
      <c r="GN219" s="201"/>
      <c r="GO219" s="201"/>
      <c r="GP219" s="201"/>
      <c r="GQ219" s="201"/>
    </row>
    <row r="220" spans="1:204" s="68" customFormat="1" ht="14.45" customHeight="1" x14ac:dyDescent="0.25">
      <c r="A220" s="68" t="s">
        <v>695</v>
      </c>
      <c r="B220" s="82" t="s">
        <v>154</v>
      </c>
      <c r="C220" s="82" t="s">
        <v>172</v>
      </c>
      <c r="D220" s="95" t="s">
        <v>196</v>
      </c>
      <c r="E220" s="82" t="s">
        <v>5</v>
      </c>
      <c r="F220" s="95" t="s">
        <v>550</v>
      </c>
      <c r="G220" s="82" t="s">
        <v>288</v>
      </c>
      <c r="H220" s="82" t="s">
        <v>551</v>
      </c>
      <c r="I220" s="82" t="s">
        <v>300</v>
      </c>
      <c r="J220" s="82" t="s">
        <v>528</v>
      </c>
      <c r="K220" s="92" t="s">
        <v>326</v>
      </c>
      <c r="L220" s="88" t="s">
        <v>558</v>
      </c>
      <c r="M220" s="88" t="s">
        <v>530</v>
      </c>
      <c r="N220" s="88" t="s">
        <v>7</v>
      </c>
      <c r="O220" s="116" t="s">
        <v>559</v>
      </c>
      <c r="P220" s="116" t="s">
        <v>560</v>
      </c>
      <c r="Q220" s="82" t="s">
        <v>772</v>
      </c>
      <c r="R220" s="82" t="s">
        <v>773</v>
      </c>
      <c r="S220" s="82" t="s">
        <v>774</v>
      </c>
      <c r="T220" s="82" t="s">
        <v>320</v>
      </c>
      <c r="U220" s="83"/>
      <c r="V220" s="83"/>
      <c r="W220" s="83">
        <v>0.05</v>
      </c>
      <c r="X220" s="83"/>
      <c r="Y220" s="83"/>
      <c r="Z220" s="83">
        <v>0.05</v>
      </c>
      <c r="AA220" s="83"/>
      <c r="AB220" s="83"/>
      <c r="AC220" s="83">
        <v>0.05</v>
      </c>
      <c r="AD220" s="83"/>
      <c r="AE220" s="83"/>
      <c r="AF220" s="83">
        <v>0.05</v>
      </c>
      <c r="AG220" s="82" t="s">
        <v>780</v>
      </c>
      <c r="AH220" s="82" t="s">
        <v>530</v>
      </c>
      <c r="AI220" s="88" t="s">
        <v>538</v>
      </c>
      <c r="AJ220" s="89" t="s">
        <v>538</v>
      </c>
      <c r="AK220" s="90">
        <v>46023</v>
      </c>
      <c r="AL220" s="90">
        <v>46387</v>
      </c>
      <c r="AM220" s="89"/>
      <c r="AN220" s="89"/>
      <c r="AO220" s="89"/>
      <c r="AP220" s="187" t="s">
        <v>781</v>
      </c>
      <c r="AQ220" s="90" cm="1">
        <f t="array" ref="AQ220">IFERROR(DATE(2026, _xlfn.AGGREGATE(15, 6, (COLUMN(BY220:CJ220)-COLUMN(BY220)+1)/(BY220:CJ220&lt;&gt;0), 1), 1),"N/A")</f>
        <v>46054</v>
      </c>
      <c r="AR220" s="90" cm="1">
        <f t="array" ref="AR220">IFERROR(EOMONTH(DATE(2026, _xlfn.AGGREGATE(14, 6, (COLUMN(BY220:CJ220)-COLUMN(BY220)+1)/(BY220:CJ220&lt;&gt;0), 1), 1), 0),"N/A")</f>
        <v>46234</v>
      </c>
      <c r="AS220" s="89"/>
      <c r="AT220" s="89"/>
      <c r="AU220" s="89"/>
      <c r="AV220" s="89"/>
      <c r="AW220" s="89"/>
      <c r="AX220" s="89"/>
      <c r="AY220" s="89"/>
      <c r="AZ220" s="89"/>
      <c r="BA220" s="89"/>
      <c r="BB220" s="89"/>
      <c r="BC220" s="89"/>
      <c r="BD220" s="89"/>
      <c r="BE220" s="82" t="s">
        <v>654</v>
      </c>
      <c r="BF220" s="82" t="s">
        <v>735</v>
      </c>
      <c r="BG220" s="82" t="str">
        <f t="shared" si="18"/>
        <v>000</v>
      </c>
      <c r="BH220" s="88">
        <v>730207</v>
      </c>
      <c r="BI220" s="92" t="s">
        <v>706</v>
      </c>
      <c r="BJ220" s="93">
        <v>18000</v>
      </c>
      <c r="BK220" s="74">
        <v>0</v>
      </c>
      <c r="BL220" s="74">
        <v>0</v>
      </c>
      <c r="BM220" s="94">
        <v>2000</v>
      </c>
      <c r="BN220" s="72">
        <v>2000</v>
      </c>
      <c r="BO220" s="94">
        <v>2000</v>
      </c>
      <c r="BP220" s="94">
        <v>2000</v>
      </c>
      <c r="BQ220" s="94">
        <v>2000</v>
      </c>
      <c r="BR220" s="94">
        <v>2000</v>
      </c>
      <c r="BS220" s="94">
        <v>2000</v>
      </c>
      <c r="BT220" s="94">
        <v>2000</v>
      </c>
      <c r="BU220" s="94">
        <v>2000</v>
      </c>
      <c r="BV220" s="143">
        <v>0</v>
      </c>
      <c r="BW220" s="143">
        <v>30977.5</v>
      </c>
      <c r="BX220" s="143">
        <f t="shared" si="23"/>
        <v>48977.5</v>
      </c>
      <c r="BY220" s="74">
        <v>0</v>
      </c>
      <c r="BZ220" s="74">
        <v>8162.91</v>
      </c>
      <c r="CA220" s="171">
        <v>8162.91</v>
      </c>
      <c r="CB220" s="171">
        <v>8162.92</v>
      </c>
      <c r="CC220" s="171">
        <v>8162.92</v>
      </c>
      <c r="CD220" s="171">
        <v>8162.92</v>
      </c>
      <c r="CE220" s="171">
        <v>8162.92</v>
      </c>
      <c r="CF220" s="94"/>
      <c r="CG220" s="94"/>
      <c r="CH220" s="94"/>
      <c r="CI220" s="94"/>
      <c r="CJ220" s="143"/>
      <c r="CK220" s="143"/>
      <c r="CL220" s="142">
        <f t="shared" si="19"/>
        <v>0</v>
      </c>
      <c r="CM220" s="171">
        <v>0</v>
      </c>
      <c r="CN220" s="171">
        <v>0</v>
      </c>
      <c r="CO220" s="171">
        <v>0</v>
      </c>
      <c r="CP220" s="171">
        <v>0</v>
      </c>
      <c r="CQ220" s="171">
        <v>0</v>
      </c>
      <c r="CR220" s="171">
        <v>48977.5</v>
      </c>
      <c r="CS220" s="171">
        <f t="shared" si="20"/>
        <v>0</v>
      </c>
      <c r="CT220" s="171">
        <f t="shared" si="21"/>
        <v>0</v>
      </c>
      <c r="CU220" s="171">
        <f t="shared" si="22"/>
        <v>48977.5</v>
      </c>
      <c r="CV220" s="149"/>
      <c r="CW220" s="149"/>
      <c r="CX220" s="130"/>
      <c r="CY220" s="130"/>
      <c r="CZ220" s="130"/>
      <c r="DA220" s="130"/>
      <c r="DB220" s="130"/>
      <c r="DC220" s="130"/>
      <c r="DD220" s="130" t="s">
        <v>848</v>
      </c>
      <c r="DE220" s="130"/>
      <c r="DF220" s="130"/>
      <c r="DG220" s="130"/>
      <c r="DH220" s="130"/>
      <c r="DI220" s="130"/>
      <c r="DJ220" s="130"/>
      <c r="DK220" s="130"/>
      <c r="DL220" s="130"/>
      <c r="DM220" s="130"/>
      <c r="DN220" s="130"/>
      <c r="DO220" s="130"/>
      <c r="DP220" s="130"/>
      <c r="DQ220" s="130"/>
      <c r="DR220" s="130"/>
      <c r="DS220" s="130"/>
      <c r="DT220" s="130"/>
      <c r="DU220" s="130"/>
      <c r="DV220" s="130"/>
      <c r="DW220" s="130"/>
      <c r="DX220" s="130"/>
      <c r="DY220" s="130"/>
      <c r="DZ220" s="130"/>
      <c r="EA220" s="130"/>
      <c r="EB220" s="130"/>
      <c r="EC220" s="130"/>
      <c r="ED220" s="130"/>
      <c r="EE220" s="130"/>
      <c r="EF220" s="130"/>
      <c r="EG220" s="130"/>
      <c r="EH220" s="130"/>
      <c r="EI220" s="130"/>
      <c r="EJ220" s="130"/>
      <c r="EK220" s="130"/>
      <c r="EL220" s="130"/>
      <c r="EM220" s="130"/>
      <c r="EN220" s="130"/>
      <c r="EO220" s="130"/>
      <c r="EP220" s="130"/>
      <c r="EQ220" s="130"/>
      <c r="ER220" s="130"/>
      <c r="ES220" s="130"/>
      <c r="ET220" s="130"/>
      <c r="EU220" s="172">
        <v>46023</v>
      </c>
      <c r="EV220" s="130"/>
      <c r="EW220" s="130"/>
      <c r="EX220" s="130"/>
      <c r="EY220" s="130"/>
      <c r="EZ220" s="130"/>
      <c r="FA220" s="130"/>
      <c r="FB220" s="201"/>
      <c r="FC220" s="201"/>
      <c r="FD220" s="201"/>
      <c r="FE220" s="201"/>
      <c r="FF220" s="201"/>
      <c r="FG220" s="201"/>
      <c r="FH220" s="201"/>
      <c r="FI220" s="201"/>
      <c r="FJ220" s="201"/>
      <c r="FK220" s="201"/>
      <c r="FL220" s="201"/>
      <c r="FM220" s="201"/>
      <c r="FN220" s="201"/>
      <c r="FO220" s="201"/>
      <c r="FP220" s="201"/>
      <c r="FQ220" s="201"/>
      <c r="FR220" s="201"/>
      <c r="FS220" s="201"/>
      <c r="FT220" s="201"/>
      <c r="FU220" s="201"/>
      <c r="FV220" s="201"/>
      <c r="FW220" s="201"/>
      <c r="FX220" s="201"/>
      <c r="FY220" s="201"/>
      <c r="FZ220" s="201"/>
      <c r="GA220" s="201"/>
      <c r="GB220" s="201"/>
      <c r="GC220" s="201"/>
      <c r="GD220" s="201"/>
      <c r="GE220" s="201"/>
      <c r="GF220" s="201"/>
      <c r="GG220" s="201"/>
      <c r="GH220" s="201"/>
      <c r="GI220" s="201"/>
      <c r="GJ220" s="201"/>
      <c r="GK220" s="201"/>
      <c r="GL220" s="201"/>
      <c r="GM220" s="201"/>
      <c r="GN220" s="201"/>
      <c r="GO220" s="201"/>
      <c r="GP220" s="201"/>
      <c r="GQ220" s="201"/>
    </row>
    <row r="221" spans="1:204" s="68" customFormat="1" ht="14.45" customHeight="1" x14ac:dyDescent="0.25">
      <c r="A221" s="68" t="s">
        <v>694</v>
      </c>
      <c r="B221" s="82" t="s">
        <v>154</v>
      </c>
      <c r="C221" s="82" t="s">
        <v>172</v>
      </c>
      <c r="D221" s="95" t="s">
        <v>196</v>
      </c>
      <c r="E221" s="82" t="s">
        <v>5</v>
      </c>
      <c r="F221" s="95" t="s">
        <v>550</v>
      </c>
      <c r="G221" s="82" t="s">
        <v>288</v>
      </c>
      <c r="H221" s="82" t="s">
        <v>551</v>
      </c>
      <c r="I221" s="82" t="s">
        <v>300</v>
      </c>
      <c r="J221" s="82" t="s">
        <v>528</v>
      </c>
      <c r="K221" s="92" t="s">
        <v>326</v>
      </c>
      <c r="L221" s="88" t="s">
        <v>558</v>
      </c>
      <c r="M221" s="88" t="s">
        <v>530</v>
      </c>
      <c r="N221" s="88" t="s">
        <v>7</v>
      </c>
      <c r="O221" s="116" t="s">
        <v>559</v>
      </c>
      <c r="P221" s="116" t="s">
        <v>560</v>
      </c>
      <c r="Q221" s="82" t="s">
        <v>772</v>
      </c>
      <c r="R221" s="82" t="s">
        <v>773</v>
      </c>
      <c r="S221" s="82" t="s">
        <v>774</v>
      </c>
      <c r="T221" s="82" t="s">
        <v>320</v>
      </c>
      <c r="U221" s="83"/>
      <c r="V221" s="83"/>
      <c r="W221" s="83">
        <v>0.05</v>
      </c>
      <c r="X221" s="83"/>
      <c r="Y221" s="83"/>
      <c r="Z221" s="83">
        <v>0.05</v>
      </c>
      <c r="AA221" s="83"/>
      <c r="AB221" s="83"/>
      <c r="AC221" s="83">
        <v>0.05</v>
      </c>
      <c r="AD221" s="83"/>
      <c r="AE221" s="83"/>
      <c r="AF221" s="83">
        <v>0.05</v>
      </c>
      <c r="AG221" s="82" t="s">
        <v>535</v>
      </c>
      <c r="AH221" s="82" t="s">
        <v>529</v>
      </c>
      <c r="AI221" s="88" t="s">
        <v>538</v>
      </c>
      <c r="AJ221" s="89" t="s">
        <v>538</v>
      </c>
      <c r="AK221" s="90">
        <v>46023</v>
      </c>
      <c r="AL221" s="90">
        <v>46387</v>
      </c>
      <c r="AM221" s="89"/>
      <c r="AN221" s="89"/>
      <c r="AO221" s="89"/>
      <c r="AP221" s="187" t="s">
        <v>544</v>
      </c>
      <c r="AQ221" s="90" cm="1">
        <f t="array" ref="AQ221">IFERROR(DATE(2026, _xlfn.AGGREGATE(15, 6, (COLUMN(BY221:CJ221)-COLUMN(BY221)+1)/(BY221:CJ221&lt;&gt;0), 1), 1),"N/A")</f>
        <v>46054</v>
      </c>
      <c r="AR221" s="90" cm="1">
        <f t="array" ref="AR221">IFERROR(EOMONTH(DATE(2026, _xlfn.AGGREGATE(14, 6, (COLUMN(BY221:CJ221)-COLUMN(BY221)+1)/(BY221:CJ221&lt;&gt;0), 1), 1), 0),"N/A")</f>
        <v>46387</v>
      </c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95" t="s">
        <v>1131</v>
      </c>
      <c r="BF221" s="82" t="s">
        <v>1130</v>
      </c>
      <c r="BG221" s="82" t="str">
        <f t="shared" si="18"/>
        <v>000</v>
      </c>
      <c r="BH221" s="88">
        <v>730606</v>
      </c>
      <c r="BI221" s="92" t="s">
        <v>706</v>
      </c>
      <c r="BJ221" s="93">
        <v>0</v>
      </c>
      <c r="BK221" s="74"/>
      <c r="BL221" s="74"/>
      <c r="BM221" s="94"/>
      <c r="BN221" s="72"/>
      <c r="BO221" s="94"/>
      <c r="BP221" s="94"/>
      <c r="BQ221" s="94"/>
      <c r="BR221" s="94"/>
      <c r="BS221" s="94"/>
      <c r="BT221" s="94"/>
      <c r="BU221" s="94"/>
      <c r="BV221" s="143"/>
      <c r="BW221" s="143">
        <v>30800</v>
      </c>
      <c r="BX221" s="143">
        <f t="shared" si="23"/>
        <v>30800</v>
      </c>
      <c r="BY221" s="74"/>
      <c r="BZ221" s="74">
        <v>2800</v>
      </c>
      <c r="CA221" s="171">
        <v>2800</v>
      </c>
      <c r="CB221" s="171">
        <v>2800</v>
      </c>
      <c r="CC221" s="171">
        <v>2800</v>
      </c>
      <c r="CD221" s="171">
        <v>2800</v>
      </c>
      <c r="CE221" s="171">
        <v>2800</v>
      </c>
      <c r="CF221" s="171">
        <v>2800</v>
      </c>
      <c r="CG221" s="171">
        <v>2800</v>
      </c>
      <c r="CH221" s="171">
        <v>2800</v>
      </c>
      <c r="CI221" s="171">
        <v>2800</v>
      </c>
      <c r="CJ221" s="171">
        <v>2800</v>
      </c>
      <c r="CK221" s="173"/>
      <c r="CL221" s="142">
        <f t="shared" si="19"/>
        <v>0</v>
      </c>
      <c r="CM221" s="171">
        <v>0</v>
      </c>
      <c r="CN221" s="171">
        <v>0</v>
      </c>
      <c r="CO221" s="171">
        <v>0</v>
      </c>
      <c r="CP221" s="171">
        <v>0</v>
      </c>
      <c r="CQ221" s="171">
        <v>28000</v>
      </c>
      <c r="CR221" s="171">
        <v>0</v>
      </c>
      <c r="CS221" s="171">
        <f t="shared" si="20"/>
        <v>0</v>
      </c>
      <c r="CT221" s="171">
        <f t="shared" si="21"/>
        <v>28000</v>
      </c>
      <c r="CU221" s="171">
        <f t="shared" si="22"/>
        <v>0</v>
      </c>
      <c r="CV221" s="149"/>
      <c r="CW221" s="149"/>
      <c r="CX221" s="130"/>
      <c r="CY221" s="130"/>
      <c r="CZ221" s="130"/>
      <c r="DA221" s="130"/>
      <c r="DB221" s="130"/>
      <c r="DC221" s="130"/>
      <c r="DD221" s="130"/>
      <c r="DE221" s="130"/>
      <c r="DF221" s="130"/>
      <c r="DG221" s="130"/>
      <c r="DH221" s="130"/>
      <c r="DI221" s="130"/>
      <c r="DJ221" s="130"/>
      <c r="DK221" s="130"/>
      <c r="DL221" s="130"/>
      <c r="DM221" s="130"/>
      <c r="DN221" s="130"/>
      <c r="DO221" s="130"/>
      <c r="DP221" s="130"/>
      <c r="DQ221" s="130"/>
      <c r="DR221" s="130"/>
      <c r="DS221" s="130"/>
      <c r="DT221" s="130"/>
      <c r="DU221" s="130"/>
      <c r="DV221" s="130"/>
      <c r="DW221" s="130"/>
      <c r="DX221" s="130"/>
      <c r="DY221" s="130"/>
      <c r="DZ221" s="130"/>
      <c r="EA221" s="130"/>
      <c r="EB221" s="130"/>
      <c r="EC221" s="130"/>
      <c r="ED221" s="130"/>
      <c r="EE221" s="130"/>
      <c r="EF221" s="130"/>
      <c r="EG221" s="130"/>
      <c r="EH221" s="130"/>
      <c r="EI221" s="130"/>
      <c r="EJ221" s="130"/>
      <c r="EK221" s="130"/>
      <c r="EL221" s="130"/>
      <c r="EM221" s="130"/>
      <c r="EN221" s="130"/>
      <c r="EO221" s="130"/>
      <c r="EP221" s="130"/>
      <c r="EQ221" s="130"/>
      <c r="ER221" s="130"/>
      <c r="ES221" s="130"/>
      <c r="ET221" s="130"/>
      <c r="EU221" s="172">
        <v>46023</v>
      </c>
      <c r="EV221" s="130"/>
      <c r="EW221" s="130"/>
      <c r="EX221" s="130"/>
      <c r="EY221" s="130"/>
      <c r="EZ221" s="130"/>
      <c r="FA221" s="130"/>
      <c r="FB221" s="201"/>
      <c r="FC221" s="201"/>
      <c r="FD221" s="201"/>
      <c r="FE221" s="201"/>
      <c r="FF221" s="201"/>
      <c r="FG221" s="201"/>
      <c r="FH221" s="201"/>
      <c r="FI221" s="201"/>
      <c r="FJ221" s="201"/>
      <c r="FK221" s="201"/>
      <c r="FL221" s="201"/>
      <c r="FM221" s="201"/>
      <c r="FN221" s="201"/>
      <c r="FO221" s="201"/>
      <c r="FP221" s="201"/>
      <c r="FQ221" s="201"/>
      <c r="FR221" s="201"/>
      <c r="FS221" s="201"/>
      <c r="FT221" s="201"/>
      <c r="FU221" s="201"/>
      <c r="FV221" s="201"/>
      <c r="FW221" s="201"/>
      <c r="FX221" s="201"/>
      <c r="FY221" s="201"/>
      <c r="FZ221" s="201"/>
      <c r="GA221" s="201"/>
      <c r="GB221" s="201"/>
      <c r="GC221" s="201"/>
      <c r="GD221" s="201"/>
      <c r="GE221" s="201"/>
      <c r="GF221" s="201"/>
      <c r="GG221" s="201"/>
      <c r="GH221" s="201"/>
      <c r="GI221" s="201"/>
      <c r="GJ221" s="201"/>
      <c r="GK221" s="201"/>
      <c r="GL221" s="201"/>
      <c r="GM221" s="201"/>
      <c r="GN221" s="201"/>
      <c r="GO221" s="201"/>
      <c r="GP221" s="201"/>
      <c r="GQ221" s="201"/>
    </row>
    <row r="222" spans="1:204" s="68" customFormat="1" ht="14.45" customHeight="1" x14ac:dyDescent="0.25">
      <c r="A222" s="68" t="s">
        <v>695</v>
      </c>
      <c r="B222" s="82" t="s">
        <v>154</v>
      </c>
      <c r="C222" s="82" t="s">
        <v>172</v>
      </c>
      <c r="D222" s="95" t="s">
        <v>196</v>
      </c>
      <c r="E222" s="82" t="s">
        <v>5</v>
      </c>
      <c r="F222" s="95" t="s">
        <v>550</v>
      </c>
      <c r="G222" s="82" t="s">
        <v>288</v>
      </c>
      <c r="H222" s="82" t="s">
        <v>551</v>
      </c>
      <c r="I222" s="82" t="s">
        <v>300</v>
      </c>
      <c r="J222" s="82" t="s">
        <v>528</v>
      </c>
      <c r="K222" s="92" t="s">
        <v>326</v>
      </c>
      <c r="L222" s="88" t="s">
        <v>558</v>
      </c>
      <c r="M222" s="88" t="s">
        <v>530</v>
      </c>
      <c r="N222" s="88" t="s">
        <v>7</v>
      </c>
      <c r="O222" s="116" t="s">
        <v>559</v>
      </c>
      <c r="P222" s="116" t="s">
        <v>560</v>
      </c>
      <c r="Q222" s="82" t="s">
        <v>772</v>
      </c>
      <c r="R222" s="82" t="s">
        <v>773</v>
      </c>
      <c r="S222" s="82" t="s">
        <v>774</v>
      </c>
      <c r="T222" s="82" t="s">
        <v>320</v>
      </c>
      <c r="U222" s="83"/>
      <c r="V222" s="83"/>
      <c r="W222" s="83">
        <v>0.05</v>
      </c>
      <c r="X222" s="83"/>
      <c r="Y222" s="83"/>
      <c r="Z222" s="83">
        <v>0.05</v>
      </c>
      <c r="AA222" s="83"/>
      <c r="AB222" s="83"/>
      <c r="AC222" s="83">
        <v>0.05</v>
      </c>
      <c r="AD222" s="83"/>
      <c r="AE222" s="83"/>
      <c r="AF222" s="83">
        <v>0.05</v>
      </c>
      <c r="AG222" s="82" t="s">
        <v>535</v>
      </c>
      <c r="AH222" s="82" t="s">
        <v>529</v>
      </c>
      <c r="AI222" s="88" t="s">
        <v>538</v>
      </c>
      <c r="AJ222" s="89" t="s">
        <v>538</v>
      </c>
      <c r="AK222" s="90">
        <v>46023</v>
      </c>
      <c r="AL222" s="90">
        <v>46387</v>
      </c>
      <c r="AM222" s="89"/>
      <c r="AN222" s="89"/>
      <c r="AO222" s="89"/>
      <c r="AP222" s="187" t="s">
        <v>545</v>
      </c>
      <c r="AQ222" s="90" cm="1">
        <f t="array" ref="AQ222">IFERROR(DATE(2026, _xlfn.AGGREGATE(15, 6, (COLUMN(BY222:CJ222)-COLUMN(BY222)+1)/(BY222:CJ222&lt;&gt;0), 1), 1),"N/A")</f>
        <v>46174</v>
      </c>
      <c r="AR222" s="90" cm="1">
        <f t="array" ref="AR222">IFERROR(EOMONTH(DATE(2026, _xlfn.AGGREGATE(14, 6, (COLUMN(BY222:CJ222)-COLUMN(BY222)+1)/(BY222:CJ222&lt;&gt;0), 1), 1), 0),"N/A")</f>
        <v>46203</v>
      </c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95" t="s">
        <v>1132</v>
      </c>
      <c r="BF222" s="82" t="s">
        <v>1133</v>
      </c>
      <c r="BG222" s="82" t="str">
        <f t="shared" si="18"/>
        <v>000</v>
      </c>
      <c r="BH222" s="88">
        <v>730207</v>
      </c>
      <c r="BI222" s="92" t="s">
        <v>706</v>
      </c>
      <c r="BJ222" s="93">
        <v>0</v>
      </c>
      <c r="BK222" s="74"/>
      <c r="BL222" s="74"/>
      <c r="BM222" s="94"/>
      <c r="BN222" s="72"/>
      <c r="BO222" s="94"/>
      <c r="BP222" s="94"/>
      <c r="BQ222" s="94"/>
      <c r="BR222" s="94"/>
      <c r="BS222" s="94"/>
      <c r="BT222" s="94"/>
      <c r="BU222" s="94"/>
      <c r="BV222" s="143"/>
      <c r="BW222" s="143">
        <v>10000</v>
      </c>
      <c r="BX222" s="143">
        <f t="shared" si="23"/>
        <v>10000</v>
      </c>
      <c r="BY222" s="74"/>
      <c r="BZ222" s="74"/>
      <c r="CA222" s="94"/>
      <c r="CB222" s="72"/>
      <c r="CC222" s="94"/>
      <c r="CD222" s="94">
        <v>10000</v>
      </c>
      <c r="CE222" s="94"/>
      <c r="CF222" s="94"/>
      <c r="CG222" s="94"/>
      <c r="CH222" s="94"/>
      <c r="CI222" s="94"/>
      <c r="CJ222" s="143"/>
      <c r="CK222" s="143"/>
      <c r="CL222" s="142">
        <f t="shared" si="19"/>
        <v>0</v>
      </c>
      <c r="CM222" s="171">
        <v>0</v>
      </c>
      <c r="CN222" s="171">
        <v>0</v>
      </c>
      <c r="CO222" s="171">
        <v>0</v>
      </c>
      <c r="CP222" s="171">
        <v>0</v>
      </c>
      <c r="CQ222" s="171">
        <v>0</v>
      </c>
      <c r="CR222" s="171">
        <v>0</v>
      </c>
      <c r="CS222" s="171">
        <f t="shared" si="20"/>
        <v>0</v>
      </c>
      <c r="CT222" s="171">
        <f t="shared" si="21"/>
        <v>0</v>
      </c>
      <c r="CU222" s="171">
        <f t="shared" si="22"/>
        <v>0</v>
      </c>
      <c r="CV222" s="149"/>
      <c r="CW222" s="149"/>
      <c r="CX222" s="130"/>
      <c r="CY222" s="130"/>
      <c r="CZ222" s="130"/>
      <c r="DA222" s="130"/>
      <c r="DB222" s="130"/>
      <c r="DC222" s="130"/>
      <c r="DD222" s="130"/>
      <c r="DE222" s="130"/>
      <c r="DF222" s="130"/>
      <c r="DG222" s="130"/>
      <c r="DH222" s="130"/>
      <c r="DI222" s="130"/>
      <c r="DJ222" s="130"/>
      <c r="DK222" s="130"/>
      <c r="DL222" s="130"/>
      <c r="DM222" s="130"/>
      <c r="DN222" s="130"/>
      <c r="DO222" s="130"/>
      <c r="DP222" s="130"/>
      <c r="DQ222" s="130"/>
      <c r="DR222" s="130"/>
      <c r="DS222" s="130"/>
      <c r="DT222" s="130"/>
      <c r="DU222" s="130"/>
      <c r="DV222" s="130"/>
      <c r="DW222" s="130"/>
      <c r="DX222" s="130"/>
      <c r="DY222" s="130"/>
      <c r="DZ222" s="130"/>
      <c r="EA222" s="130"/>
      <c r="EB222" s="130"/>
      <c r="EC222" s="130"/>
      <c r="ED222" s="130"/>
      <c r="EE222" s="130"/>
      <c r="EF222" s="130"/>
      <c r="EG222" s="130"/>
      <c r="EH222" s="130"/>
      <c r="EI222" s="130"/>
      <c r="EJ222" s="130"/>
      <c r="EK222" s="130"/>
      <c r="EL222" s="130"/>
      <c r="EM222" s="130"/>
      <c r="EN222" s="130"/>
      <c r="EO222" s="130"/>
      <c r="EP222" s="130"/>
      <c r="EQ222" s="130"/>
      <c r="ER222" s="130"/>
      <c r="ES222" s="130"/>
      <c r="ET222" s="130"/>
      <c r="EU222" s="172">
        <v>46143</v>
      </c>
      <c r="EV222" s="130"/>
      <c r="EW222" s="130"/>
      <c r="EX222" s="130"/>
      <c r="EY222" s="130"/>
      <c r="EZ222" s="130"/>
      <c r="FA222" s="130"/>
      <c r="FB222" s="201"/>
      <c r="FC222" s="201"/>
      <c r="FD222" s="201"/>
      <c r="FE222" s="201"/>
      <c r="FF222" s="201"/>
      <c r="FG222" s="201"/>
      <c r="FH222" s="201"/>
      <c r="FI222" s="201"/>
      <c r="FJ222" s="201"/>
      <c r="FK222" s="201"/>
      <c r="FL222" s="201"/>
      <c r="FM222" s="201"/>
      <c r="FN222" s="201"/>
      <c r="FO222" s="201"/>
      <c r="FP222" s="201"/>
      <c r="FQ222" s="201"/>
      <c r="FR222" s="201"/>
      <c r="FS222" s="201"/>
      <c r="FT222" s="201"/>
      <c r="FU222" s="201"/>
      <c r="FV222" s="201"/>
      <c r="FW222" s="201"/>
      <c r="FX222" s="201"/>
      <c r="FY222" s="201"/>
      <c r="FZ222" s="201"/>
      <c r="GA222" s="201"/>
      <c r="GB222" s="201"/>
      <c r="GC222" s="201"/>
      <c r="GD222" s="201"/>
      <c r="GE222" s="201"/>
      <c r="GF222" s="201"/>
      <c r="GG222" s="201"/>
      <c r="GH222" s="201"/>
      <c r="GI222" s="201"/>
      <c r="GJ222" s="201"/>
      <c r="GK222" s="201"/>
      <c r="GL222" s="201"/>
      <c r="GM222" s="201"/>
      <c r="GN222" s="201"/>
      <c r="GO222" s="201"/>
      <c r="GP222" s="201"/>
      <c r="GQ222" s="201"/>
    </row>
    <row r="223" spans="1:204" s="68" customFormat="1" ht="14.45" customHeight="1" x14ac:dyDescent="0.25">
      <c r="A223" s="68" t="s">
        <v>697</v>
      </c>
      <c r="B223" s="82" t="s">
        <v>154</v>
      </c>
      <c r="C223" s="82" t="s">
        <v>172</v>
      </c>
      <c r="D223" s="95" t="s">
        <v>196</v>
      </c>
      <c r="E223" s="82" t="s">
        <v>5</v>
      </c>
      <c r="F223" s="95" t="s">
        <v>550</v>
      </c>
      <c r="G223" s="82" t="s">
        <v>288</v>
      </c>
      <c r="H223" s="82" t="s">
        <v>551</v>
      </c>
      <c r="I223" s="82" t="s">
        <v>300</v>
      </c>
      <c r="J223" s="82" t="s">
        <v>528</v>
      </c>
      <c r="K223" s="92" t="s">
        <v>326</v>
      </c>
      <c r="L223" s="88" t="s">
        <v>558</v>
      </c>
      <c r="M223" s="88" t="s">
        <v>530</v>
      </c>
      <c r="N223" s="88" t="s">
        <v>7</v>
      </c>
      <c r="O223" s="116" t="s">
        <v>559</v>
      </c>
      <c r="P223" s="116" t="s">
        <v>560</v>
      </c>
      <c r="Q223" s="82" t="s">
        <v>772</v>
      </c>
      <c r="R223" s="82" t="s">
        <v>773</v>
      </c>
      <c r="S223" s="82" t="s">
        <v>774</v>
      </c>
      <c r="T223" s="82" t="s">
        <v>320</v>
      </c>
      <c r="U223" s="83"/>
      <c r="V223" s="83"/>
      <c r="W223" s="83">
        <v>0.05</v>
      </c>
      <c r="X223" s="83"/>
      <c r="Y223" s="83"/>
      <c r="Z223" s="83">
        <v>0.05</v>
      </c>
      <c r="AA223" s="83"/>
      <c r="AB223" s="83"/>
      <c r="AC223" s="83">
        <v>0.05</v>
      </c>
      <c r="AD223" s="83"/>
      <c r="AE223" s="83"/>
      <c r="AF223" s="83">
        <v>0.05</v>
      </c>
      <c r="AG223" s="82" t="s">
        <v>535</v>
      </c>
      <c r="AH223" s="82" t="s">
        <v>529</v>
      </c>
      <c r="AI223" s="88" t="s">
        <v>538</v>
      </c>
      <c r="AJ223" s="89" t="s">
        <v>538</v>
      </c>
      <c r="AK223" s="90">
        <v>46023</v>
      </c>
      <c r="AL223" s="90">
        <v>46387</v>
      </c>
      <c r="AM223" s="89"/>
      <c r="AN223" s="89"/>
      <c r="AO223" s="89"/>
      <c r="AP223" s="91" t="s">
        <v>544</v>
      </c>
      <c r="AQ223" s="90" t="str" cm="1">
        <f t="array" ref="AQ223">IFERROR(DATE(2026, _xlfn.AGGREGATE(15, 6, (COLUMN(BY223:CJ223)-COLUMN(BY223)+1)/(BY223:CJ223&lt;&gt;0), 1), 1),"N/A")</f>
        <v>N/A</v>
      </c>
      <c r="AR223" s="90" t="str" cm="1">
        <f t="array" ref="AR223">IFERROR(EOMONTH(DATE(2026, _xlfn.AGGREGATE(14, 6, (COLUMN(BY223:CJ223)-COLUMN(BY223)+1)/(BY223:CJ223&lt;&gt;0), 1), 1), 0),"N/A")</f>
        <v>N/A</v>
      </c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2" t="s">
        <v>680</v>
      </c>
      <c r="BF223" s="82" t="s">
        <v>1077</v>
      </c>
      <c r="BG223" s="82" t="str">
        <f t="shared" si="18"/>
        <v>000</v>
      </c>
      <c r="BH223" s="88">
        <v>730207</v>
      </c>
      <c r="BI223" s="92" t="s">
        <v>706</v>
      </c>
      <c r="BJ223" s="93">
        <v>100000</v>
      </c>
      <c r="BK223" s="74">
        <v>0</v>
      </c>
      <c r="BL223" s="74">
        <v>0</v>
      </c>
      <c r="BM223" s="74">
        <v>0</v>
      </c>
      <c r="BN223" s="74">
        <v>0</v>
      </c>
      <c r="BO223" s="74">
        <v>0</v>
      </c>
      <c r="BP223" s="74">
        <v>0</v>
      </c>
      <c r="BQ223" s="94">
        <v>12500</v>
      </c>
      <c r="BR223" s="94">
        <v>17500</v>
      </c>
      <c r="BS223" s="94">
        <v>17500</v>
      </c>
      <c r="BT223" s="94">
        <v>17500</v>
      </c>
      <c r="BU223" s="94">
        <v>17500</v>
      </c>
      <c r="BV223" s="142">
        <v>17500</v>
      </c>
      <c r="BW223" s="142">
        <v>-100000</v>
      </c>
      <c r="BX223" s="143">
        <f t="shared" si="23"/>
        <v>0</v>
      </c>
      <c r="BY223" s="74">
        <v>0</v>
      </c>
      <c r="BZ223" s="74"/>
      <c r="CA223" s="74"/>
      <c r="CB223" s="74"/>
      <c r="CC223" s="74"/>
      <c r="CD223" s="74"/>
      <c r="CE223" s="94"/>
      <c r="CF223" s="94"/>
      <c r="CG223" s="94"/>
      <c r="CH223" s="94"/>
      <c r="CI223" s="94"/>
      <c r="CJ223" s="142"/>
      <c r="CK223" s="142"/>
      <c r="CL223" s="142">
        <f t="shared" si="19"/>
        <v>0</v>
      </c>
      <c r="CM223" s="171">
        <v>0</v>
      </c>
      <c r="CN223" s="171">
        <v>0</v>
      </c>
      <c r="CO223" s="171">
        <v>0</v>
      </c>
      <c r="CP223" s="171">
        <v>0</v>
      </c>
      <c r="CQ223" s="171">
        <v>0</v>
      </c>
      <c r="CR223" s="171">
        <v>0</v>
      </c>
      <c r="CS223" s="171">
        <f t="shared" si="20"/>
        <v>0</v>
      </c>
      <c r="CT223" s="171">
        <f t="shared" si="21"/>
        <v>0</v>
      </c>
      <c r="CU223" s="171">
        <f t="shared" si="22"/>
        <v>0</v>
      </c>
      <c r="CV223" s="152">
        <v>150000</v>
      </c>
      <c r="CW223" s="149">
        <v>0</v>
      </c>
      <c r="CX223" s="130">
        <v>1</v>
      </c>
      <c r="CY223" s="130">
        <v>0</v>
      </c>
      <c r="CZ223" s="130" t="s">
        <v>321</v>
      </c>
      <c r="DA223" s="130" t="s">
        <v>863</v>
      </c>
      <c r="DB223" s="130" t="s">
        <v>850</v>
      </c>
      <c r="DC223" s="130" t="s">
        <v>909</v>
      </c>
      <c r="DD223" s="130"/>
      <c r="DE223" s="131">
        <v>46087</v>
      </c>
      <c r="DF223" s="131">
        <v>46087</v>
      </c>
      <c r="DG223" s="132">
        <v>1</v>
      </c>
      <c r="DH223" s="131">
        <v>46090</v>
      </c>
      <c r="DI223" s="131">
        <v>46090</v>
      </c>
      <c r="DJ223" s="131">
        <v>46090</v>
      </c>
      <c r="DK223" s="131">
        <v>46091</v>
      </c>
      <c r="DL223" s="131">
        <v>46092</v>
      </c>
      <c r="DM223" s="131">
        <v>46093</v>
      </c>
      <c r="DN223" s="131">
        <v>46094</v>
      </c>
      <c r="DO223" s="131">
        <v>46097</v>
      </c>
      <c r="DP223" s="131">
        <v>46098</v>
      </c>
      <c r="DQ223" s="131">
        <v>46098</v>
      </c>
      <c r="DR223" s="132">
        <v>1</v>
      </c>
      <c r="DS223" s="131">
        <v>46099</v>
      </c>
      <c r="DT223" s="131">
        <v>46100</v>
      </c>
      <c r="DU223" s="131">
        <v>46101</v>
      </c>
      <c r="DV223" s="131">
        <v>46104</v>
      </c>
      <c r="DW223" s="131">
        <v>46104</v>
      </c>
      <c r="DX223" s="131">
        <v>46105</v>
      </c>
      <c r="DY223" s="131">
        <v>46105</v>
      </c>
      <c r="DZ223" s="132"/>
      <c r="EA223" s="132"/>
      <c r="EB223" s="132"/>
      <c r="EC223" s="132"/>
      <c r="ED223" s="131">
        <v>46106</v>
      </c>
      <c r="EE223" s="131">
        <v>46107</v>
      </c>
      <c r="EF223" s="131">
        <v>46107</v>
      </c>
      <c r="EG223" s="131">
        <v>46108</v>
      </c>
      <c r="EH223" s="131">
        <v>46111</v>
      </c>
      <c r="EI223" s="131">
        <v>46112</v>
      </c>
      <c r="EJ223" s="131">
        <v>46113</v>
      </c>
      <c r="EK223" s="131">
        <v>46113</v>
      </c>
      <c r="EL223" s="132">
        <v>18</v>
      </c>
      <c r="EM223" s="133">
        <v>46119</v>
      </c>
      <c r="EN223" s="131">
        <v>46121</v>
      </c>
      <c r="EO223" s="133">
        <v>46127</v>
      </c>
      <c r="EP223" s="133">
        <v>46128</v>
      </c>
      <c r="EQ223" s="133">
        <v>46129</v>
      </c>
      <c r="ER223" s="133">
        <v>46133</v>
      </c>
      <c r="ES223" s="133">
        <v>46134</v>
      </c>
      <c r="ET223" s="133">
        <v>46134</v>
      </c>
      <c r="EU223" s="133">
        <v>46139</v>
      </c>
      <c r="EV223" s="134">
        <v>1</v>
      </c>
      <c r="EW223" s="133">
        <v>46142</v>
      </c>
      <c r="EX223" s="133"/>
      <c r="EY223" s="154" t="s">
        <v>863</v>
      </c>
      <c r="EZ223" s="132" t="s">
        <v>904</v>
      </c>
      <c r="FA223" s="192" t="s">
        <v>910</v>
      </c>
      <c r="FB223" s="202" t="e">
        <v>#NUM!</v>
      </c>
      <c r="FC223" s="202" t="e">
        <v>#NUM!</v>
      </c>
      <c r="FD223" s="202" t="e">
        <v>#NUM!</v>
      </c>
      <c r="FE223" s="202" t="e">
        <v>#NUM!</v>
      </c>
      <c r="FF223" s="202" t="e">
        <v>#NUM!</v>
      </c>
      <c r="FG223" s="202" t="e">
        <v>#NUM!</v>
      </c>
      <c r="FH223" s="202" t="e">
        <v>#NUM!</v>
      </c>
      <c r="FI223" s="202" t="e">
        <v>#NUM!</v>
      </c>
      <c r="FJ223" s="202" t="e">
        <v>#NUM!</v>
      </c>
      <c r="FK223" s="202" t="e">
        <v>#NUM!</v>
      </c>
      <c r="FL223" s="202" t="e">
        <v>#NUM!</v>
      </c>
      <c r="FM223" s="202" t="e">
        <v>#NUM!</v>
      </c>
      <c r="FN223" s="202" t="e">
        <v>#NUM!</v>
      </c>
      <c r="FO223" s="202" t="e">
        <v>#NUM!</v>
      </c>
      <c r="FP223" s="202" t="e">
        <v>#NUM!</v>
      </c>
      <c r="FQ223" s="202" t="e">
        <v>#NUM!</v>
      </c>
      <c r="FR223" s="202" t="e">
        <v>#NUM!</v>
      </c>
      <c r="FS223" s="202" t="e">
        <v>#NUM!</v>
      </c>
      <c r="FT223" s="202" t="e">
        <v>#NUM!</v>
      </c>
      <c r="FU223" s="202"/>
      <c r="FV223" s="202"/>
      <c r="FW223" s="202"/>
      <c r="FX223" s="202"/>
      <c r="FY223" s="202" t="e">
        <v>#NUM!</v>
      </c>
      <c r="FZ223" s="202" t="e">
        <v>#NUM!</v>
      </c>
      <c r="GA223" s="202" t="e">
        <v>#NUM!</v>
      </c>
      <c r="GB223" s="202" t="e">
        <v>#NUM!</v>
      </c>
      <c r="GC223" s="202" t="e">
        <v>#NUM!</v>
      </c>
      <c r="GD223" s="202" t="e">
        <v>#NUM!</v>
      </c>
      <c r="GE223" s="202" t="e">
        <v>#NUM!</v>
      </c>
      <c r="GF223" s="202"/>
      <c r="GG223" s="202">
        <v>18</v>
      </c>
      <c r="GH223" s="202">
        <v>5</v>
      </c>
      <c r="GI223" s="202">
        <v>9</v>
      </c>
      <c r="GJ223" s="202">
        <v>13</v>
      </c>
      <c r="GK223" s="202">
        <v>16</v>
      </c>
      <c r="GL223" s="202">
        <v>17</v>
      </c>
      <c r="GM223" s="202">
        <v>19</v>
      </c>
      <c r="GN223" s="202">
        <v>20</v>
      </c>
      <c r="GO223" s="202">
        <v>20</v>
      </c>
      <c r="GP223" s="202">
        <v>25</v>
      </c>
      <c r="GQ223" s="202"/>
      <c r="GR223" s="189"/>
      <c r="GS223" s="189"/>
      <c r="GT223" s="189"/>
      <c r="GU223" s="189"/>
      <c r="GV223" s="189" t="s">
        <v>1165</v>
      </c>
    </row>
    <row r="224" spans="1:204" s="68" customFormat="1" ht="14.45" customHeight="1" x14ac:dyDescent="0.25">
      <c r="A224" s="68" t="s">
        <v>699</v>
      </c>
      <c r="B224" s="82" t="s">
        <v>154</v>
      </c>
      <c r="C224" s="82" t="s">
        <v>172</v>
      </c>
      <c r="D224" s="95" t="s">
        <v>196</v>
      </c>
      <c r="E224" s="82" t="s">
        <v>5</v>
      </c>
      <c r="F224" s="95" t="s">
        <v>550</v>
      </c>
      <c r="G224" s="82" t="s">
        <v>288</v>
      </c>
      <c r="H224" s="82" t="s">
        <v>551</v>
      </c>
      <c r="I224" s="82" t="s">
        <v>300</v>
      </c>
      <c r="J224" s="82" t="s">
        <v>528</v>
      </c>
      <c r="K224" s="92" t="s">
        <v>326</v>
      </c>
      <c r="L224" s="88" t="s">
        <v>558</v>
      </c>
      <c r="M224" s="88" t="s">
        <v>530</v>
      </c>
      <c r="N224" s="88" t="s">
        <v>7</v>
      </c>
      <c r="O224" s="116" t="s">
        <v>559</v>
      </c>
      <c r="P224" s="116" t="s">
        <v>560</v>
      </c>
      <c r="Q224" s="82" t="s">
        <v>772</v>
      </c>
      <c r="R224" s="82" t="s">
        <v>773</v>
      </c>
      <c r="S224" s="82" t="s">
        <v>774</v>
      </c>
      <c r="T224" s="82" t="s">
        <v>320</v>
      </c>
      <c r="U224" s="83"/>
      <c r="V224" s="83"/>
      <c r="W224" s="83">
        <v>0.05</v>
      </c>
      <c r="X224" s="83"/>
      <c r="Y224" s="83"/>
      <c r="Z224" s="83">
        <v>0.05</v>
      </c>
      <c r="AA224" s="83"/>
      <c r="AB224" s="83"/>
      <c r="AC224" s="83">
        <v>0.05</v>
      </c>
      <c r="AD224" s="83"/>
      <c r="AE224" s="83"/>
      <c r="AF224" s="83">
        <v>0.05</v>
      </c>
      <c r="AG224" s="82" t="s">
        <v>535</v>
      </c>
      <c r="AH224" s="82" t="s">
        <v>529</v>
      </c>
      <c r="AI224" s="88" t="s">
        <v>538</v>
      </c>
      <c r="AJ224" s="89" t="s">
        <v>538</v>
      </c>
      <c r="AK224" s="90">
        <v>46023</v>
      </c>
      <c r="AL224" s="90">
        <v>46387</v>
      </c>
      <c r="AM224" s="89"/>
      <c r="AN224" s="89"/>
      <c r="AO224" s="89"/>
      <c r="AP224" s="91" t="s">
        <v>544</v>
      </c>
      <c r="AQ224" s="90" t="str" cm="1">
        <f t="array" ref="AQ224">IFERROR(DATE(2026, _xlfn.AGGREGATE(15, 6, (COLUMN(BY224:CJ224)-COLUMN(BY224)+1)/(BY224:CJ224&lt;&gt;0), 1), 1),"N/A")</f>
        <v>N/A</v>
      </c>
      <c r="AR224" s="90" t="str" cm="1">
        <f t="array" ref="AR224">IFERROR(EOMONTH(DATE(2026, _xlfn.AGGREGATE(14, 6, (COLUMN(BY224:CJ224)-COLUMN(BY224)+1)/(BY224:CJ224&lt;&gt;0), 1), 1), 0),"N/A")</f>
        <v>N/A</v>
      </c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2" t="s">
        <v>680</v>
      </c>
      <c r="BF224" s="82" t="s">
        <v>1078</v>
      </c>
      <c r="BG224" s="82" t="str">
        <f t="shared" si="18"/>
        <v>001</v>
      </c>
      <c r="BH224" s="88">
        <v>730207</v>
      </c>
      <c r="BI224" s="92" t="s">
        <v>706</v>
      </c>
      <c r="BJ224" s="84">
        <v>50000</v>
      </c>
      <c r="BK224" s="74">
        <v>0</v>
      </c>
      <c r="BL224" s="74">
        <v>0</v>
      </c>
      <c r="BM224" s="74">
        <v>0</v>
      </c>
      <c r="BN224" s="74">
        <v>0</v>
      </c>
      <c r="BO224" s="74">
        <v>0</v>
      </c>
      <c r="BP224" s="74">
        <v>0</v>
      </c>
      <c r="BQ224" s="74">
        <v>0</v>
      </c>
      <c r="BR224" s="74">
        <v>0</v>
      </c>
      <c r="BS224" s="74">
        <v>0</v>
      </c>
      <c r="BT224" s="74">
        <v>0</v>
      </c>
      <c r="BU224" s="74">
        <v>0</v>
      </c>
      <c r="BV224" s="142">
        <v>50000</v>
      </c>
      <c r="BW224" s="142">
        <v>-50000</v>
      </c>
      <c r="BX224" s="143">
        <f t="shared" si="23"/>
        <v>0</v>
      </c>
      <c r="BY224" s="74">
        <v>0</v>
      </c>
      <c r="BZ224" s="74"/>
      <c r="CA224" s="74"/>
      <c r="CB224" s="74"/>
      <c r="CC224" s="74"/>
      <c r="CD224" s="74"/>
      <c r="CE224" s="74"/>
      <c r="CF224" s="74"/>
      <c r="CG224" s="74"/>
      <c r="CH224" s="74"/>
      <c r="CI224" s="74"/>
      <c r="CJ224" s="142"/>
      <c r="CK224" s="142"/>
      <c r="CL224" s="142">
        <f t="shared" si="19"/>
        <v>0</v>
      </c>
      <c r="CM224" s="171">
        <v>0</v>
      </c>
      <c r="CN224" s="171">
        <v>0</v>
      </c>
      <c r="CO224" s="171">
        <v>0</v>
      </c>
      <c r="CP224" s="171">
        <v>0</v>
      </c>
      <c r="CQ224" s="171">
        <v>0</v>
      </c>
      <c r="CR224" s="171">
        <v>0</v>
      </c>
      <c r="CS224" s="171">
        <f t="shared" si="20"/>
        <v>0</v>
      </c>
      <c r="CT224" s="171">
        <f t="shared" si="21"/>
        <v>0</v>
      </c>
      <c r="CU224" s="171">
        <f t="shared" si="22"/>
        <v>0</v>
      </c>
      <c r="CV224" s="149"/>
      <c r="CW224" s="149"/>
      <c r="CX224" s="130"/>
      <c r="CY224" s="130"/>
      <c r="CZ224" s="130"/>
      <c r="DA224" s="130"/>
      <c r="DB224" s="130"/>
      <c r="DC224" s="130"/>
      <c r="DD224" s="130"/>
      <c r="DE224" s="130"/>
      <c r="DF224" s="130"/>
      <c r="DG224" s="130"/>
      <c r="DH224" s="130"/>
      <c r="DI224" s="130"/>
      <c r="DJ224" s="130"/>
      <c r="DK224" s="130"/>
      <c r="DL224" s="130"/>
      <c r="DM224" s="130"/>
      <c r="DN224" s="130"/>
      <c r="DO224" s="130"/>
      <c r="DP224" s="130"/>
      <c r="DQ224" s="130"/>
      <c r="DR224" s="130"/>
      <c r="DS224" s="130"/>
      <c r="DT224" s="130"/>
      <c r="DU224" s="130"/>
      <c r="DV224" s="130"/>
      <c r="DW224" s="130"/>
      <c r="DX224" s="130"/>
      <c r="DY224" s="130"/>
      <c r="DZ224" s="130"/>
      <c r="EA224" s="130"/>
      <c r="EB224" s="130"/>
      <c r="EC224" s="130"/>
      <c r="ED224" s="130"/>
      <c r="EE224" s="130"/>
      <c r="EF224" s="130"/>
      <c r="EG224" s="130"/>
      <c r="EH224" s="130"/>
      <c r="EI224" s="130"/>
      <c r="EJ224" s="130"/>
      <c r="EK224" s="130"/>
      <c r="EL224" s="130"/>
      <c r="EM224" s="130"/>
      <c r="EN224" s="130"/>
      <c r="EO224" s="130"/>
      <c r="EP224" s="130"/>
      <c r="EQ224" s="130"/>
      <c r="ER224" s="130"/>
      <c r="ES224" s="130"/>
      <c r="ET224" s="130"/>
      <c r="EU224" s="130"/>
      <c r="EV224" s="130"/>
      <c r="EW224" s="130"/>
      <c r="EX224" s="130"/>
      <c r="EY224" s="130"/>
      <c r="EZ224" s="130"/>
      <c r="FA224" s="130"/>
      <c r="FB224" s="201"/>
      <c r="FC224" s="201"/>
      <c r="FD224" s="201"/>
      <c r="FE224" s="201"/>
      <c r="FF224" s="201"/>
      <c r="FG224" s="201"/>
      <c r="FH224" s="201"/>
      <c r="FI224" s="201"/>
      <c r="FJ224" s="201"/>
      <c r="FK224" s="201"/>
      <c r="FL224" s="201"/>
      <c r="FM224" s="201"/>
      <c r="FN224" s="201"/>
      <c r="FO224" s="201"/>
      <c r="FP224" s="201"/>
      <c r="FQ224" s="201"/>
      <c r="FR224" s="201"/>
      <c r="FS224" s="201"/>
      <c r="FT224" s="201"/>
      <c r="FU224" s="201"/>
      <c r="FV224" s="201"/>
      <c r="FW224" s="201"/>
      <c r="FX224" s="201"/>
      <c r="FY224" s="201"/>
      <c r="FZ224" s="201"/>
      <c r="GA224" s="201"/>
      <c r="GB224" s="201"/>
      <c r="GC224" s="201"/>
      <c r="GD224" s="201"/>
      <c r="GE224" s="201"/>
      <c r="GF224" s="201"/>
      <c r="GG224" s="201"/>
      <c r="GH224" s="201"/>
      <c r="GI224" s="201"/>
      <c r="GJ224" s="201"/>
      <c r="GK224" s="201"/>
      <c r="GL224" s="201"/>
      <c r="GM224" s="201"/>
      <c r="GN224" s="201"/>
      <c r="GO224" s="201"/>
      <c r="GP224" s="201"/>
      <c r="GQ224" s="201"/>
    </row>
    <row r="225" spans="1:204" s="68" customFormat="1" ht="14.45" customHeight="1" x14ac:dyDescent="0.25">
      <c r="A225" s="68" t="s">
        <v>694</v>
      </c>
      <c r="B225" s="82" t="s">
        <v>154</v>
      </c>
      <c r="C225" s="82" t="s">
        <v>172</v>
      </c>
      <c r="D225" s="95" t="s">
        <v>196</v>
      </c>
      <c r="E225" s="82" t="s">
        <v>5</v>
      </c>
      <c r="F225" s="95" t="s">
        <v>550</v>
      </c>
      <c r="G225" s="82" t="s">
        <v>288</v>
      </c>
      <c r="H225" s="82" t="s">
        <v>551</v>
      </c>
      <c r="I225" s="82" t="s">
        <v>300</v>
      </c>
      <c r="J225" s="82" t="s">
        <v>528</v>
      </c>
      <c r="K225" s="92" t="s">
        <v>326</v>
      </c>
      <c r="L225" s="88" t="s">
        <v>558</v>
      </c>
      <c r="M225" s="88" t="s">
        <v>530</v>
      </c>
      <c r="N225" s="88" t="s">
        <v>7</v>
      </c>
      <c r="O225" s="116" t="s">
        <v>559</v>
      </c>
      <c r="P225" s="88" t="s">
        <v>561</v>
      </c>
      <c r="Q225" s="82" t="s">
        <v>775</v>
      </c>
      <c r="R225" s="82" t="s">
        <v>776</v>
      </c>
      <c r="S225" s="82" t="s">
        <v>777</v>
      </c>
      <c r="T225" s="82" t="s">
        <v>2</v>
      </c>
      <c r="U225" s="83">
        <v>0</v>
      </c>
      <c r="V225" s="83">
        <v>0</v>
      </c>
      <c r="W225" s="83">
        <v>0.2</v>
      </c>
      <c r="X225" s="83">
        <v>0.2</v>
      </c>
      <c r="Y225" s="83">
        <v>0.2</v>
      </c>
      <c r="Z225" s="83">
        <v>0.4</v>
      </c>
      <c r="AA225" s="83">
        <v>0.4</v>
      </c>
      <c r="AB225" s="83">
        <v>0.4</v>
      </c>
      <c r="AC225" s="83">
        <v>0.7</v>
      </c>
      <c r="AD225" s="83">
        <v>0.7</v>
      </c>
      <c r="AE225" s="83">
        <v>0.7</v>
      </c>
      <c r="AF225" s="83">
        <v>1</v>
      </c>
      <c r="AG225" s="82" t="s">
        <v>537</v>
      </c>
      <c r="AH225" s="82" t="s">
        <v>529</v>
      </c>
      <c r="AI225" s="88" t="s">
        <v>538</v>
      </c>
      <c r="AJ225" s="89" t="s">
        <v>538</v>
      </c>
      <c r="AK225" s="90">
        <v>46174</v>
      </c>
      <c r="AL225" s="90">
        <v>46326</v>
      </c>
      <c r="AM225" s="89"/>
      <c r="AN225" s="89"/>
      <c r="AO225" s="89"/>
      <c r="AP225" s="187" t="s">
        <v>547</v>
      </c>
      <c r="AQ225" s="90" cm="1">
        <f t="array" ref="AQ225">IFERROR(DATE(2026, _xlfn.AGGREGATE(15, 6, (COLUMN(BY225:CJ225)-COLUMN(BY225)+1)/(BY225:CJ225&lt;&gt;0), 1), 1),"N/A")</f>
        <v>46143</v>
      </c>
      <c r="AR225" s="90" cm="1">
        <f t="array" ref="AR225">IFERROR(EOMONTH(DATE(2026, _xlfn.AGGREGATE(14, 6, (COLUMN(BY225:CJ225)-COLUMN(BY225)+1)/(BY225:CJ225&lt;&gt;0), 1), 1), 0),"N/A")</f>
        <v>46295</v>
      </c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2" t="s">
        <v>683</v>
      </c>
      <c r="BF225" s="82" t="s">
        <v>1069</v>
      </c>
      <c r="BG225" s="82" t="str">
        <f t="shared" si="18"/>
        <v>000</v>
      </c>
      <c r="BH225" s="88">
        <v>730425</v>
      </c>
      <c r="BI225" s="92" t="s">
        <v>706</v>
      </c>
      <c r="BJ225" s="93">
        <v>140000</v>
      </c>
      <c r="BK225" s="74">
        <v>0</v>
      </c>
      <c r="BL225" s="74">
        <v>0</v>
      </c>
      <c r="BM225" s="74">
        <v>0</v>
      </c>
      <c r="BN225" s="74">
        <v>0</v>
      </c>
      <c r="BO225" s="74">
        <v>0</v>
      </c>
      <c r="BP225" s="74">
        <v>0</v>
      </c>
      <c r="BQ225" s="74">
        <v>0</v>
      </c>
      <c r="BR225" s="94">
        <v>50000</v>
      </c>
      <c r="BS225" s="94">
        <v>50000</v>
      </c>
      <c r="BT225" s="94">
        <v>40000</v>
      </c>
      <c r="BU225" s="74">
        <v>0</v>
      </c>
      <c r="BV225" s="143">
        <v>0</v>
      </c>
      <c r="BW225" s="143">
        <v>7000</v>
      </c>
      <c r="BX225" s="143">
        <f t="shared" si="23"/>
        <v>147000</v>
      </c>
      <c r="BY225" s="74">
        <v>0</v>
      </c>
      <c r="BZ225" s="74">
        <v>0</v>
      </c>
      <c r="CA225" s="74">
        <v>0</v>
      </c>
      <c r="CB225" s="74">
        <v>0</v>
      </c>
      <c r="CC225" s="74">
        <v>27000</v>
      </c>
      <c r="CD225" s="74">
        <v>30000</v>
      </c>
      <c r="CE225" s="74">
        <v>30000</v>
      </c>
      <c r="CF225" s="94">
        <v>30000</v>
      </c>
      <c r="CG225" s="94">
        <v>30000</v>
      </c>
      <c r="CH225" s="94"/>
      <c r="CI225" s="74">
        <v>0</v>
      </c>
      <c r="CJ225" s="143">
        <v>0</v>
      </c>
      <c r="CK225" s="143"/>
      <c r="CL225" s="142">
        <f t="shared" si="19"/>
        <v>0</v>
      </c>
      <c r="CM225" s="171">
        <v>0</v>
      </c>
      <c r="CN225" s="171">
        <v>146595</v>
      </c>
      <c r="CO225" s="171">
        <v>0</v>
      </c>
      <c r="CP225" s="171">
        <v>0</v>
      </c>
      <c r="CQ225" s="171">
        <v>146595</v>
      </c>
      <c r="CR225" s="171">
        <v>0</v>
      </c>
      <c r="CS225" s="171">
        <f t="shared" si="20"/>
        <v>0</v>
      </c>
      <c r="CT225" s="171">
        <f t="shared" si="21"/>
        <v>293190</v>
      </c>
      <c r="CU225" s="171">
        <f t="shared" si="22"/>
        <v>0</v>
      </c>
      <c r="CV225" s="152">
        <v>140000</v>
      </c>
      <c r="CW225" s="149">
        <v>147000</v>
      </c>
      <c r="CX225" s="130">
        <v>1</v>
      </c>
      <c r="CY225" s="130">
        <v>1</v>
      </c>
      <c r="CZ225" s="130" t="s">
        <v>321</v>
      </c>
      <c r="DA225" s="130" t="s">
        <v>849</v>
      </c>
      <c r="DB225" s="130" t="s">
        <v>850</v>
      </c>
      <c r="DC225" s="130" t="s">
        <v>909</v>
      </c>
      <c r="DD225" s="130"/>
      <c r="DE225" s="131">
        <v>46042</v>
      </c>
      <c r="DF225" s="131">
        <v>46042</v>
      </c>
      <c r="DG225" s="132">
        <v>1</v>
      </c>
      <c r="DH225" s="131">
        <v>46043</v>
      </c>
      <c r="DI225" s="131">
        <v>46043</v>
      </c>
      <c r="DJ225" s="131">
        <v>46043</v>
      </c>
      <c r="DK225" s="131">
        <v>46044</v>
      </c>
      <c r="DL225" s="131">
        <v>46045</v>
      </c>
      <c r="DM225" s="131">
        <v>46048</v>
      </c>
      <c r="DN225" s="131">
        <v>46049</v>
      </c>
      <c r="DO225" s="131">
        <v>46050</v>
      </c>
      <c r="DP225" s="131">
        <v>46051</v>
      </c>
      <c r="DQ225" s="131">
        <v>46051</v>
      </c>
      <c r="DR225" s="132">
        <v>1</v>
      </c>
      <c r="DS225" s="131">
        <v>46052</v>
      </c>
      <c r="DT225" s="131">
        <v>46055</v>
      </c>
      <c r="DU225" s="131">
        <v>46056</v>
      </c>
      <c r="DV225" s="131">
        <v>46057</v>
      </c>
      <c r="DW225" s="131">
        <v>46057</v>
      </c>
      <c r="DX225" s="131">
        <v>46058</v>
      </c>
      <c r="DY225" s="131">
        <v>46058</v>
      </c>
      <c r="DZ225" s="132"/>
      <c r="EA225" s="132"/>
      <c r="EB225" s="132"/>
      <c r="EC225" s="132"/>
      <c r="ED225" s="131">
        <v>46059</v>
      </c>
      <c r="EE225" s="131">
        <v>46062</v>
      </c>
      <c r="EF225" s="131">
        <v>46062</v>
      </c>
      <c r="EG225" s="131">
        <v>46063</v>
      </c>
      <c r="EH225" s="131">
        <v>46064</v>
      </c>
      <c r="EI225" s="131">
        <v>46065</v>
      </c>
      <c r="EJ225" s="131">
        <v>46066</v>
      </c>
      <c r="EK225" s="131">
        <v>46066</v>
      </c>
      <c r="EL225" s="132">
        <v>18</v>
      </c>
      <c r="EM225" s="133">
        <v>46072</v>
      </c>
      <c r="EN225" s="131">
        <v>46076</v>
      </c>
      <c r="EO225" s="133">
        <v>46080</v>
      </c>
      <c r="EP225" s="133">
        <v>46083</v>
      </c>
      <c r="EQ225" s="133">
        <v>46084</v>
      </c>
      <c r="ER225" s="133">
        <v>46086</v>
      </c>
      <c r="ES225" s="133">
        <v>46087</v>
      </c>
      <c r="ET225" s="133">
        <v>46091</v>
      </c>
      <c r="EU225" s="133">
        <v>46094</v>
      </c>
      <c r="EV225" s="134">
        <v>1</v>
      </c>
      <c r="EW225" s="133">
        <v>46099</v>
      </c>
      <c r="EX225" s="133"/>
      <c r="EY225" s="154" t="s">
        <v>852</v>
      </c>
      <c r="EZ225" s="132" t="s">
        <v>913</v>
      </c>
      <c r="FA225" s="141">
        <v>45676</v>
      </c>
      <c r="FB225" s="203">
        <v>46031</v>
      </c>
      <c r="FC225" s="203">
        <v>46031</v>
      </c>
      <c r="FD225" s="203">
        <v>46034</v>
      </c>
      <c r="FE225" s="203">
        <v>46034</v>
      </c>
      <c r="FF225" s="203">
        <v>46034</v>
      </c>
      <c r="FG225" s="203">
        <v>46035</v>
      </c>
      <c r="FH225" s="203">
        <v>46036</v>
      </c>
      <c r="FI225" s="203">
        <v>46037</v>
      </c>
      <c r="FJ225" s="203">
        <v>46038</v>
      </c>
      <c r="FK225" s="203">
        <v>46041</v>
      </c>
      <c r="FL225" s="203">
        <v>46042</v>
      </c>
      <c r="FM225" s="203">
        <v>46042</v>
      </c>
      <c r="FN225" s="203">
        <v>46043</v>
      </c>
      <c r="FO225" s="203">
        <v>46044</v>
      </c>
      <c r="FP225" s="203">
        <v>46045</v>
      </c>
      <c r="FQ225" s="203">
        <v>46048</v>
      </c>
      <c r="FR225" s="203">
        <v>46048</v>
      </c>
      <c r="FS225" s="203">
        <v>46049</v>
      </c>
      <c r="FT225" s="203">
        <v>46049</v>
      </c>
      <c r="FU225" s="203"/>
      <c r="FV225" s="203"/>
      <c r="FW225" s="203"/>
      <c r="FX225" s="203"/>
      <c r="FY225" s="203">
        <v>46050</v>
      </c>
      <c r="FZ225" s="203">
        <v>46051</v>
      </c>
      <c r="GA225" s="203">
        <v>46051</v>
      </c>
      <c r="GB225" s="203">
        <v>46052</v>
      </c>
      <c r="GC225" s="203">
        <v>46055</v>
      </c>
      <c r="GD225" s="203">
        <v>46056</v>
      </c>
      <c r="GE225" s="203">
        <v>46057</v>
      </c>
      <c r="GF225" s="203">
        <v>46057</v>
      </c>
      <c r="GG225" s="203">
        <v>18</v>
      </c>
      <c r="GH225" s="203">
        <v>46063</v>
      </c>
      <c r="GI225" s="203">
        <v>46065</v>
      </c>
      <c r="GJ225" s="203">
        <v>46071</v>
      </c>
      <c r="GK225" s="203">
        <v>46072</v>
      </c>
      <c r="GL225" s="203">
        <v>46073</v>
      </c>
      <c r="GM225" s="203">
        <v>46077</v>
      </c>
      <c r="GN225" s="203">
        <v>46078</v>
      </c>
      <c r="GO225" s="203">
        <v>46080</v>
      </c>
      <c r="GP225" s="203">
        <v>46085</v>
      </c>
      <c r="GQ225" s="203">
        <v>46090</v>
      </c>
      <c r="GR225" s="187"/>
      <c r="GS225" s="187" t="s">
        <v>1180</v>
      </c>
      <c r="GT225" s="187" t="s">
        <v>852</v>
      </c>
      <c r="GU225" s="187" t="s">
        <v>913</v>
      </c>
      <c r="GV225" s="187" t="s">
        <v>1166</v>
      </c>
    </row>
    <row r="226" spans="1:204" s="68" customFormat="1" ht="14.45" customHeight="1" x14ac:dyDescent="0.25">
      <c r="A226" s="68" t="s">
        <v>694</v>
      </c>
      <c r="B226" s="82" t="s">
        <v>154</v>
      </c>
      <c r="C226" s="82" t="s">
        <v>172</v>
      </c>
      <c r="D226" s="95" t="s">
        <v>196</v>
      </c>
      <c r="E226" s="82" t="s">
        <v>5</v>
      </c>
      <c r="F226" s="95" t="s">
        <v>550</v>
      </c>
      <c r="G226" s="82" t="s">
        <v>288</v>
      </c>
      <c r="H226" s="82" t="s">
        <v>551</v>
      </c>
      <c r="I226" s="82" t="s">
        <v>300</v>
      </c>
      <c r="J226" s="82" t="s">
        <v>528</v>
      </c>
      <c r="K226" s="92" t="s">
        <v>326</v>
      </c>
      <c r="L226" s="88" t="s">
        <v>558</v>
      </c>
      <c r="M226" s="88" t="s">
        <v>530</v>
      </c>
      <c r="N226" s="88" t="s">
        <v>7</v>
      </c>
      <c r="O226" s="116" t="s">
        <v>559</v>
      </c>
      <c r="P226" s="88" t="s">
        <v>561</v>
      </c>
      <c r="Q226" s="82" t="s">
        <v>775</v>
      </c>
      <c r="R226" s="82" t="s">
        <v>776</v>
      </c>
      <c r="S226" s="82" t="s">
        <v>777</v>
      </c>
      <c r="T226" s="82" t="s">
        <v>2</v>
      </c>
      <c r="U226" s="83">
        <v>0</v>
      </c>
      <c r="V226" s="83">
        <v>0</v>
      </c>
      <c r="W226" s="83">
        <v>0.2</v>
      </c>
      <c r="X226" s="83">
        <v>0.2</v>
      </c>
      <c r="Y226" s="83">
        <v>0.2</v>
      </c>
      <c r="Z226" s="83">
        <v>0.4</v>
      </c>
      <c r="AA226" s="83">
        <v>0.4</v>
      </c>
      <c r="AB226" s="83">
        <v>0.4</v>
      </c>
      <c r="AC226" s="83">
        <v>0.7</v>
      </c>
      <c r="AD226" s="83">
        <v>0.7</v>
      </c>
      <c r="AE226" s="83">
        <v>0.7</v>
      </c>
      <c r="AF226" s="83">
        <v>1</v>
      </c>
      <c r="AG226" s="82" t="s">
        <v>537</v>
      </c>
      <c r="AH226" s="82" t="s">
        <v>529</v>
      </c>
      <c r="AI226" s="88" t="s">
        <v>538</v>
      </c>
      <c r="AJ226" s="89" t="s">
        <v>538</v>
      </c>
      <c r="AK226" s="90">
        <v>46174</v>
      </c>
      <c r="AL226" s="90">
        <v>46326</v>
      </c>
      <c r="AM226" s="89"/>
      <c r="AN226" s="89"/>
      <c r="AO226" s="89"/>
      <c r="AP226" s="187" t="s">
        <v>547</v>
      </c>
      <c r="AQ226" s="90" t="str" cm="1">
        <f t="array" ref="AQ226">IFERROR(DATE(2026, _xlfn.AGGREGATE(15, 6, (COLUMN(BY226:CJ226)-COLUMN(BY226)+1)/(BY226:CJ226&lt;&gt;0), 1), 1),"N/A")</f>
        <v>N/A</v>
      </c>
      <c r="AR226" s="90" t="str" cm="1">
        <f t="array" ref="AR226">IFERROR(EOMONTH(DATE(2026, _xlfn.AGGREGATE(14, 6, (COLUMN(BY226:CJ226)-COLUMN(BY226)+1)/(BY226:CJ226&lt;&gt;0), 1), 1), 0),"N/A")</f>
        <v>N/A</v>
      </c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2" t="s">
        <v>675</v>
      </c>
      <c r="BF226" s="82" t="s">
        <v>1067</v>
      </c>
      <c r="BG226" s="82" t="str">
        <f t="shared" si="18"/>
        <v>000</v>
      </c>
      <c r="BH226" s="88">
        <v>730425</v>
      </c>
      <c r="BI226" s="92" t="s">
        <v>706</v>
      </c>
      <c r="BJ226" s="93">
        <v>75000</v>
      </c>
      <c r="BK226" s="74">
        <v>0</v>
      </c>
      <c r="BL226" s="74">
        <v>0</v>
      </c>
      <c r="BM226" s="74">
        <v>0</v>
      </c>
      <c r="BN226" s="74">
        <v>0</v>
      </c>
      <c r="BO226" s="74">
        <v>0</v>
      </c>
      <c r="BP226" s="94">
        <v>30000</v>
      </c>
      <c r="BQ226" s="94">
        <v>30000</v>
      </c>
      <c r="BR226" s="94">
        <v>15000</v>
      </c>
      <c r="BS226" s="74">
        <v>0</v>
      </c>
      <c r="BT226" s="74">
        <v>0</v>
      </c>
      <c r="BU226" s="74">
        <v>0</v>
      </c>
      <c r="BV226" s="143">
        <v>0</v>
      </c>
      <c r="BW226" s="143">
        <v>-75000</v>
      </c>
      <c r="BX226" s="143">
        <f t="shared" si="23"/>
        <v>0</v>
      </c>
      <c r="BY226" s="74">
        <v>0</v>
      </c>
      <c r="BZ226" s="74">
        <v>0</v>
      </c>
      <c r="CA226" s="74">
        <v>0</v>
      </c>
      <c r="CB226" s="74">
        <v>0</v>
      </c>
      <c r="CC226" s="74">
        <v>0</v>
      </c>
      <c r="CD226" s="94"/>
      <c r="CE226" s="94"/>
      <c r="CF226" s="94"/>
      <c r="CG226" s="74">
        <v>0</v>
      </c>
      <c r="CH226" s="74">
        <v>0</v>
      </c>
      <c r="CI226" s="74">
        <v>0</v>
      </c>
      <c r="CJ226" s="143">
        <v>0</v>
      </c>
      <c r="CK226" s="143"/>
      <c r="CL226" s="142">
        <f t="shared" si="19"/>
        <v>0</v>
      </c>
      <c r="CM226" s="171">
        <v>0</v>
      </c>
      <c r="CN226" s="171">
        <v>0</v>
      </c>
      <c r="CO226" s="171">
        <v>0</v>
      </c>
      <c r="CP226" s="171">
        <v>0</v>
      </c>
      <c r="CQ226" s="171">
        <v>0</v>
      </c>
      <c r="CR226" s="171">
        <v>0</v>
      </c>
      <c r="CS226" s="171">
        <f t="shared" si="20"/>
        <v>0</v>
      </c>
      <c r="CT226" s="171">
        <f t="shared" si="21"/>
        <v>0</v>
      </c>
      <c r="CU226" s="171">
        <f t="shared" si="22"/>
        <v>0</v>
      </c>
      <c r="CV226" s="152">
        <v>75000</v>
      </c>
      <c r="CW226" s="149">
        <v>0</v>
      </c>
      <c r="CX226" s="130">
        <v>1</v>
      </c>
      <c r="CY226" s="130">
        <v>0</v>
      </c>
      <c r="CZ226" s="130" t="s">
        <v>321</v>
      </c>
      <c r="DA226" s="130" t="s">
        <v>849</v>
      </c>
      <c r="DB226" s="130" t="s">
        <v>850</v>
      </c>
      <c r="DC226" s="130" t="s">
        <v>909</v>
      </c>
      <c r="DD226" s="130"/>
      <c r="DE226" s="131">
        <v>46042</v>
      </c>
      <c r="DF226" s="131">
        <v>46042</v>
      </c>
      <c r="DG226" s="132">
        <v>1</v>
      </c>
      <c r="DH226" s="131">
        <v>46043</v>
      </c>
      <c r="DI226" s="131">
        <v>46043</v>
      </c>
      <c r="DJ226" s="131">
        <v>46043</v>
      </c>
      <c r="DK226" s="131">
        <v>46044</v>
      </c>
      <c r="DL226" s="131">
        <v>46045</v>
      </c>
      <c r="DM226" s="131">
        <v>46048</v>
      </c>
      <c r="DN226" s="131">
        <v>46049</v>
      </c>
      <c r="DO226" s="131">
        <v>46050</v>
      </c>
      <c r="DP226" s="131">
        <v>46051</v>
      </c>
      <c r="DQ226" s="131">
        <v>46051</v>
      </c>
      <c r="DR226" s="132">
        <v>1</v>
      </c>
      <c r="DS226" s="131">
        <v>46052</v>
      </c>
      <c r="DT226" s="131">
        <v>46055</v>
      </c>
      <c r="DU226" s="131">
        <v>46056</v>
      </c>
      <c r="DV226" s="131">
        <v>46057</v>
      </c>
      <c r="DW226" s="131">
        <v>46057</v>
      </c>
      <c r="DX226" s="131">
        <v>46058</v>
      </c>
      <c r="DY226" s="131">
        <v>46058</v>
      </c>
      <c r="DZ226" s="132"/>
      <c r="EA226" s="132"/>
      <c r="EB226" s="132"/>
      <c r="EC226" s="132"/>
      <c r="ED226" s="131">
        <v>46059</v>
      </c>
      <c r="EE226" s="131">
        <v>46062</v>
      </c>
      <c r="EF226" s="131">
        <v>46062</v>
      </c>
      <c r="EG226" s="131">
        <v>46063</v>
      </c>
      <c r="EH226" s="131">
        <v>46064</v>
      </c>
      <c r="EI226" s="131">
        <v>46065</v>
      </c>
      <c r="EJ226" s="131">
        <v>46066</v>
      </c>
      <c r="EK226" s="131">
        <v>46066</v>
      </c>
      <c r="EL226" s="132">
        <v>18</v>
      </c>
      <c r="EM226" s="131">
        <v>46070</v>
      </c>
      <c r="EN226" s="131">
        <v>46072</v>
      </c>
      <c r="EO226" s="133">
        <v>46076</v>
      </c>
      <c r="EP226" s="133">
        <v>46077</v>
      </c>
      <c r="EQ226" s="133">
        <v>46078</v>
      </c>
      <c r="ER226" s="133">
        <v>46080</v>
      </c>
      <c r="ES226" s="133">
        <v>46083</v>
      </c>
      <c r="ET226" s="133">
        <v>46085</v>
      </c>
      <c r="EU226" s="133">
        <v>46090</v>
      </c>
      <c r="EV226" s="134">
        <v>1</v>
      </c>
      <c r="EW226" s="133">
        <v>46093</v>
      </c>
      <c r="EX226" s="133"/>
      <c r="EY226" s="154" t="s">
        <v>852</v>
      </c>
      <c r="EZ226" s="132" t="s">
        <v>914</v>
      </c>
      <c r="FA226" s="130"/>
      <c r="FB226" s="204" t="e">
        <v>#NUM!</v>
      </c>
      <c r="FC226" s="204" t="e">
        <v>#NUM!</v>
      </c>
      <c r="FD226" s="204" t="e">
        <v>#NUM!</v>
      </c>
      <c r="FE226" s="204" t="e">
        <v>#NUM!</v>
      </c>
      <c r="FF226" s="204" t="e">
        <v>#NUM!</v>
      </c>
      <c r="FG226" s="204" t="e">
        <v>#NUM!</v>
      </c>
      <c r="FH226" s="204" t="e">
        <v>#NUM!</v>
      </c>
      <c r="FI226" s="204" t="e">
        <v>#NUM!</v>
      </c>
      <c r="FJ226" s="204" t="e">
        <v>#NUM!</v>
      </c>
      <c r="FK226" s="204" t="e">
        <v>#NUM!</v>
      </c>
      <c r="FL226" s="204" t="e">
        <v>#NUM!</v>
      </c>
      <c r="FM226" s="204" t="e">
        <v>#NUM!</v>
      </c>
      <c r="FN226" s="204" t="e">
        <v>#NUM!</v>
      </c>
      <c r="FO226" s="204" t="e">
        <v>#NUM!</v>
      </c>
      <c r="FP226" s="204" t="e">
        <v>#NUM!</v>
      </c>
      <c r="FQ226" s="204" t="e">
        <v>#NUM!</v>
      </c>
      <c r="FR226" s="204" t="e">
        <v>#NUM!</v>
      </c>
      <c r="FS226" s="204" t="e">
        <v>#NUM!</v>
      </c>
      <c r="FT226" s="204" t="e">
        <v>#NUM!</v>
      </c>
      <c r="FU226" s="204"/>
      <c r="FV226" s="204"/>
      <c r="FW226" s="204"/>
      <c r="FX226" s="204"/>
      <c r="FY226" s="204" t="e">
        <v>#NUM!</v>
      </c>
      <c r="FZ226" s="204" t="e">
        <v>#NUM!</v>
      </c>
      <c r="GA226" s="204" t="e">
        <v>#NUM!</v>
      </c>
      <c r="GB226" s="204" t="e">
        <v>#NUM!</v>
      </c>
      <c r="GC226" s="204" t="e">
        <v>#NUM!</v>
      </c>
      <c r="GD226" s="204" t="e">
        <v>#NUM!</v>
      </c>
      <c r="GE226" s="204" t="e">
        <v>#NUM!</v>
      </c>
      <c r="GF226" s="204"/>
      <c r="GG226" s="204">
        <v>18</v>
      </c>
      <c r="GH226" s="204">
        <v>3</v>
      </c>
      <c r="GI226" s="204">
        <v>5</v>
      </c>
      <c r="GJ226" s="204">
        <v>9</v>
      </c>
      <c r="GK226" s="204">
        <v>10</v>
      </c>
      <c r="GL226" s="204">
        <v>11</v>
      </c>
      <c r="GM226" s="204">
        <v>13</v>
      </c>
      <c r="GN226" s="204">
        <v>16</v>
      </c>
      <c r="GO226" s="204">
        <v>18</v>
      </c>
      <c r="GP226" s="204">
        <v>23</v>
      </c>
      <c r="GQ226" s="204"/>
      <c r="GR226" s="195"/>
      <c r="GS226" s="195"/>
      <c r="GT226" s="195"/>
      <c r="GU226" s="195"/>
      <c r="GV226" s="195" t="s">
        <v>1165</v>
      </c>
    </row>
    <row r="227" spans="1:204" s="68" customFormat="1" ht="14.45" customHeight="1" x14ac:dyDescent="0.25">
      <c r="A227" s="68" t="s">
        <v>695</v>
      </c>
      <c r="B227" s="82" t="s">
        <v>154</v>
      </c>
      <c r="C227" s="82" t="s">
        <v>172</v>
      </c>
      <c r="D227" s="95" t="s">
        <v>196</v>
      </c>
      <c r="E227" s="82" t="s">
        <v>5</v>
      </c>
      <c r="F227" s="95" t="s">
        <v>550</v>
      </c>
      <c r="G227" s="82" t="s">
        <v>288</v>
      </c>
      <c r="H227" s="82" t="s">
        <v>551</v>
      </c>
      <c r="I227" s="82" t="s">
        <v>300</v>
      </c>
      <c r="J227" s="82" t="s">
        <v>528</v>
      </c>
      <c r="K227" s="92" t="s">
        <v>326</v>
      </c>
      <c r="L227" s="88" t="s">
        <v>558</v>
      </c>
      <c r="M227" s="88" t="s">
        <v>530</v>
      </c>
      <c r="N227" s="88" t="s">
        <v>7</v>
      </c>
      <c r="O227" s="116" t="s">
        <v>559</v>
      </c>
      <c r="P227" s="116" t="s">
        <v>560</v>
      </c>
      <c r="Q227" s="82" t="s">
        <v>772</v>
      </c>
      <c r="R227" s="82" t="s">
        <v>773</v>
      </c>
      <c r="S227" s="82" t="s">
        <v>774</v>
      </c>
      <c r="T227" s="82" t="s">
        <v>320</v>
      </c>
      <c r="U227" s="83"/>
      <c r="V227" s="83"/>
      <c r="W227" s="83">
        <v>0.05</v>
      </c>
      <c r="X227" s="83"/>
      <c r="Y227" s="83"/>
      <c r="Z227" s="83">
        <v>0.05</v>
      </c>
      <c r="AA227" s="83"/>
      <c r="AB227" s="83"/>
      <c r="AC227" s="83">
        <v>0.05</v>
      </c>
      <c r="AD227" s="83"/>
      <c r="AE227" s="83"/>
      <c r="AF227" s="83">
        <v>0.05</v>
      </c>
      <c r="AG227" s="82" t="s">
        <v>535</v>
      </c>
      <c r="AH227" s="82" t="s">
        <v>529</v>
      </c>
      <c r="AI227" s="88" t="s">
        <v>538</v>
      </c>
      <c r="AJ227" s="89" t="s">
        <v>538</v>
      </c>
      <c r="AK227" s="90">
        <v>46023</v>
      </c>
      <c r="AL227" s="90">
        <v>46387</v>
      </c>
      <c r="AM227" s="89"/>
      <c r="AN227" s="89"/>
      <c r="AO227" s="89"/>
      <c r="AP227" s="187" t="s">
        <v>545</v>
      </c>
      <c r="AQ227" s="90" cm="1">
        <f t="array" ref="AQ227">IFERROR(DATE(2026, _xlfn.AGGREGATE(15, 6, (COLUMN(BY227:CJ227)-COLUMN(BY227)+1)/(BY227:CJ227&lt;&gt;0), 1), 1),"N/A")</f>
        <v>46174</v>
      </c>
      <c r="AR227" s="90" cm="1">
        <f t="array" ref="AR227">IFERROR(EOMONTH(DATE(2026, _xlfn.AGGREGATE(14, 6, (COLUMN(BY227:CJ227)-COLUMN(BY227)+1)/(BY227:CJ227&lt;&gt;0), 1), 1), 0),"N/A")</f>
        <v>46203</v>
      </c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2" t="s">
        <v>723</v>
      </c>
      <c r="BF227" s="82" t="s">
        <v>1081</v>
      </c>
      <c r="BG227" s="82" t="str">
        <f t="shared" si="18"/>
        <v>000</v>
      </c>
      <c r="BH227" s="88">
        <v>730249</v>
      </c>
      <c r="BI227" s="92" t="s">
        <v>706</v>
      </c>
      <c r="BJ227" s="93">
        <v>150000</v>
      </c>
      <c r="BK227" s="74">
        <v>0</v>
      </c>
      <c r="BL227" s="74">
        <v>0</v>
      </c>
      <c r="BM227" s="74">
        <v>0</v>
      </c>
      <c r="BN227" s="74">
        <v>0</v>
      </c>
      <c r="BO227" s="74">
        <v>0</v>
      </c>
      <c r="BP227" s="94">
        <v>150000</v>
      </c>
      <c r="BQ227" s="74">
        <v>0</v>
      </c>
      <c r="BR227" s="74">
        <v>0</v>
      </c>
      <c r="BS227" s="74">
        <v>0</v>
      </c>
      <c r="BT227" s="74">
        <v>0</v>
      </c>
      <c r="BU227" s="74">
        <v>0</v>
      </c>
      <c r="BV227" s="143">
        <v>0</v>
      </c>
      <c r="BW227" s="143"/>
      <c r="BX227" s="143">
        <f t="shared" si="23"/>
        <v>150000</v>
      </c>
      <c r="BY227" s="74">
        <v>0</v>
      </c>
      <c r="BZ227" s="74">
        <v>0</v>
      </c>
      <c r="CA227" s="74">
        <v>0</v>
      </c>
      <c r="CB227" s="74">
        <v>0</v>
      </c>
      <c r="CC227" s="74">
        <v>0</v>
      </c>
      <c r="CD227" s="94">
        <v>150000</v>
      </c>
      <c r="CE227" s="74">
        <v>0</v>
      </c>
      <c r="CF227" s="74">
        <v>0</v>
      </c>
      <c r="CG227" s="74">
        <v>0</v>
      </c>
      <c r="CH227" s="74">
        <v>0</v>
      </c>
      <c r="CI227" s="74">
        <v>0</v>
      </c>
      <c r="CJ227" s="143">
        <v>0</v>
      </c>
      <c r="CK227" s="143"/>
      <c r="CL227" s="142">
        <f t="shared" si="19"/>
        <v>0</v>
      </c>
      <c r="CM227" s="171">
        <v>0</v>
      </c>
      <c r="CN227" s="171">
        <v>0</v>
      </c>
      <c r="CO227" s="171">
        <v>0</v>
      </c>
      <c r="CP227" s="171">
        <v>0</v>
      </c>
      <c r="CQ227" s="171">
        <v>0</v>
      </c>
      <c r="CR227" s="171">
        <v>0</v>
      </c>
      <c r="CS227" s="171">
        <f t="shared" si="20"/>
        <v>0</v>
      </c>
      <c r="CT227" s="171">
        <f t="shared" si="21"/>
        <v>0</v>
      </c>
      <c r="CU227" s="171">
        <f t="shared" si="22"/>
        <v>0</v>
      </c>
      <c r="CV227" s="152">
        <v>150000</v>
      </c>
      <c r="CW227" s="194">
        <v>150000</v>
      </c>
      <c r="CX227" s="130">
        <v>1</v>
      </c>
      <c r="CY227" s="130">
        <v>1</v>
      </c>
      <c r="CZ227" s="130" t="s">
        <v>321</v>
      </c>
      <c r="DA227" s="130" t="s">
        <v>902</v>
      </c>
      <c r="DB227" s="130" t="s">
        <v>859</v>
      </c>
      <c r="DC227" s="130" t="s">
        <v>909</v>
      </c>
      <c r="DD227" s="130"/>
      <c r="DE227" s="131">
        <v>46087</v>
      </c>
      <c r="DF227" s="131">
        <v>46087</v>
      </c>
      <c r="DG227" s="132">
        <v>1</v>
      </c>
      <c r="DH227" s="131">
        <v>46090</v>
      </c>
      <c r="DI227" s="131">
        <v>46090</v>
      </c>
      <c r="DJ227" s="131">
        <v>46090</v>
      </c>
      <c r="DK227" s="131">
        <v>46091</v>
      </c>
      <c r="DL227" s="131">
        <v>46092</v>
      </c>
      <c r="DM227" s="131">
        <v>46093</v>
      </c>
      <c r="DN227" s="131">
        <v>46094</v>
      </c>
      <c r="DO227" s="131">
        <v>46097</v>
      </c>
      <c r="DP227" s="131">
        <v>46098</v>
      </c>
      <c r="DQ227" s="131">
        <v>46098</v>
      </c>
      <c r="DR227" s="132">
        <v>1</v>
      </c>
      <c r="DS227" s="131">
        <v>46099</v>
      </c>
      <c r="DT227" s="131">
        <v>46100</v>
      </c>
      <c r="DU227" s="131">
        <v>46101</v>
      </c>
      <c r="DV227" s="131">
        <v>46104</v>
      </c>
      <c r="DW227" s="131">
        <v>46104</v>
      </c>
      <c r="DX227" s="131">
        <v>46105</v>
      </c>
      <c r="DY227" s="131">
        <v>46105</v>
      </c>
      <c r="DZ227" s="132"/>
      <c r="EA227" s="132"/>
      <c r="EB227" s="132"/>
      <c r="EC227" s="132"/>
      <c r="ED227" s="131">
        <v>46106</v>
      </c>
      <c r="EE227" s="131">
        <v>46107</v>
      </c>
      <c r="EF227" s="131">
        <v>46107</v>
      </c>
      <c r="EG227" s="131">
        <v>46108</v>
      </c>
      <c r="EH227" s="131">
        <v>46111</v>
      </c>
      <c r="EI227" s="131">
        <v>46112</v>
      </c>
      <c r="EJ227" s="131">
        <v>46113</v>
      </c>
      <c r="EK227" s="131">
        <v>46113</v>
      </c>
      <c r="EL227" s="132">
        <v>18</v>
      </c>
      <c r="EM227" s="133">
        <v>46119</v>
      </c>
      <c r="EN227" s="131">
        <v>46121</v>
      </c>
      <c r="EO227" s="133">
        <v>46127</v>
      </c>
      <c r="EP227" s="133">
        <v>46128</v>
      </c>
      <c r="EQ227" s="133">
        <v>46129</v>
      </c>
      <c r="ER227" s="133">
        <v>46133</v>
      </c>
      <c r="ES227" s="133">
        <v>46134</v>
      </c>
      <c r="ET227" s="133">
        <v>46134</v>
      </c>
      <c r="EU227" s="133">
        <v>46139</v>
      </c>
      <c r="EV227" s="134">
        <v>1</v>
      </c>
      <c r="EW227" s="133">
        <v>46142</v>
      </c>
      <c r="EX227" s="133"/>
      <c r="EY227" s="154" t="s">
        <v>903</v>
      </c>
      <c r="EZ227" s="132" t="s">
        <v>861</v>
      </c>
      <c r="FA227" s="190"/>
      <c r="FB227" s="203"/>
      <c r="FC227" s="203"/>
      <c r="FD227" s="203"/>
      <c r="FE227" s="203"/>
      <c r="FF227" s="203"/>
      <c r="FG227" s="203"/>
      <c r="FH227" s="203"/>
      <c r="FI227" s="203"/>
      <c r="FJ227" s="203"/>
      <c r="FK227" s="203"/>
      <c r="FL227" s="203"/>
      <c r="FM227" s="203"/>
      <c r="FN227" s="203"/>
      <c r="FO227" s="203"/>
      <c r="FP227" s="203"/>
      <c r="FQ227" s="203"/>
      <c r="FR227" s="203"/>
      <c r="FS227" s="203"/>
      <c r="FT227" s="203"/>
      <c r="FU227" s="203"/>
      <c r="FV227" s="203"/>
      <c r="FW227" s="203"/>
      <c r="FX227" s="203"/>
      <c r="FY227" s="203"/>
      <c r="FZ227" s="203"/>
      <c r="GA227" s="203"/>
      <c r="GB227" s="203"/>
      <c r="GC227" s="203"/>
      <c r="GD227" s="203"/>
      <c r="GE227" s="203"/>
      <c r="GF227" s="203"/>
      <c r="GG227" s="203"/>
      <c r="GH227" s="203"/>
      <c r="GI227" s="203"/>
      <c r="GJ227" s="203"/>
      <c r="GK227" s="203"/>
      <c r="GL227" s="203"/>
      <c r="GM227" s="203"/>
      <c r="GN227" s="203"/>
      <c r="GO227" s="203"/>
      <c r="GP227" s="203"/>
      <c r="GQ227" s="203"/>
      <c r="GR227" s="82"/>
      <c r="GS227" s="187" t="s">
        <v>1180</v>
      </c>
      <c r="GT227" s="184" t="s">
        <v>903</v>
      </c>
      <c r="GU227" s="197" t="s">
        <v>861</v>
      </c>
      <c r="GV227" s="185" t="s">
        <v>1162</v>
      </c>
    </row>
    <row r="228" spans="1:204" s="68" customFormat="1" ht="14.45" customHeight="1" x14ac:dyDescent="0.25">
      <c r="A228" s="68" t="s">
        <v>697</v>
      </c>
      <c r="B228" s="82" t="s">
        <v>154</v>
      </c>
      <c r="C228" s="82" t="s">
        <v>172</v>
      </c>
      <c r="D228" s="95" t="s">
        <v>196</v>
      </c>
      <c r="E228" s="82" t="s">
        <v>5</v>
      </c>
      <c r="F228" s="95" t="s">
        <v>550</v>
      </c>
      <c r="G228" s="82" t="s">
        <v>288</v>
      </c>
      <c r="H228" s="82" t="s">
        <v>551</v>
      </c>
      <c r="I228" s="82" t="s">
        <v>300</v>
      </c>
      <c r="J228" s="82" t="s">
        <v>528</v>
      </c>
      <c r="K228" s="92" t="s">
        <v>326</v>
      </c>
      <c r="L228" s="88" t="s">
        <v>558</v>
      </c>
      <c r="M228" s="88" t="s">
        <v>530</v>
      </c>
      <c r="N228" s="88" t="s">
        <v>7</v>
      </c>
      <c r="O228" s="116" t="s">
        <v>559</v>
      </c>
      <c r="P228" s="116" t="s">
        <v>560</v>
      </c>
      <c r="Q228" s="82" t="s">
        <v>772</v>
      </c>
      <c r="R228" s="82" t="s">
        <v>773</v>
      </c>
      <c r="S228" s="82" t="s">
        <v>774</v>
      </c>
      <c r="T228" s="82" t="s">
        <v>320</v>
      </c>
      <c r="U228" s="83"/>
      <c r="V228" s="83"/>
      <c r="W228" s="83">
        <v>0.05</v>
      </c>
      <c r="X228" s="83"/>
      <c r="Y228" s="83"/>
      <c r="Z228" s="83">
        <v>0.05</v>
      </c>
      <c r="AA228" s="83"/>
      <c r="AB228" s="83"/>
      <c r="AC228" s="83">
        <v>0.05</v>
      </c>
      <c r="AD228" s="83"/>
      <c r="AE228" s="83"/>
      <c r="AF228" s="83">
        <v>0.05</v>
      </c>
      <c r="AG228" s="82" t="s">
        <v>535</v>
      </c>
      <c r="AH228" s="82" t="s">
        <v>529</v>
      </c>
      <c r="AI228" s="88" t="s">
        <v>538</v>
      </c>
      <c r="AJ228" s="89" t="s">
        <v>538</v>
      </c>
      <c r="AK228" s="90">
        <v>46023</v>
      </c>
      <c r="AL228" s="90">
        <v>46387</v>
      </c>
      <c r="AM228" s="89"/>
      <c r="AN228" s="89"/>
      <c r="AO228" s="89"/>
      <c r="AP228" s="187" t="s">
        <v>544</v>
      </c>
      <c r="AQ228" s="90" cm="1">
        <f t="array" ref="AQ228">IFERROR(DATE(2026, _xlfn.AGGREGATE(15, 6, (COLUMN(BY228:CJ228)-COLUMN(BY228)+1)/(BY228:CJ228&lt;&gt;0), 1), 1),"N/A")</f>
        <v>46174</v>
      </c>
      <c r="AR228" s="90" cm="1">
        <f t="array" ref="AR228">IFERROR(EOMONTH(DATE(2026, _xlfn.AGGREGATE(14, 6, (COLUMN(BY228:CJ228)-COLUMN(BY228)+1)/(BY228:CJ228&lt;&gt;0), 1), 1), 0),"N/A")</f>
        <v>46387</v>
      </c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2" t="s">
        <v>688</v>
      </c>
      <c r="BF228" s="82" t="s">
        <v>1070</v>
      </c>
      <c r="BG228" s="82" t="str">
        <f t="shared" si="18"/>
        <v>000</v>
      </c>
      <c r="BH228" s="88">
        <v>730207</v>
      </c>
      <c r="BI228" s="92" t="s">
        <v>706</v>
      </c>
      <c r="BJ228" s="93">
        <v>380000</v>
      </c>
      <c r="BK228" s="74">
        <v>0</v>
      </c>
      <c r="BL228" s="74">
        <v>0</v>
      </c>
      <c r="BM228" s="74">
        <v>0</v>
      </c>
      <c r="BN228" s="74">
        <v>0</v>
      </c>
      <c r="BO228" s="74">
        <v>0</v>
      </c>
      <c r="BP228" s="74">
        <v>0</v>
      </c>
      <c r="BQ228" s="94">
        <v>125000</v>
      </c>
      <c r="BR228" s="94">
        <v>125000</v>
      </c>
      <c r="BS228" s="94">
        <v>30000</v>
      </c>
      <c r="BT228" s="94">
        <v>20000</v>
      </c>
      <c r="BU228" s="94">
        <v>40000</v>
      </c>
      <c r="BV228" s="142">
        <v>40000</v>
      </c>
      <c r="BW228" s="142">
        <v>-291500</v>
      </c>
      <c r="BX228" s="143">
        <f t="shared" si="23"/>
        <v>88500</v>
      </c>
      <c r="BY228" s="74">
        <v>0</v>
      </c>
      <c r="BZ228" s="74">
        <v>0</v>
      </c>
      <c r="CA228" s="74">
        <v>0</v>
      </c>
      <c r="CB228" s="74">
        <v>0</v>
      </c>
      <c r="CC228" s="74">
        <v>0</v>
      </c>
      <c r="CD228" s="74">
        <v>8000</v>
      </c>
      <c r="CE228" s="94">
        <v>8000</v>
      </c>
      <c r="CF228" s="94">
        <v>8000</v>
      </c>
      <c r="CG228" s="94">
        <v>8000</v>
      </c>
      <c r="CH228" s="94">
        <v>8000</v>
      </c>
      <c r="CI228" s="94">
        <v>8000</v>
      </c>
      <c r="CJ228" s="142">
        <v>40500</v>
      </c>
      <c r="CK228" s="142"/>
      <c r="CL228" s="142">
        <f t="shared" si="19"/>
        <v>0</v>
      </c>
      <c r="CM228" s="171">
        <v>0</v>
      </c>
      <c r="CN228" s="171">
        <v>0</v>
      </c>
      <c r="CO228" s="171">
        <v>0</v>
      </c>
      <c r="CP228" s="171">
        <v>0</v>
      </c>
      <c r="CQ228" s="171">
        <v>0</v>
      </c>
      <c r="CR228" s="171">
        <v>0</v>
      </c>
      <c r="CS228" s="171">
        <f t="shared" si="20"/>
        <v>0</v>
      </c>
      <c r="CT228" s="171">
        <f t="shared" si="21"/>
        <v>0</v>
      </c>
      <c r="CU228" s="171">
        <f t="shared" si="22"/>
        <v>0</v>
      </c>
      <c r="CV228" s="152">
        <v>380000</v>
      </c>
      <c r="CW228" s="149">
        <v>88500</v>
      </c>
      <c r="CX228" s="130">
        <v>1</v>
      </c>
      <c r="CY228" s="130">
        <v>1</v>
      </c>
      <c r="CZ228" s="130" t="s">
        <v>321</v>
      </c>
      <c r="DA228" s="130" t="s">
        <v>863</v>
      </c>
      <c r="DB228" s="130" t="s">
        <v>850</v>
      </c>
      <c r="DC228" s="130" t="s">
        <v>909</v>
      </c>
      <c r="DD228" s="130"/>
      <c r="DE228" s="131">
        <v>46099</v>
      </c>
      <c r="DF228" s="131">
        <v>46099</v>
      </c>
      <c r="DG228" s="132">
        <v>1</v>
      </c>
      <c r="DH228" s="131">
        <v>46100</v>
      </c>
      <c r="DI228" s="131">
        <v>46100</v>
      </c>
      <c r="DJ228" s="131">
        <v>46100</v>
      </c>
      <c r="DK228" s="131">
        <v>46101</v>
      </c>
      <c r="DL228" s="131">
        <v>46104</v>
      </c>
      <c r="DM228" s="131">
        <v>46105</v>
      </c>
      <c r="DN228" s="131">
        <v>46106</v>
      </c>
      <c r="DO228" s="131">
        <v>46107</v>
      </c>
      <c r="DP228" s="131">
        <v>46108</v>
      </c>
      <c r="DQ228" s="131">
        <v>46108</v>
      </c>
      <c r="DR228" s="132">
        <v>1</v>
      </c>
      <c r="DS228" s="131">
        <v>46111</v>
      </c>
      <c r="DT228" s="131">
        <v>46112</v>
      </c>
      <c r="DU228" s="131">
        <v>46113</v>
      </c>
      <c r="DV228" s="131">
        <v>46114</v>
      </c>
      <c r="DW228" s="131">
        <v>46114</v>
      </c>
      <c r="DX228" s="131">
        <v>46115</v>
      </c>
      <c r="DY228" s="131">
        <v>46115</v>
      </c>
      <c r="DZ228" s="132"/>
      <c r="EA228" s="132"/>
      <c r="EB228" s="132"/>
      <c r="EC228" s="132"/>
      <c r="ED228" s="131">
        <v>46118</v>
      </c>
      <c r="EE228" s="131">
        <v>46119</v>
      </c>
      <c r="EF228" s="131">
        <v>46119</v>
      </c>
      <c r="EG228" s="131">
        <v>46120</v>
      </c>
      <c r="EH228" s="131">
        <v>46121</v>
      </c>
      <c r="EI228" s="131">
        <v>46122</v>
      </c>
      <c r="EJ228" s="131">
        <v>46125</v>
      </c>
      <c r="EK228" s="131">
        <v>46125</v>
      </c>
      <c r="EL228" s="132">
        <v>18</v>
      </c>
      <c r="EM228" s="133">
        <v>46129</v>
      </c>
      <c r="EN228" s="131">
        <v>46133</v>
      </c>
      <c r="EO228" s="133">
        <v>46139</v>
      </c>
      <c r="EP228" s="133">
        <v>46140</v>
      </c>
      <c r="EQ228" s="133">
        <v>46141</v>
      </c>
      <c r="ER228" s="133">
        <v>46143</v>
      </c>
      <c r="ES228" s="133">
        <v>46146</v>
      </c>
      <c r="ET228" s="133">
        <v>46146</v>
      </c>
      <c r="EU228" s="133">
        <v>46149</v>
      </c>
      <c r="EV228" s="134">
        <v>2</v>
      </c>
      <c r="EW228" s="133">
        <v>46154</v>
      </c>
      <c r="EX228" s="133"/>
      <c r="EY228" s="154" t="s">
        <v>863</v>
      </c>
      <c r="EZ228" s="132" t="s">
        <v>904</v>
      </c>
      <c r="FA228" s="130"/>
      <c r="FB228" s="205">
        <v>46099</v>
      </c>
      <c r="FC228" s="205">
        <v>46099</v>
      </c>
      <c r="FD228" s="205">
        <v>46100</v>
      </c>
      <c r="FE228" s="205">
        <v>46100</v>
      </c>
      <c r="FF228" s="205">
        <v>46100</v>
      </c>
      <c r="FG228" s="205">
        <v>46101</v>
      </c>
      <c r="FH228" s="205">
        <v>46104</v>
      </c>
      <c r="FI228" s="205">
        <v>46105</v>
      </c>
      <c r="FJ228" s="205">
        <v>46106</v>
      </c>
      <c r="FK228" s="205">
        <v>46107</v>
      </c>
      <c r="FL228" s="205">
        <v>46108</v>
      </c>
      <c r="FM228" s="205">
        <v>46108</v>
      </c>
      <c r="FN228" s="205">
        <v>46111</v>
      </c>
      <c r="FO228" s="205">
        <v>46112</v>
      </c>
      <c r="FP228" s="205">
        <v>46113</v>
      </c>
      <c r="FQ228" s="205">
        <v>46114</v>
      </c>
      <c r="FR228" s="205">
        <v>46114</v>
      </c>
      <c r="FS228" s="205">
        <v>46115</v>
      </c>
      <c r="FT228" s="205">
        <v>46115</v>
      </c>
      <c r="FU228" s="205"/>
      <c r="FV228" s="205"/>
      <c r="FW228" s="205"/>
      <c r="FX228" s="205"/>
      <c r="FY228" s="205">
        <v>46118</v>
      </c>
      <c r="FZ228" s="205">
        <v>46119</v>
      </c>
      <c r="GA228" s="205">
        <v>46119</v>
      </c>
      <c r="GB228" s="205">
        <v>46120</v>
      </c>
      <c r="GC228" s="205">
        <v>46121</v>
      </c>
      <c r="GD228" s="205">
        <v>46122</v>
      </c>
      <c r="GE228" s="205">
        <v>46125</v>
      </c>
      <c r="GF228" s="205">
        <v>46125</v>
      </c>
      <c r="GG228" s="205">
        <v>18</v>
      </c>
      <c r="GH228" s="205">
        <v>46129</v>
      </c>
      <c r="GI228" s="205">
        <v>46133</v>
      </c>
      <c r="GJ228" s="205">
        <v>46139</v>
      </c>
      <c r="GK228" s="205">
        <v>46140</v>
      </c>
      <c r="GL228" s="205">
        <v>46141</v>
      </c>
      <c r="GM228" s="205">
        <v>46143</v>
      </c>
      <c r="GN228" s="205">
        <v>46146</v>
      </c>
      <c r="GO228" s="205">
        <v>46146</v>
      </c>
      <c r="GP228" s="205">
        <v>46149</v>
      </c>
      <c r="GQ228" s="205">
        <v>46154</v>
      </c>
      <c r="GR228" s="196"/>
      <c r="GS228" s="196" t="s">
        <v>1180</v>
      </c>
      <c r="GT228" s="196" t="s">
        <v>863</v>
      </c>
      <c r="GU228" s="196" t="s">
        <v>904</v>
      </c>
      <c r="GV228" s="196" t="s">
        <v>1164</v>
      </c>
    </row>
    <row r="229" spans="1:204" s="68" customFormat="1" ht="14.45" customHeight="1" x14ac:dyDescent="0.25">
      <c r="A229" s="68" t="s">
        <v>702</v>
      </c>
      <c r="B229" s="82" t="s">
        <v>154</v>
      </c>
      <c r="C229" s="82" t="s">
        <v>172</v>
      </c>
      <c r="D229" s="95" t="s">
        <v>196</v>
      </c>
      <c r="E229" s="82" t="s">
        <v>5</v>
      </c>
      <c r="F229" s="95" t="s">
        <v>550</v>
      </c>
      <c r="G229" s="82" t="s">
        <v>288</v>
      </c>
      <c r="H229" s="82" t="s">
        <v>551</v>
      </c>
      <c r="I229" s="82" t="s">
        <v>300</v>
      </c>
      <c r="J229" s="82" t="s">
        <v>528</v>
      </c>
      <c r="K229" s="92" t="s">
        <v>326</v>
      </c>
      <c r="L229" s="88" t="s">
        <v>558</v>
      </c>
      <c r="M229" s="88" t="s">
        <v>530</v>
      </c>
      <c r="N229" s="88" t="s">
        <v>7</v>
      </c>
      <c r="O229" s="116" t="s">
        <v>559</v>
      </c>
      <c r="P229" s="116" t="s">
        <v>721</v>
      </c>
      <c r="Q229" s="82" t="s">
        <v>769</v>
      </c>
      <c r="R229" s="82" t="s">
        <v>770</v>
      </c>
      <c r="S229" s="82" t="s">
        <v>771</v>
      </c>
      <c r="T229" s="82" t="s">
        <v>2</v>
      </c>
      <c r="U229" s="83">
        <v>0</v>
      </c>
      <c r="V229" s="83">
        <v>0</v>
      </c>
      <c r="W229" s="83">
        <v>0.21</v>
      </c>
      <c r="X229" s="83">
        <v>0.21</v>
      </c>
      <c r="Y229" s="83">
        <v>0.21</v>
      </c>
      <c r="Z229" s="83">
        <v>0.46</v>
      </c>
      <c r="AA229" s="83">
        <v>0.46</v>
      </c>
      <c r="AB229" s="83">
        <v>0.46</v>
      </c>
      <c r="AC229" s="83">
        <v>0.71</v>
      </c>
      <c r="AD229" s="83">
        <v>0.71</v>
      </c>
      <c r="AE229" s="83">
        <v>0.71</v>
      </c>
      <c r="AF229" s="83">
        <v>0.85</v>
      </c>
      <c r="AG229" s="82" t="s">
        <v>536</v>
      </c>
      <c r="AH229" s="82" t="s">
        <v>529</v>
      </c>
      <c r="AI229" s="88" t="s">
        <v>538</v>
      </c>
      <c r="AJ229" s="89" t="s">
        <v>538</v>
      </c>
      <c r="AK229" s="90">
        <v>46296</v>
      </c>
      <c r="AL229" s="90">
        <v>46356</v>
      </c>
      <c r="AM229" s="89"/>
      <c r="AN229" s="89"/>
      <c r="AO229" s="89"/>
      <c r="AP229" s="187" t="s">
        <v>546</v>
      </c>
      <c r="AQ229" s="90" cm="1">
        <f t="array" ref="AQ229">IFERROR(DATE(2026, _xlfn.AGGREGATE(15, 6, (COLUMN(BY229:CJ229)-COLUMN(BY229)+1)/(BY229:CJ229&lt;&gt;0), 1), 1),"N/A")</f>
        <v>46296</v>
      </c>
      <c r="AR229" s="90" cm="1">
        <f t="array" ref="AR229">IFERROR(EOMONTH(DATE(2026, _xlfn.AGGREGATE(14, 6, (COLUMN(BY229:CJ229)-COLUMN(BY229)+1)/(BY229:CJ229&lt;&gt;0), 1), 1), 0),"N/A")</f>
        <v>46326</v>
      </c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2" t="s">
        <v>684</v>
      </c>
      <c r="BF229" s="82" t="s">
        <v>1072</v>
      </c>
      <c r="BG229" s="82" t="str">
        <f t="shared" si="18"/>
        <v>000</v>
      </c>
      <c r="BH229" s="88">
        <v>730702</v>
      </c>
      <c r="BI229" s="92" t="s">
        <v>706</v>
      </c>
      <c r="BJ229" s="93">
        <v>148771</v>
      </c>
      <c r="BK229" s="74">
        <v>0</v>
      </c>
      <c r="BL229" s="74">
        <v>0</v>
      </c>
      <c r="BM229" s="74">
        <v>0</v>
      </c>
      <c r="BN229" s="74">
        <v>0</v>
      </c>
      <c r="BO229" s="74">
        <v>0</v>
      </c>
      <c r="BP229" s="74">
        <v>0</v>
      </c>
      <c r="BQ229" s="74">
        <v>0</v>
      </c>
      <c r="BR229" s="74">
        <v>0</v>
      </c>
      <c r="BS229" s="74">
        <v>0</v>
      </c>
      <c r="BT229" s="94">
        <v>148771</v>
      </c>
      <c r="BU229" s="74">
        <v>0</v>
      </c>
      <c r="BV229" s="143">
        <v>0</v>
      </c>
      <c r="BW229" s="143">
        <v>-109524.49</v>
      </c>
      <c r="BX229" s="143">
        <f t="shared" si="23"/>
        <v>39246.509999999995</v>
      </c>
      <c r="BY229" s="74">
        <v>0</v>
      </c>
      <c r="BZ229" s="74">
        <v>0</v>
      </c>
      <c r="CA229" s="74">
        <v>0</v>
      </c>
      <c r="CB229" s="74">
        <v>0</v>
      </c>
      <c r="CC229" s="74">
        <v>0</v>
      </c>
      <c r="CD229" s="74">
        <v>0</v>
      </c>
      <c r="CE229" s="74">
        <v>0</v>
      </c>
      <c r="CF229" s="74">
        <v>0</v>
      </c>
      <c r="CG229" s="74">
        <v>0</v>
      </c>
      <c r="CH229" s="94">
        <v>39246.51</v>
      </c>
      <c r="CI229" s="74">
        <v>0</v>
      </c>
      <c r="CJ229" s="143">
        <v>0</v>
      </c>
      <c r="CK229" s="143"/>
      <c r="CL229" s="142">
        <f t="shared" si="19"/>
        <v>0</v>
      </c>
      <c r="CM229" s="171">
        <v>0</v>
      </c>
      <c r="CN229" s="171">
        <v>0</v>
      </c>
      <c r="CO229" s="171">
        <v>0</v>
      </c>
      <c r="CP229" s="171">
        <v>0</v>
      </c>
      <c r="CQ229" s="171">
        <v>0</v>
      </c>
      <c r="CR229" s="171">
        <v>0</v>
      </c>
      <c r="CS229" s="171">
        <f t="shared" si="20"/>
        <v>0</v>
      </c>
      <c r="CT229" s="171">
        <f t="shared" si="21"/>
        <v>0</v>
      </c>
      <c r="CU229" s="171">
        <f t="shared" si="22"/>
        <v>0</v>
      </c>
      <c r="CV229" s="158">
        <v>148771</v>
      </c>
      <c r="CW229" s="198">
        <f>148771-109524.49</f>
        <v>39246.509999999995</v>
      </c>
      <c r="CX229" s="148">
        <v>2</v>
      </c>
      <c r="CY229" s="148">
        <v>2</v>
      </c>
      <c r="CZ229" s="148" t="s">
        <v>321</v>
      </c>
      <c r="DA229" s="148" t="s">
        <v>887</v>
      </c>
      <c r="DB229" s="148" t="s">
        <v>859</v>
      </c>
      <c r="DC229" s="148" t="s">
        <v>909</v>
      </c>
      <c r="DD229" s="148"/>
      <c r="DE229" s="159">
        <v>46162</v>
      </c>
      <c r="DF229" s="159">
        <v>46162</v>
      </c>
      <c r="DG229" s="160">
        <v>2</v>
      </c>
      <c r="DH229" s="159">
        <v>46163</v>
      </c>
      <c r="DI229" s="159">
        <v>46163</v>
      </c>
      <c r="DJ229" s="159">
        <v>46163</v>
      </c>
      <c r="DK229" s="159">
        <v>46164</v>
      </c>
      <c r="DL229" s="159">
        <v>46167</v>
      </c>
      <c r="DM229" s="159">
        <v>46168</v>
      </c>
      <c r="DN229" s="159">
        <v>46169</v>
      </c>
      <c r="DO229" s="159">
        <v>46170</v>
      </c>
      <c r="DP229" s="159">
        <v>46171</v>
      </c>
      <c r="DQ229" s="159">
        <v>46171</v>
      </c>
      <c r="DR229" s="160">
        <v>2</v>
      </c>
      <c r="DS229" s="159">
        <v>46174</v>
      </c>
      <c r="DT229" s="159">
        <v>46175</v>
      </c>
      <c r="DU229" s="159">
        <v>46176</v>
      </c>
      <c r="DV229" s="159">
        <v>46177</v>
      </c>
      <c r="DW229" s="159">
        <v>46177</v>
      </c>
      <c r="DX229" s="159">
        <v>46178</v>
      </c>
      <c r="DY229" s="159">
        <v>46178</v>
      </c>
      <c r="DZ229" s="160"/>
      <c r="EA229" s="160"/>
      <c r="EB229" s="160"/>
      <c r="EC229" s="160"/>
      <c r="ED229" s="159">
        <v>46181</v>
      </c>
      <c r="EE229" s="159">
        <v>46182</v>
      </c>
      <c r="EF229" s="159">
        <v>46182</v>
      </c>
      <c r="EG229" s="159">
        <v>46183</v>
      </c>
      <c r="EH229" s="159">
        <v>46184</v>
      </c>
      <c r="EI229" s="159">
        <v>46185</v>
      </c>
      <c r="EJ229" s="159">
        <v>46188</v>
      </c>
      <c r="EK229" s="159">
        <v>46188</v>
      </c>
      <c r="EL229" s="160">
        <v>18</v>
      </c>
      <c r="EM229" s="161">
        <v>46192</v>
      </c>
      <c r="EN229" s="159">
        <v>46196</v>
      </c>
      <c r="EO229" s="161">
        <v>46202</v>
      </c>
      <c r="EP229" s="161">
        <v>46203</v>
      </c>
      <c r="EQ229" s="161">
        <v>46204</v>
      </c>
      <c r="ER229" s="161">
        <v>46206</v>
      </c>
      <c r="ES229" s="161">
        <v>46209</v>
      </c>
      <c r="ET229" s="161">
        <v>46209</v>
      </c>
      <c r="EU229" s="161">
        <v>46212</v>
      </c>
      <c r="EV229" s="162">
        <v>2</v>
      </c>
      <c r="EW229" s="161">
        <v>46217</v>
      </c>
      <c r="EX229" s="161"/>
      <c r="EY229" s="163" t="s">
        <v>887</v>
      </c>
      <c r="EZ229" s="160" t="s">
        <v>915</v>
      </c>
      <c r="FA229" s="148"/>
      <c r="FB229" s="203">
        <v>46162</v>
      </c>
      <c r="FC229" s="203">
        <v>46162</v>
      </c>
      <c r="FD229" s="203">
        <v>46163</v>
      </c>
      <c r="FE229" s="203">
        <v>46163</v>
      </c>
      <c r="FF229" s="203">
        <v>46163</v>
      </c>
      <c r="FG229" s="203">
        <v>46164</v>
      </c>
      <c r="FH229" s="203">
        <v>46167</v>
      </c>
      <c r="FI229" s="203">
        <v>46168</v>
      </c>
      <c r="FJ229" s="203">
        <v>46169</v>
      </c>
      <c r="FK229" s="203">
        <v>46170</v>
      </c>
      <c r="FL229" s="203">
        <v>46171</v>
      </c>
      <c r="FM229" s="203">
        <v>46171</v>
      </c>
      <c r="FN229" s="203">
        <v>46174</v>
      </c>
      <c r="FO229" s="203">
        <v>46175</v>
      </c>
      <c r="FP229" s="203">
        <v>46176</v>
      </c>
      <c r="FQ229" s="203">
        <v>46177</v>
      </c>
      <c r="FR229" s="203">
        <v>46177</v>
      </c>
      <c r="FS229" s="203">
        <v>46178</v>
      </c>
      <c r="FT229" s="203">
        <v>46178</v>
      </c>
      <c r="FU229" s="203"/>
      <c r="FV229" s="203"/>
      <c r="FW229" s="203"/>
      <c r="FX229" s="203"/>
      <c r="FY229" s="203">
        <v>46181</v>
      </c>
      <c r="FZ229" s="203">
        <v>46182</v>
      </c>
      <c r="GA229" s="203">
        <v>46182</v>
      </c>
      <c r="GB229" s="203">
        <v>46183</v>
      </c>
      <c r="GC229" s="203">
        <v>46184</v>
      </c>
      <c r="GD229" s="203">
        <v>46185</v>
      </c>
      <c r="GE229" s="203">
        <v>46188</v>
      </c>
      <c r="GF229" s="203">
        <v>46188</v>
      </c>
      <c r="GG229" s="203">
        <v>18</v>
      </c>
      <c r="GH229" s="203">
        <v>46192</v>
      </c>
      <c r="GI229" s="203">
        <v>46196</v>
      </c>
      <c r="GJ229" s="203">
        <v>46202</v>
      </c>
      <c r="GK229" s="203">
        <v>46203</v>
      </c>
      <c r="GL229" s="203">
        <v>46204</v>
      </c>
      <c r="GM229" s="203">
        <v>46206</v>
      </c>
      <c r="GN229" s="203">
        <v>46209</v>
      </c>
      <c r="GO229" s="203">
        <v>46209</v>
      </c>
      <c r="GP229" s="203">
        <v>46212</v>
      </c>
      <c r="GQ229" s="203">
        <v>46217</v>
      </c>
      <c r="GR229" s="187"/>
      <c r="GS229" s="187" t="s">
        <v>1180</v>
      </c>
      <c r="GT229" s="187" t="s">
        <v>887</v>
      </c>
      <c r="GU229" s="187" t="s">
        <v>915</v>
      </c>
      <c r="GV229" s="187"/>
    </row>
    <row r="230" spans="1:204" s="70" customFormat="1" ht="12.6" customHeight="1" x14ac:dyDescent="0.25">
      <c r="B230" s="76"/>
      <c r="C230" s="76"/>
      <c r="D230" s="76"/>
      <c r="E230" s="76"/>
      <c r="F230" s="77"/>
      <c r="G230" s="77"/>
      <c r="H230" s="77"/>
      <c r="I230" s="77"/>
      <c r="J230" s="77"/>
      <c r="K230" s="117"/>
      <c r="L230" s="118"/>
      <c r="M230" s="118"/>
      <c r="N230" s="118"/>
      <c r="O230" s="118"/>
      <c r="P230" s="118"/>
      <c r="Q230" s="77"/>
      <c r="R230" s="77"/>
      <c r="S230" s="77"/>
      <c r="T230" s="77"/>
      <c r="U230" s="77"/>
      <c r="V230" s="77"/>
      <c r="W230" s="77"/>
      <c r="X230" s="78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80"/>
      <c r="BI230" s="80"/>
      <c r="BJ230" s="73">
        <f t="shared" ref="BJ230:CL230" si="24">SUM(BJ6:BJ229)</f>
        <v>8701661.8900000006</v>
      </c>
      <c r="BK230" s="73">
        <f t="shared" si="24"/>
        <v>263542.7466666667</v>
      </c>
      <c r="BL230" s="73">
        <f t="shared" si="24"/>
        <v>377251.82666666672</v>
      </c>
      <c r="BM230" s="73">
        <f t="shared" si="24"/>
        <v>709891.82666666654</v>
      </c>
      <c r="BN230" s="73">
        <f t="shared" si="24"/>
        <v>549299.77666666661</v>
      </c>
      <c r="BO230" s="73">
        <f t="shared" si="24"/>
        <v>460140.59666666656</v>
      </c>
      <c r="BP230" s="73">
        <f t="shared" si="24"/>
        <v>864647.07666666654</v>
      </c>
      <c r="BQ230" s="73">
        <f t="shared" si="24"/>
        <v>1135026.1566666667</v>
      </c>
      <c r="BR230" s="73">
        <f t="shared" si="24"/>
        <v>780589.60666666657</v>
      </c>
      <c r="BS230" s="73">
        <f t="shared" si="24"/>
        <v>783516.35</v>
      </c>
      <c r="BT230" s="73">
        <f t="shared" si="24"/>
        <v>799102.70999999985</v>
      </c>
      <c r="BU230" s="73">
        <f t="shared" si="24"/>
        <v>741378.52999999991</v>
      </c>
      <c r="BV230" s="144">
        <f t="shared" si="24"/>
        <v>1237274.6866666665</v>
      </c>
      <c r="BW230" s="144">
        <f t="shared" si="24"/>
        <v>0</v>
      </c>
      <c r="BX230" s="144">
        <f t="shared" si="24"/>
        <v>8701661.8900000006</v>
      </c>
      <c r="BY230" s="144">
        <f t="shared" si="24"/>
        <v>252917.74250000002</v>
      </c>
      <c r="BZ230" s="144">
        <f t="shared" si="24"/>
        <v>294648.89249999996</v>
      </c>
      <c r="CA230" s="144">
        <f t="shared" si="24"/>
        <v>334143.62249999988</v>
      </c>
      <c r="CB230" s="144">
        <f t="shared" si="24"/>
        <v>750985.66249999998</v>
      </c>
      <c r="CC230" s="144">
        <f t="shared" si="24"/>
        <v>464826.93249999988</v>
      </c>
      <c r="CD230" s="144">
        <f t="shared" si="24"/>
        <v>886399.82250000001</v>
      </c>
      <c r="CE230" s="144">
        <f t="shared" si="24"/>
        <v>824399.24250000005</v>
      </c>
      <c r="CF230" s="144">
        <f t="shared" si="24"/>
        <v>635330.78249999986</v>
      </c>
      <c r="CG230" s="144">
        <f t="shared" si="24"/>
        <v>1295949.1925000004</v>
      </c>
      <c r="CH230" s="144">
        <f t="shared" si="24"/>
        <v>534647.7024999999</v>
      </c>
      <c r="CI230" s="144">
        <f t="shared" si="24"/>
        <v>664103.74249999993</v>
      </c>
      <c r="CJ230" s="144">
        <f t="shared" si="24"/>
        <v>1730983.5825000003</v>
      </c>
      <c r="CK230" s="144">
        <f>SUM(CK6:CK229)</f>
        <v>32324.97</v>
      </c>
      <c r="CL230" s="144">
        <f t="shared" si="24"/>
        <v>0</v>
      </c>
      <c r="CM230" s="144">
        <f t="shared" ref="CM230:CU230" si="25">SUM(CM6:CM229)</f>
        <v>191751.34000000005</v>
      </c>
      <c r="CN230" s="144">
        <f t="shared" si="25"/>
        <v>1040132.9600000001</v>
      </c>
      <c r="CO230" s="144">
        <f t="shared" si="25"/>
        <v>649480.5900000002</v>
      </c>
      <c r="CP230" s="144">
        <f t="shared" si="25"/>
        <v>184218.52000000002</v>
      </c>
      <c r="CQ230" s="144">
        <f t="shared" si="25"/>
        <v>1153155.77</v>
      </c>
      <c r="CR230" s="144">
        <f t="shared" si="25"/>
        <v>590930.10000000009</v>
      </c>
      <c r="CS230" s="144">
        <f t="shared" si="25"/>
        <v>375969.85999999993</v>
      </c>
      <c r="CT230" s="144">
        <f t="shared" si="25"/>
        <v>2193288.73</v>
      </c>
      <c r="CU230" s="144">
        <f t="shared" si="25"/>
        <v>1240410.6900000002</v>
      </c>
      <c r="CV230" s="147"/>
      <c r="CW230" s="147"/>
      <c r="CX230" s="147"/>
      <c r="CY230" s="147"/>
      <c r="CZ230" s="147"/>
      <c r="DA230" s="147"/>
      <c r="DB230" s="147"/>
      <c r="DC230" s="147"/>
      <c r="DD230" s="147"/>
      <c r="DE230" s="147"/>
      <c r="DF230" s="147"/>
      <c r="DG230" s="147"/>
      <c r="DH230" s="147"/>
      <c r="DI230" s="147"/>
      <c r="DJ230" s="147"/>
      <c r="DK230" s="147"/>
      <c r="DL230" s="147"/>
      <c r="DM230" s="147"/>
      <c r="DN230" s="147"/>
      <c r="DO230" s="147"/>
      <c r="DP230" s="147"/>
      <c r="DQ230" s="147"/>
      <c r="DR230" s="147"/>
      <c r="DS230" s="147"/>
      <c r="DT230" s="147"/>
      <c r="DU230" s="147"/>
      <c r="DV230" s="147"/>
      <c r="DW230" s="147"/>
      <c r="DX230" s="147"/>
      <c r="DY230" s="147"/>
      <c r="DZ230" s="147"/>
      <c r="EA230" s="147"/>
      <c r="EB230" s="147"/>
      <c r="EC230" s="147"/>
      <c r="ED230" s="147"/>
      <c r="EE230" s="147"/>
      <c r="EF230" s="147"/>
      <c r="EG230" s="147"/>
      <c r="EH230" s="147"/>
      <c r="EI230" s="147"/>
      <c r="EJ230" s="147"/>
      <c r="EK230" s="147"/>
      <c r="EL230" s="147"/>
      <c r="EM230" s="147"/>
      <c r="EN230" s="147"/>
      <c r="EO230" s="147"/>
      <c r="EP230" s="147"/>
      <c r="EQ230" s="147"/>
      <c r="ER230" s="147"/>
      <c r="ES230" s="147"/>
      <c r="ET230" s="147"/>
      <c r="EU230" s="147"/>
      <c r="EV230" s="147"/>
      <c r="EW230" s="147"/>
      <c r="EX230" s="147"/>
      <c r="EY230" s="147"/>
      <c r="EZ230" s="147"/>
      <c r="FA230" s="147"/>
    </row>
    <row r="231" spans="1:204" ht="15" customHeight="1" x14ac:dyDescent="0.25">
      <c r="BK231" s="170">
        <f t="shared" ref="BK231:BV231" si="26">+BK230/$BJ$230</f>
        <v>3.0286484351860595E-2</v>
      </c>
      <c r="BL231" s="170">
        <f t="shared" si="26"/>
        <v>4.3353997366894555E-2</v>
      </c>
      <c r="BM231" s="170">
        <f t="shared" si="26"/>
        <v>8.1581177899187077E-2</v>
      </c>
      <c r="BN231" s="170">
        <f t="shared" si="26"/>
        <v>6.3125846948607026E-2</v>
      </c>
      <c r="BO231" s="170">
        <f t="shared" si="26"/>
        <v>5.2879622592031848E-2</v>
      </c>
      <c r="BP231" s="170">
        <f t="shared" si="26"/>
        <v>9.9365740429460253E-2</v>
      </c>
      <c r="BQ231" s="170">
        <f t="shared" si="26"/>
        <v>0.13043786014842121</v>
      </c>
      <c r="BR231" s="170">
        <f t="shared" si="26"/>
        <v>8.9705807526689191E-2</v>
      </c>
      <c r="BS231" s="170">
        <f t="shared" si="26"/>
        <v>9.004215055751838E-2</v>
      </c>
      <c r="BT231" s="170">
        <f t="shared" si="26"/>
        <v>9.1833344032630507E-2</v>
      </c>
      <c r="BU231" s="170">
        <f t="shared" si="26"/>
        <v>8.5199647995056707E-2</v>
      </c>
      <c r="BV231" s="170">
        <f t="shared" si="26"/>
        <v>0.14218832015164248</v>
      </c>
      <c r="BY231" s="170">
        <f t="shared" ref="BY231:CJ231" si="27">+BY230/$BX$230</f>
        <v>2.9065452748819685E-2</v>
      </c>
      <c r="BZ231" s="170">
        <f t="shared" si="27"/>
        <v>3.3861220560478467E-2</v>
      </c>
      <c r="CA231" s="170">
        <f t="shared" si="27"/>
        <v>3.8399977696674199E-2</v>
      </c>
      <c r="CB231" s="170">
        <f t="shared" si="27"/>
        <v>8.6303705199467354E-2</v>
      </c>
      <c r="CC231" s="170">
        <f t="shared" si="27"/>
        <v>5.3418179007182716E-2</v>
      </c>
      <c r="CD231" s="170">
        <f t="shared" si="27"/>
        <v>0.10186557851881785</v>
      </c>
      <c r="CE231" s="170">
        <f t="shared" si="27"/>
        <v>9.4740436128345137E-2</v>
      </c>
      <c r="CF231" s="170">
        <f t="shared" si="27"/>
        <v>7.3012579726882465E-2</v>
      </c>
      <c r="CG231" s="170">
        <f t="shared" si="27"/>
        <v>0.14893122818174681</v>
      </c>
      <c r="CH231" s="170">
        <f t="shared" si="27"/>
        <v>6.1442022139979957E-2</v>
      </c>
      <c r="CI231" s="170">
        <f t="shared" si="27"/>
        <v>7.6319184874695231E-2</v>
      </c>
      <c r="CJ231" s="170">
        <f t="shared" si="27"/>
        <v>0.19892563103253375</v>
      </c>
      <c r="CM231" s="170">
        <f>+CM230/$BX$230</f>
        <v>2.2036174517463359E-2</v>
      </c>
      <c r="CP231" s="170">
        <f>+CP230/$BX$230</f>
        <v>2.1170498501177689E-2</v>
      </c>
      <c r="CS231" s="170">
        <f>+CS230/$BX$230</f>
        <v>4.3206673018641027E-2</v>
      </c>
    </row>
    <row r="232" spans="1:204" ht="15" customHeight="1" x14ac:dyDescent="0.25">
      <c r="CM232" s="156">
        <f>+BY230-CM230</f>
        <v>61166.402499999967</v>
      </c>
      <c r="CN232" s="156"/>
      <c r="CP232" s="156">
        <f>+BZ230-CP230</f>
        <v>110430.37249999994</v>
      </c>
    </row>
    <row r="233" spans="1:204" ht="15" customHeight="1" x14ac:dyDescent="0.25">
      <c r="BJ233" s="156">
        <f>+BJ227-109524.49</f>
        <v>40475.509999999995</v>
      </c>
    </row>
    <row r="235" spans="1:204" ht="15" customHeight="1" x14ac:dyDescent="0.25">
      <c r="CM235" s="156"/>
      <c r="CT235" s="156"/>
    </row>
    <row r="237" spans="1:204" ht="15" customHeight="1" x14ac:dyDescent="0.25">
      <c r="CM237" s="156"/>
      <c r="CN237" s="156"/>
      <c r="CO237" s="156"/>
    </row>
    <row r="238" spans="1:204" ht="15" customHeight="1" x14ac:dyDescent="0.25">
      <c r="BZ238" s="164"/>
    </row>
    <row r="239" spans="1:204" ht="15" customHeight="1" x14ac:dyDescent="0.25">
      <c r="BZ239" s="164"/>
      <c r="CT239" s="156"/>
    </row>
    <row r="240" spans="1:204" ht="15" customHeight="1" x14ac:dyDescent="0.25">
      <c r="BZ240" s="170"/>
    </row>
    <row r="241" spans="63:78" ht="15" customHeight="1" x14ac:dyDescent="0.25">
      <c r="BZ241" s="164"/>
    </row>
    <row r="242" spans="63:78" ht="15" customHeight="1" x14ac:dyDescent="0.25">
      <c r="BZ242" s="164"/>
    </row>
    <row r="243" spans="63:78" ht="15" customHeight="1" x14ac:dyDescent="0.25">
      <c r="BK243">
        <f>475*4</f>
        <v>1900</v>
      </c>
    </row>
    <row r="244" spans="63:78" ht="15" customHeight="1" x14ac:dyDescent="0.25">
      <c r="BK244">
        <f>+BK243*36%</f>
        <v>684</v>
      </c>
    </row>
    <row r="245" spans="63:78" ht="15" customHeight="1" x14ac:dyDescent="0.25">
      <c r="BK245">
        <f>+BK243+BK244</f>
        <v>2584</v>
      </c>
    </row>
    <row r="246" spans="63:78" ht="15" customHeight="1" x14ac:dyDescent="0.25">
      <c r="BK246">
        <v>500</v>
      </c>
    </row>
    <row r="247" spans="63:78" ht="15" customHeight="1" x14ac:dyDescent="0.25">
      <c r="BK247">
        <f>+BK246+BK245</f>
        <v>3084</v>
      </c>
    </row>
    <row r="248" spans="63:78" ht="15" customHeight="1" x14ac:dyDescent="0.25">
      <c r="BK248" s="206">
        <f>+BK153-BK247</f>
        <v>2332.66</v>
      </c>
    </row>
  </sheetData>
  <autoFilter ref="A5:GV233" xr:uid="{00000000-0001-0000-0300-000000000000}"/>
  <dataConsolidate/>
  <mergeCells count="16">
    <mergeCell ref="K4:P4"/>
    <mergeCell ref="Q4:T4"/>
    <mergeCell ref="B1:BV1"/>
    <mergeCell ref="B4:D4"/>
    <mergeCell ref="U4:AF4"/>
    <mergeCell ref="F4:I4"/>
    <mergeCell ref="AM4:AO4"/>
    <mergeCell ref="AG4:AL4"/>
    <mergeCell ref="AP4:AR4"/>
    <mergeCell ref="AS4:BD4"/>
    <mergeCell ref="BH4:BJ4"/>
    <mergeCell ref="DE4:FA4"/>
    <mergeCell ref="FB4:GV4"/>
    <mergeCell ref="BW4:BX4"/>
    <mergeCell ref="BY4:CL4"/>
    <mergeCell ref="BK4:BV4"/>
  </mergeCells>
  <phoneticPr fontId="30" type="noConversion"/>
  <dataValidations count="4">
    <dataValidation type="list" allowBlank="1" showInputMessage="1" showErrorMessage="1" sqref="K201:K218 K226:K227 K220 K222" xr:uid="{00000000-0002-0000-0300-000000000000}">
      <formula1>"Plurianual Preexistente, Plurianual Nuevo, Anual Nuevo, Inversión Sectorial, Arrastre"</formula1>
    </dataValidation>
    <dataValidation showDropDown="1" showInputMessage="1" showErrorMessage="1" sqref="F6:F229" xr:uid="{00000000-0002-0000-0300-000001000000}"/>
    <dataValidation type="list" allowBlank="1" showInputMessage="1" showErrorMessage="1" sqref="AH6:AH229" xr:uid="{00000000-0002-0000-0300-000002000000}">
      <formula1>"Arrastre,Plurianual,Nuevo"</formula1>
    </dataValidation>
    <dataValidation type="list" allowBlank="1" showInputMessage="1" showErrorMessage="1" sqref="AI6:AI229" xr:uid="{00000000-0002-0000-0300-000003000000}">
      <formula1>"SI,NO"</formula1>
    </dataValidation>
  </dataValidations>
  <printOptions horizontalCentered="1"/>
  <pageMargins left="0.11811023622047245" right="0.11811023622047245" top="0.19685039370078741" bottom="0.19685039370078741" header="0.31496062992125984" footer="0.31496062992125984"/>
  <pageSetup paperSize="9" scale="8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300-000004000000}">
          <x14:formula1>
            <xm:f>Listas!$E$4:$E$13</xm:f>
          </x14:formula1>
          <xm:sqref>F230</xm:sqref>
        </x14:dataValidation>
        <x14:dataValidation type="list" allowBlank="1" showInputMessage="1" showErrorMessage="1" xr:uid="{00000000-0002-0000-0300-000005000000}">
          <x14:formula1>
            <xm:f>Listas!$F$4:$F$58</xm:f>
          </x14:formula1>
          <xm:sqref>G230</xm:sqref>
        </x14:dataValidation>
        <x14:dataValidation type="list" allowBlank="1" showInputMessage="1" showErrorMessage="1" xr:uid="{00000000-0002-0000-0300-000006000000}">
          <x14:formula1>
            <xm:f>Listas!$K$4:$K$10</xm:f>
          </x14:formula1>
          <xm:sqref>K230:M230</xm:sqref>
        </x14:dataValidation>
        <x14:dataValidation type="list" allowBlank="1" showInputMessage="1" showErrorMessage="1" xr:uid="{00000000-0002-0000-0300-000007000000}">
          <x14:formula1>
            <xm:f>Listas!$H$4:$H$17</xm:f>
          </x14:formula1>
          <xm:sqref>I230</xm:sqref>
        </x14:dataValidation>
        <x14:dataValidation type="list" allowBlank="1" showInputMessage="1" showErrorMessage="1" xr:uid="{00000000-0002-0000-0300-000008000000}">
          <x14:formula1>
            <xm:f>Listas!$C$4:$C$74</xm:f>
          </x14:formula1>
          <xm:sqref>D230</xm:sqref>
        </x14:dataValidation>
        <x14:dataValidation type="list" allowBlank="1" showInputMessage="1" showErrorMessage="1" xr:uid="{00000000-0002-0000-0300-000009000000}">
          <x14:formula1>
            <xm:f>Listas!$D$4:$D$5</xm:f>
          </x14:formula1>
          <xm:sqref>E230</xm:sqref>
        </x14:dataValidation>
        <x14:dataValidation type="list" allowBlank="1" showInputMessage="1" showErrorMessage="1" xr:uid="{00000000-0002-0000-0300-00000A000000}">
          <x14:formula1>
            <xm:f>Listas!$A$4:$A$18</xm:f>
          </x14:formula1>
          <xm:sqref>B230</xm:sqref>
        </x14:dataValidation>
        <x14:dataValidation type="list" allowBlank="1" showInputMessage="1" showErrorMessage="1" xr:uid="{00000000-0002-0000-0300-00000B000000}">
          <x14:formula1>
            <xm:f>Listas!$B$4:$B$18</xm:f>
          </x14:formula1>
          <xm:sqref>C230</xm:sqref>
        </x14:dataValidation>
        <x14:dataValidation type="list" allowBlank="1" showInputMessage="1" showErrorMessage="1" xr:uid="{00000000-0002-0000-0300-00000C000000}">
          <x14:formula1>
            <xm:f>Listas!$F$4:$F$66</xm:f>
          </x14:formula1>
          <xm:sqref>G201:G218 G226:G227 G220 G222</xm:sqref>
        </x14:dataValidation>
        <x14:dataValidation type="list" allowBlank="1" showInputMessage="1" showErrorMessage="1" xr:uid="{00000000-0002-0000-0300-00000D000000}">
          <x14:formula1>
            <xm:f>Listas!$L$4:$L$7</xm:f>
          </x14:formula1>
          <xm:sqref>N201:N218 N230 N226:N227 N220 N222</xm:sqref>
        </x14:dataValidation>
        <x14:dataValidation type="list" allowBlank="1" showInputMessage="1" showErrorMessage="1" xr:uid="{00000000-0002-0000-0300-00000E000000}">
          <x14:formula1>
            <xm:f>Listas!$S$4:$S$5</xm:f>
          </x14:formula1>
          <xm:sqref>T6:T230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3"/>
  <sheetViews>
    <sheetView showGridLines="0" zoomScale="120" zoomScaleNormal="120" zoomScaleSheetLayoutView="90" workbookViewId="0">
      <selection activeCell="AG3" sqref="AG3:AI3"/>
    </sheetView>
  </sheetViews>
  <sheetFormatPr baseColWidth="10" defaultColWidth="11.42578125" defaultRowHeight="15" x14ac:dyDescent="0.25"/>
  <cols>
    <col min="1" max="1" width="0.85546875" style="1" customWidth="1"/>
    <col min="2" max="2" width="8.28515625" style="1" customWidth="1"/>
    <col min="3" max="3" width="9.7109375" style="1" customWidth="1"/>
    <col min="4" max="5" width="7.28515625" style="1" customWidth="1"/>
    <col min="6" max="6" width="9.5703125" style="4" customWidth="1"/>
    <col min="7" max="7" width="7.85546875" style="1" customWidth="1"/>
    <col min="8" max="8" width="8" style="1" customWidth="1"/>
    <col min="9" max="9" width="7.28515625" style="1" customWidth="1"/>
    <col min="10" max="10" width="6.5703125" style="1" customWidth="1"/>
    <col min="11" max="11" width="8.5703125" style="1" customWidth="1"/>
    <col min="12" max="12" width="12.28515625" style="3" customWidth="1"/>
    <col min="13" max="13" width="15.7109375" style="3" customWidth="1"/>
    <col min="14" max="14" width="9.85546875" style="3" customWidth="1"/>
    <col min="15" max="15" width="6.7109375" style="3" customWidth="1"/>
    <col min="16" max="16" width="4.140625" style="3" customWidth="1"/>
    <col min="17" max="17" width="3.28515625" style="3" customWidth="1"/>
    <col min="18" max="18" width="4.140625" style="3" customWidth="1"/>
    <col min="19" max="20" width="9.42578125" style="9" customWidth="1"/>
    <col min="21" max="24" width="7.7109375" style="9" customWidth="1"/>
    <col min="25" max="27" width="5" style="9" customWidth="1"/>
    <col min="28" max="28" width="6" style="9" customWidth="1"/>
    <col min="29" max="29" width="8.5703125" style="1" customWidth="1"/>
    <col min="30" max="30" width="6.7109375" style="1" customWidth="1"/>
    <col min="31" max="31" width="6.5703125" style="1" customWidth="1"/>
    <col min="32" max="32" width="7.42578125" style="1" customWidth="1"/>
    <col min="33" max="33" width="3" style="1" customWidth="1"/>
    <col min="34" max="34" width="3.7109375" style="1" customWidth="1"/>
    <col min="35" max="35" width="2.85546875" style="1" customWidth="1"/>
    <col min="36" max="16384" width="11.42578125" style="1"/>
  </cols>
  <sheetData>
    <row r="1" spans="2:35" ht="26.45" customHeight="1" thickBot="1" x14ac:dyDescent="0.35">
      <c r="B1" s="366" t="s">
        <v>498</v>
      </c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</row>
    <row r="2" spans="2:35" s="10" customFormat="1" ht="19.899999999999999" customHeight="1" thickBot="1" x14ac:dyDescent="0.3">
      <c r="B2" s="367" t="s">
        <v>120</v>
      </c>
      <c r="C2" s="370" t="s">
        <v>91</v>
      </c>
      <c r="D2" s="371"/>
      <c r="E2" s="372"/>
      <c r="F2" s="373" t="s">
        <v>111</v>
      </c>
      <c r="G2" s="376" t="s">
        <v>92</v>
      </c>
      <c r="H2" s="377"/>
      <c r="I2" s="377"/>
      <c r="J2" s="377"/>
      <c r="K2" s="378"/>
      <c r="L2" s="379" t="s">
        <v>85</v>
      </c>
      <c r="M2" s="379"/>
      <c r="N2" s="380"/>
      <c r="O2" s="380"/>
      <c r="P2" s="380"/>
      <c r="Q2" s="380"/>
      <c r="R2" s="381"/>
      <c r="S2" s="382" t="s">
        <v>96</v>
      </c>
      <c r="T2" s="383"/>
      <c r="U2" s="384"/>
      <c r="V2" s="385" t="s">
        <v>80</v>
      </c>
      <c r="W2" s="386"/>
      <c r="X2" s="386"/>
      <c r="Y2" s="386"/>
      <c r="Z2" s="386"/>
      <c r="AA2" s="387"/>
      <c r="AB2" s="382" t="s">
        <v>17</v>
      </c>
      <c r="AC2" s="388"/>
      <c r="AD2" s="388"/>
      <c r="AE2" s="388"/>
      <c r="AF2" s="388"/>
      <c r="AG2" s="388"/>
      <c r="AH2" s="388"/>
      <c r="AI2" s="384"/>
    </row>
    <row r="3" spans="2:35" s="11" customFormat="1" ht="20.45" customHeight="1" x14ac:dyDescent="0.2">
      <c r="B3" s="368"/>
      <c r="C3" s="389" t="s">
        <v>89</v>
      </c>
      <c r="D3" s="391" t="s">
        <v>121</v>
      </c>
      <c r="E3" s="393" t="s">
        <v>90</v>
      </c>
      <c r="F3" s="374"/>
      <c r="G3" s="395" t="s">
        <v>31</v>
      </c>
      <c r="H3" s="364" t="s">
        <v>21</v>
      </c>
      <c r="I3" s="364" t="s">
        <v>23</v>
      </c>
      <c r="J3" s="364" t="s">
        <v>24</v>
      </c>
      <c r="K3" s="350" t="s">
        <v>25</v>
      </c>
      <c r="L3" s="352" t="s">
        <v>105</v>
      </c>
      <c r="M3" s="354" t="s">
        <v>116</v>
      </c>
      <c r="N3" s="354" t="s">
        <v>57</v>
      </c>
      <c r="O3" s="354" t="s">
        <v>56</v>
      </c>
      <c r="P3" s="356" t="s">
        <v>58</v>
      </c>
      <c r="Q3" s="357"/>
      <c r="R3" s="357"/>
      <c r="S3" s="358" t="s">
        <v>55</v>
      </c>
      <c r="T3" s="360" t="s">
        <v>54</v>
      </c>
      <c r="U3" s="360" t="s">
        <v>128</v>
      </c>
      <c r="V3" s="348" t="s">
        <v>104</v>
      </c>
      <c r="W3" s="362" t="s">
        <v>102</v>
      </c>
      <c r="X3" s="348" t="s">
        <v>103</v>
      </c>
      <c r="Y3" s="324" t="s">
        <v>95</v>
      </c>
      <c r="Z3" s="324"/>
      <c r="AA3" s="325"/>
      <c r="AB3" s="326" t="s">
        <v>50</v>
      </c>
      <c r="AC3" s="328" t="s">
        <v>93</v>
      </c>
      <c r="AD3" s="329"/>
      <c r="AE3" s="329"/>
      <c r="AF3" s="330" t="s">
        <v>52</v>
      </c>
      <c r="AG3" s="332" t="s">
        <v>53</v>
      </c>
      <c r="AH3" s="332"/>
      <c r="AI3" s="333"/>
    </row>
    <row r="4" spans="2:35" s="11" customFormat="1" ht="40.15" customHeight="1" thickBot="1" x14ac:dyDescent="0.25">
      <c r="B4" s="369"/>
      <c r="C4" s="390"/>
      <c r="D4" s="392"/>
      <c r="E4" s="394"/>
      <c r="F4" s="375"/>
      <c r="G4" s="396"/>
      <c r="H4" s="365"/>
      <c r="I4" s="365"/>
      <c r="J4" s="365"/>
      <c r="K4" s="351"/>
      <c r="L4" s="353"/>
      <c r="M4" s="355"/>
      <c r="N4" s="355"/>
      <c r="O4" s="355"/>
      <c r="P4" s="16" t="s">
        <v>35</v>
      </c>
      <c r="Q4" s="17" t="s">
        <v>33</v>
      </c>
      <c r="R4" s="17" t="s">
        <v>34</v>
      </c>
      <c r="S4" s="359"/>
      <c r="T4" s="361"/>
      <c r="U4" s="361"/>
      <c r="V4" s="349"/>
      <c r="W4" s="363"/>
      <c r="X4" s="349"/>
      <c r="Y4" s="18" t="s">
        <v>35</v>
      </c>
      <c r="Z4" s="18" t="s">
        <v>36</v>
      </c>
      <c r="AA4" s="19" t="s">
        <v>34</v>
      </c>
      <c r="AB4" s="327"/>
      <c r="AC4" s="57" t="s">
        <v>94</v>
      </c>
      <c r="AD4" s="57" t="s">
        <v>51</v>
      </c>
      <c r="AE4" s="57" t="s">
        <v>74</v>
      </c>
      <c r="AF4" s="331"/>
      <c r="AG4" s="47" t="s">
        <v>35</v>
      </c>
      <c r="AH4" s="47" t="s">
        <v>36</v>
      </c>
      <c r="AI4" s="48" t="s">
        <v>34</v>
      </c>
    </row>
    <row r="5" spans="2:35" s="10" customFormat="1" ht="81" customHeight="1" x14ac:dyDescent="0.25">
      <c r="B5" s="334" t="s">
        <v>493</v>
      </c>
      <c r="C5" s="336" t="s">
        <v>108</v>
      </c>
      <c r="D5" s="338" t="s">
        <v>32</v>
      </c>
      <c r="E5" s="340" t="s">
        <v>66</v>
      </c>
      <c r="F5" s="31" t="s">
        <v>28</v>
      </c>
      <c r="G5" s="24" t="s">
        <v>68</v>
      </c>
      <c r="H5" s="20" t="s">
        <v>68</v>
      </c>
      <c r="I5" s="20" t="s">
        <v>68</v>
      </c>
      <c r="J5" s="20" t="s">
        <v>68</v>
      </c>
      <c r="K5" s="35" t="s">
        <v>68</v>
      </c>
      <c r="L5" s="28" t="s">
        <v>494</v>
      </c>
      <c r="M5" s="28" t="s">
        <v>495</v>
      </c>
      <c r="N5" s="20" t="s">
        <v>39</v>
      </c>
      <c r="O5" s="20" t="s">
        <v>2</v>
      </c>
      <c r="P5" s="342" t="s">
        <v>64</v>
      </c>
      <c r="Q5" s="343"/>
      <c r="R5" s="343"/>
      <c r="S5" s="44" t="s">
        <v>113</v>
      </c>
      <c r="T5" s="39" t="s">
        <v>47</v>
      </c>
      <c r="U5" s="39" t="s">
        <v>47</v>
      </c>
      <c r="V5" s="305" t="s">
        <v>68</v>
      </c>
      <c r="W5" s="308" t="s">
        <v>68</v>
      </c>
      <c r="X5" s="308" t="s">
        <v>68</v>
      </c>
      <c r="Y5" s="311" t="s">
        <v>32</v>
      </c>
      <c r="Z5" s="312"/>
      <c r="AA5" s="313"/>
      <c r="AB5" s="24" t="s">
        <v>43</v>
      </c>
      <c r="AC5" s="317" t="s">
        <v>124</v>
      </c>
      <c r="AD5" s="317" t="s">
        <v>44</v>
      </c>
      <c r="AE5" s="317" t="s">
        <v>123</v>
      </c>
      <c r="AF5" s="319" t="s">
        <v>122</v>
      </c>
      <c r="AG5" s="311" t="s">
        <v>125</v>
      </c>
      <c r="AH5" s="312"/>
      <c r="AI5" s="313"/>
    </row>
    <row r="6" spans="2:35" s="10" customFormat="1" ht="72.599999999999994" customHeight="1" x14ac:dyDescent="0.25">
      <c r="B6" s="335"/>
      <c r="C6" s="337"/>
      <c r="D6" s="339"/>
      <c r="E6" s="341"/>
      <c r="F6" s="32" t="s">
        <v>29</v>
      </c>
      <c r="G6" s="25" t="s">
        <v>68</v>
      </c>
      <c r="H6" s="21" t="s">
        <v>68</v>
      </c>
      <c r="I6" s="21" t="s">
        <v>68</v>
      </c>
      <c r="J6" s="21" t="s">
        <v>68</v>
      </c>
      <c r="K6" s="36" t="s">
        <v>68</v>
      </c>
      <c r="L6" s="29" t="s">
        <v>87</v>
      </c>
      <c r="M6" s="29" t="s">
        <v>496</v>
      </c>
      <c r="N6" s="21" t="s">
        <v>40</v>
      </c>
      <c r="O6" s="21" t="s">
        <v>2</v>
      </c>
      <c r="P6" s="346" t="s">
        <v>64</v>
      </c>
      <c r="Q6" s="347"/>
      <c r="R6" s="347"/>
      <c r="S6" s="45" t="s">
        <v>113</v>
      </c>
      <c r="T6" s="40" t="s">
        <v>47</v>
      </c>
      <c r="U6" s="40" t="s">
        <v>47</v>
      </c>
      <c r="V6" s="306"/>
      <c r="W6" s="309"/>
      <c r="X6" s="309"/>
      <c r="Y6" s="314"/>
      <c r="Z6" s="315"/>
      <c r="AA6" s="316"/>
      <c r="AB6" s="25" t="s">
        <v>69</v>
      </c>
      <c r="AC6" s="318"/>
      <c r="AD6" s="318"/>
      <c r="AE6" s="318"/>
      <c r="AF6" s="320"/>
      <c r="AG6" s="314"/>
      <c r="AH6" s="315"/>
      <c r="AI6" s="316"/>
    </row>
    <row r="7" spans="2:35" s="10" customFormat="1" ht="71.45" customHeight="1" x14ac:dyDescent="0.25">
      <c r="B7" s="335"/>
      <c r="C7" s="337"/>
      <c r="D7" s="339"/>
      <c r="E7" s="341"/>
      <c r="F7" s="32" t="s">
        <v>107</v>
      </c>
      <c r="G7" s="25" t="s">
        <v>68</v>
      </c>
      <c r="H7" s="21" t="s">
        <v>68</v>
      </c>
      <c r="I7" s="21" t="s">
        <v>68</v>
      </c>
      <c r="J7" s="21" t="s">
        <v>68</v>
      </c>
      <c r="K7" s="36" t="s">
        <v>68</v>
      </c>
      <c r="L7" s="29" t="s">
        <v>86</v>
      </c>
      <c r="M7" s="29" t="s">
        <v>117</v>
      </c>
      <c r="N7" s="21" t="s">
        <v>42</v>
      </c>
      <c r="O7" s="21" t="s">
        <v>2</v>
      </c>
      <c r="P7" s="346" t="s">
        <v>64</v>
      </c>
      <c r="Q7" s="347"/>
      <c r="R7" s="347"/>
      <c r="S7" s="45" t="s">
        <v>113</v>
      </c>
      <c r="T7" s="40" t="s">
        <v>47</v>
      </c>
      <c r="U7" s="40" t="s">
        <v>47</v>
      </c>
      <c r="V7" s="306"/>
      <c r="W7" s="309"/>
      <c r="X7" s="309"/>
      <c r="Y7" s="314"/>
      <c r="Z7" s="315"/>
      <c r="AA7" s="316"/>
      <c r="AB7" s="25" t="s">
        <v>73</v>
      </c>
      <c r="AC7" s="318"/>
      <c r="AD7" s="318"/>
      <c r="AE7" s="318"/>
      <c r="AF7" s="320"/>
      <c r="AG7" s="321"/>
      <c r="AH7" s="322"/>
      <c r="AI7" s="323"/>
    </row>
    <row r="8" spans="2:35" s="11" customFormat="1" ht="80.45" customHeight="1" thickBot="1" x14ac:dyDescent="0.25">
      <c r="B8" s="335"/>
      <c r="C8" s="337"/>
      <c r="D8" s="339"/>
      <c r="E8" s="341"/>
      <c r="F8" s="33" t="s">
        <v>30</v>
      </c>
      <c r="G8" s="37" t="s">
        <v>68</v>
      </c>
      <c r="H8" s="22" t="s">
        <v>68</v>
      </c>
      <c r="I8" s="22" t="s">
        <v>68</v>
      </c>
      <c r="J8" s="22" t="s">
        <v>68</v>
      </c>
      <c r="K8" s="38" t="s">
        <v>68</v>
      </c>
      <c r="L8" s="30" t="s">
        <v>88</v>
      </c>
      <c r="M8" s="30" t="s">
        <v>126</v>
      </c>
      <c r="N8" s="22" t="s">
        <v>84</v>
      </c>
      <c r="O8" s="22" t="s">
        <v>118</v>
      </c>
      <c r="P8" s="344" t="s">
        <v>64</v>
      </c>
      <c r="Q8" s="345"/>
      <c r="R8" s="345"/>
      <c r="S8" s="46" t="s">
        <v>113</v>
      </c>
      <c r="T8" s="41" t="s">
        <v>47</v>
      </c>
      <c r="U8" s="41" t="s">
        <v>47</v>
      </c>
      <c r="V8" s="307"/>
      <c r="W8" s="310"/>
      <c r="X8" s="310"/>
      <c r="Y8" s="314"/>
      <c r="Z8" s="315"/>
      <c r="AA8" s="316"/>
      <c r="AB8" s="302" t="s">
        <v>97</v>
      </c>
      <c r="AC8" s="303"/>
      <c r="AD8" s="303"/>
      <c r="AE8" s="303"/>
      <c r="AF8" s="303"/>
      <c r="AG8" s="303"/>
      <c r="AH8" s="303"/>
      <c r="AI8" s="304"/>
    </row>
    <row r="9" spans="2:35" s="11" customFormat="1" ht="106.9" customHeight="1" x14ac:dyDescent="0.2">
      <c r="B9" s="287" t="s">
        <v>41</v>
      </c>
      <c r="C9" s="290" t="s">
        <v>109</v>
      </c>
      <c r="D9" s="273" t="s">
        <v>127</v>
      </c>
      <c r="E9" s="293" t="s">
        <v>61</v>
      </c>
      <c r="F9" s="296" t="s">
        <v>67</v>
      </c>
      <c r="G9" s="299" t="s">
        <v>130</v>
      </c>
      <c r="H9" s="270" t="s">
        <v>131</v>
      </c>
      <c r="I9" s="273" t="s">
        <v>59</v>
      </c>
      <c r="J9" s="274" t="s">
        <v>60</v>
      </c>
      <c r="K9" s="52" t="s">
        <v>63</v>
      </c>
      <c r="L9" s="62" t="s">
        <v>88</v>
      </c>
      <c r="M9" s="60" t="s">
        <v>49</v>
      </c>
      <c r="N9" s="60" t="s">
        <v>119</v>
      </c>
      <c r="O9" s="60" t="s">
        <v>118</v>
      </c>
      <c r="P9" s="274" t="s">
        <v>48</v>
      </c>
      <c r="Q9" s="274"/>
      <c r="R9" s="276"/>
      <c r="S9" s="34" t="s">
        <v>112</v>
      </c>
      <c r="T9" s="65" t="s">
        <v>72</v>
      </c>
      <c r="U9" s="65" t="s">
        <v>129</v>
      </c>
      <c r="V9" s="49" t="s">
        <v>99</v>
      </c>
      <c r="W9" s="50" t="s">
        <v>100</v>
      </c>
      <c r="X9" s="51" t="s">
        <v>110</v>
      </c>
      <c r="Y9" s="277" t="s">
        <v>101</v>
      </c>
      <c r="Z9" s="278"/>
      <c r="AA9" s="279"/>
      <c r="AB9" s="62" t="s">
        <v>70</v>
      </c>
      <c r="AC9" s="61" t="s">
        <v>65</v>
      </c>
      <c r="AD9" s="61" t="s">
        <v>44</v>
      </c>
      <c r="AE9" s="61" t="s">
        <v>75</v>
      </c>
      <c r="AF9" s="23" t="s">
        <v>45</v>
      </c>
      <c r="AG9" s="280" t="s">
        <v>46</v>
      </c>
      <c r="AH9" s="280"/>
      <c r="AI9" s="281"/>
    </row>
    <row r="10" spans="2:35" s="11" customFormat="1" ht="94.9" customHeight="1" x14ac:dyDescent="0.2">
      <c r="B10" s="288"/>
      <c r="C10" s="291"/>
      <c r="D10" s="266"/>
      <c r="E10" s="294"/>
      <c r="F10" s="297"/>
      <c r="G10" s="300"/>
      <c r="H10" s="271"/>
      <c r="I10" s="266"/>
      <c r="J10" s="275"/>
      <c r="K10" s="282" t="s">
        <v>106</v>
      </c>
      <c r="L10" s="63" t="s">
        <v>494</v>
      </c>
      <c r="M10" s="58" t="s">
        <v>495</v>
      </c>
      <c r="N10" s="58" t="s">
        <v>39</v>
      </c>
      <c r="O10" s="58" t="s">
        <v>2</v>
      </c>
      <c r="P10" s="275" t="s">
        <v>48</v>
      </c>
      <c r="Q10" s="275"/>
      <c r="R10" s="284"/>
      <c r="S10" s="55" t="s">
        <v>114</v>
      </c>
      <c r="T10" s="42" t="s">
        <v>47</v>
      </c>
      <c r="U10" s="42" t="s">
        <v>98</v>
      </c>
      <c r="V10" s="285" t="s">
        <v>98</v>
      </c>
      <c r="W10" s="258" t="s">
        <v>98</v>
      </c>
      <c r="X10" s="258" t="s">
        <v>98</v>
      </c>
      <c r="Y10" s="260" t="s">
        <v>98</v>
      </c>
      <c r="Z10" s="261"/>
      <c r="AA10" s="262"/>
      <c r="AB10" s="63" t="s">
        <v>62</v>
      </c>
      <c r="AC10" s="266" t="s">
        <v>65</v>
      </c>
      <c r="AD10" s="266" t="s">
        <v>44</v>
      </c>
      <c r="AE10" s="266" t="s">
        <v>75</v>
      </c>
      <c r="AF10" s="268" t="s">
        <v>45</v>
      </c>
      <c r="AG10" s="251" t="s">
        <v>46</v>
      </c>
      <c r="AH10" s="251"/>
      <c r="AI10" s="252"/>
    </row>
    <row r="11" spans="2:35" s="11" customFormat="1" ht="90" customHeight="1" thickBot="1" x14ac:dyDescent="0.25">
      <c r="B11" s="289"/>
      <c r="C11" s="292"/>
      <c r="D11" s="267"/>
      <c r="E11" s="295"/>
      <c r="F11" s="298"/>
      <c r="G11" s="301"/>
      <c r="H11" s="272"/>
      <c r="I11" s="267"/>
      <c r="J11" s="255"/>
      <c r="K11" s="283"/>
      <c r="L11" s="64" t="s">
        <v>87</v>
      </c>
      <c r="M11" s="59" t="s">
        <v>497</v>
      </c>
      <c r="N11" s="59" t="s">
        <v>40</v>
      </c>
      <c r="O11" s="59" t="s">
        <v>2</v>
      </c>
      <c r="P11" s="255" t="s">
        <v>48</v>
      </c>
      <c r="Q11" s="255"/>
      <c r="R11" s="256"/>
      <c r="S11" s="56" t="s">
        <v>115</v>
      </c>
      <c r="T11" s="43" t="s">
        <v>47</v>
      </c>
      <c r="U11" s="43" t="s">
        <v>98</v>
      </c>
      <c r="V11" s="286"/>
      <c r="W11" s="259"/>
      <c r="X11" s="259"/>
      <c r="Y11" s="263"/>
      <c r="Z11" s="264"/>
      <c r="AA11" s="265"/>
      <c r="AB11" s="64" t="s">
        <v>71</v>
      </c>
      <c r="AC11" s="267"/>
      <c r="AD11" s="267"/>
      <c r="AE11" s="267"/>
      <c r="AF11" s="269"/>
      <c r="AG11" s="253"/>
      <c r="AH11" s="253"/>
      <c r="AI11" s="254"/>
    </row>
    <row r="12" spans="2:35" ht="18.75" thickBot="1" x14ac:dyDescent="0.3">
      <c r="C12" s="2"/>
      <c r="D12" s="2"/>
      <c r="E12" s="2"/>
      <c r="F12" s="13"/>
      <c r="G12" s="2"/>
      <c r="H12" s="2"/>
      <c r="I12" s="2"/>
      <c r="J12" s="2"/>
      <c r="K12" s="2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67" t="s">
        <v>1</v>
      </c>
      <c r="AC12" s="26"/>
      <c r="AD12" s="26"/>
      <c r="AE12" s="26"/>
      <c r="AF12" s="26"/>
      <c r="AG12" s="26"/>
      <c r="AH12" s="26"/>
      <c r="AI12" s="27"/>
    </row>
    <row r="13" spans="2:35" x14ac:dyDescent="0.25"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</row>
  </sheetData>
  <mergeCells count="76">
    <mergeCell ref="J3:J4"/>
    <mergeCell ref="B1:AI1"/>
    <mergeCell ref="B2:B4"/>
    <mergeCell ref="C2:E2"/>
    <mergeCell ref="F2:F4"/>
    <mergeCell ref="G2:K2"/>
    <mergeCell ref="L2:R2"/>
    <mergeCell ref="S2:U2"/>
    <mergeCell ref="V2:AA2"/>
    <mergeCell ref="AB2:AI2"/>
    <mergeCell ref="C3:C4"/>
    <mergeCell ref="D3:D4"/>
    <mergeCell ref="E3:E4"/>
    <mergeCell ref="G3:G4"/>
    <mergeCell ref="H3:H4"/>
    <mergeCell ref="I3:I4"/>
    <mergeCell ref="X3:X4"/>
    <mergeCell ref="K3:K4"/>
    <mergeCell ref="L3:L4"/>
    <mergeCell ref="M3:M4"/>
    <mergeCell ref="N3:N4"/>
    <mergeCell ref="O3:O4"/>
    <mergeCell ref="P3:R3"/>
    <mergeCell ref="S3:S4"/>
    <mergeCell ref="T3:T4"/>
    <mergeCell ref="U3:U4"/>
    <mergeCell ref="V3:V4"/>
    <mergeCell ref="W3:W4"/>
    <mergeCell ref="B5:B8"/>
    <mergeCell ref="C5:C8"/>
    <mergeCell ref="D5:D8"/>
    <mergeCell ref="E5:E8"/>
    <mergeCell ref="P5:R5"/>
    <mergeCell ref="P8:R8"/>
    <mergeCell ref="P6:R6"/>
    <mergeCell ref="P7:R7"/>
    <mergeCell ref="Y3:AA3"/>
    <mergeCell ref="AB3:AB4"/>
    <mergeCell ref="AC3:AE3"/>
    <mergeCell ref="AF3:AF4"/>
    <mergeCell ref="AG3:AI3"/>
    <mergeCell ref="AB8:AI8"/>
    <mergeCell ref="V5:V8"/>
    <mergeCell ref="W5:W8"/>
    <mergeCell ref="X5:X8"/>
    <mergeCell ref="Y5:AA8"/>
    <mergeCell ref="AC5:AC7"/>
    <mergeCell ref="AD5:AD7"/>
    <mergeCell ref="AE5:AE7"/>
    <mergeCell ref="AF5:AF7"/>
    <mergeCell ref="AG5:AI7"/>
    <mergeCell ref="P10:R10"/>
    <mergeCell ref="V10:V11"/>
    <mergeCell ref="W10:W11"/>
    <mergeCell ref="B9:B11"/>
    <mergeCell ref="C9:C11"/>
    <mergeCell ref="D9:D11"/>
    <mergeCell ref="E9:E11"/>
    <mergeCell ref="F9:F11"/>
    <mergeCell ref="G9:G11"/>
    <mergeCell ref="AG10:AI11"/>
    <mergeCell ref="P11:R11"/>
    <mergeCell ref="C13:AB13"/>
    <mergeCell ref="X10:X11"/>
    <mergeCell ref="Y10:AA11"/>
    <mergeCell ref="AC10:AC11"/>
    <mergeCell ref="AD10:AD11"/>
    <mergeCell ref="AE10:AE11"/>
    <mergeCell ref="AF10:AF11"/>
    <mergeCell ref="H9:H11"/>
    <mergeCell ref="I9:I11"/>
    <mergeCell ref="J9:J11"/>
    <mergeCell ref="P9:R9"/>
    <mergeCell ref="Y9:AA9"/>
    <mergeCell ref="AG9:AI9"/>
    <mergeCell ref="K10:K11"/>
  </mergeCells>
  <pageMargins left="0.7" right="0.7" top="0.75" bottom="0.75" header="0.3" footer="0.3"/>
  <pageSetup scale="5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E18" sqref="E18"/>
    </sheetView>
  </sheetViews>
  <sheetFormatPr baseColWidth="10" defaultColWidth="11.42578125" defaultRowHeight="15" x14ac:dyDescent="0.25"/>
  <cols>
    <col min="1" max="1" width="97.5703125" style="1" customWidth="1"/>
  </cols>
  <sheetData>
    <row r="1" spans="1:1" x14ac:dyDescent="0.25">
      <c r="A1" s="2" t="s">
        <v>515</v>
      </c>
    </row>
    <row r="2" spans="1:1" ht="30" x14ac:dyDescent="0.25">
      <c r="A2" s="1" t="s">
        <v>235</v>
      </c>
    </row>
    <row r="3" spans="1:1" ht="45" x14ac:dyDescent="0.25">
      <c r="A3" s="1" t="s">
        <v>236</v>
      </c>
    </row>
    <row r="4" spans="1:1" x14ac:dyDescent="0.25">
      <c r="A4" s="1" t="s">
        <v>237</v>
      </c>
    </row>
    <row r="5" spans="1:1" ht="30" x14ac:dyDescent="0.25">
      <c r="A5" s="1" t="s">
        <v>238</v>
      </c>
    </row>
    <row r="6" spans="1:1" ht="45" x14ac:dyDescent="0.25">
      <c r="A6" s="1" t="s">
        <v>239</v>
      </c>
    </row>
    <row r="7" spans="1:1" ht="30" x14ac:dyDescent="0.25">
      <c r="A7" s="1" t="s">
        <v>240</v>
      </c>
    </row>
    <row r="8" spans="1:1" ht="30" x14ac:dyDescent="0.25">
      <c r="A8" s="1" t="s">
        <v>241</v>
      </c>
    </row>
    <row r="9" spans="1:1" x14ac:dyDescent="0.25">
      <c r="A9" s="1" t="s">
        <v>323</v>
      </c>
    </row>
    <row r="10" spans="1:1" ht="30" x14ac:dyDescent="0.25">
      <c r="A10" s="1" t="s">
        <v>242</v>
      </c>
    </row>
    <row r="11" spans="1:1" ht="30" x14ac:dyDescent="0.25">
      <c r="A11" s="1" t="s">
        <v>243</v>
      </c>
    </row>
  </sheetData>
  <pageMargins left="0.7" right="0.7" top="0.75" bottom="0.75" header="0.3" footer="0.3"/>
  <pageSetup paperSize="9" orientation="portrait" verticalDpi="597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52"/>
  <sheetViews>
    <sheetView topLeftCell="A16" workbookViewId="0">
      <selection activeCell="A4" sqref="A4"/>
    </sheetView>
  </sheetViews>
  <sheetFormatPr baseColWidth="10" defaultColWidth="11.42578125" defaultRowHeight="15" x14ac:dyDescent="0.25"/>
  <cols>
    <col min="2" max="2" width="36.85546875" customWidth="1"/>
    <col min="3" max="3" width="37.7109375" customWidth="1"/>
    <col min="7" max="7" width="24.85546875" customWidth="1"/>
    <col min="8" max="8" width="19.85546875" customWidth="1"/>
    <col min="16" max="16" width="55.42578125" customWidth="1"/>
    <col min="17" max="17" width="64.85546875" customWidth="1"/>
    <col min="18" max="18" width="66.7109375" customWidth="1"/>
    <col min="20" max="20" width="4.85546875" bestFit="1" customWidth="1"/>
    <col min="21" max="21" width="6.28515625" bestFit="1" customWidth="1"/>
    <col min="22" max="22" width="5.140625" bestFit="1" customWidth="1"/>
    <col min="23" max="23" width="4.28515625" bestFit="1" customWidth="1"/>
    <col min="24" max="24" width="4.7109375" bestFit="1" customWidth="1"/>
    <col min="25" max="25" width="4.5703125" bestFit="1" customWidth="1"/>
    <col min="26" max="26" width="4.140625" bestFit="1" customWidth="1"/>
    <col min="27" max="27" width="5.5703125" bestFit="1" customWidth="1"/>
    <col min="28" max="28" width="8.85546875" bestFit="1" customWidth="1"/>
    <col min="29" max="29" width="6.42578125" bestFit="1" customWidth="1"/>
    <col min="30" max="30" width="8.42578125" bestFit="1" customWidth="1"/>
    <col min="31" max="31" width="8" bestFit="1" customWidth="1"/>
    <col min="42" max="42" width="4.85546875" bestFit="1" customWidth="1"/>
    <col min="43" max="43" width="6.28515625" bestFit="1" customWidth="1"/>
    <col min="44" max="44" width="5.140625" bestFit="1" customWidth="1"/>
    <col min="45" max="45" width="4.28515625" bestFit="1" customWidth="1"/>
    <col min="46" max="46" width="4.7109375" bestFit="1" customWidth="1"/>
    <col min="47" max="47" width="4.5703125" bestFit="1" customWidth="1"/>
    <col min="48" max="48" width="4.140625" bestFit="1" customWidth="1"/>
    <col min="49" max="49" width="5.5703125" bestFit="1" customWidth="1"/>
    <col min="50" max="50" width="8.85546875" bestFit="1" customWidth="1"/>
    <col min="51" max="51" width="6.42578125" bestFit="1" customWidth="1"/>
    <col min="52" max="52" width="8.42578125" bestFit="1" customWidth="1"/>
    <col min="53" max="53" width="8" bestFit="1" customWidth="1"/>
    <col min="59" max="59" width="4.85546875" bestFit="1" customWidth="1"/>
    <col min="60" max="60" width="6.28515625" bestFit="1" customWidth="1"/>
    <col min="61" max="61" width="5.140625" bestFit="1" customWidth="1"/>
    <col min="62" max="62" width="4.28515625" bestFit="1" customWidth="1"/>
    <col min="63" max="63" width="4.7109375" bestFit="1" customWidth="1"/>
    <col min="64" max="64" width="4.5703125" bestFit="1" customWidth="1"/>
    <col min="65" max="65" width="4.140625" bestFit="1" customWidth="1"/>
    <col min="66" max="66" width="5.5703125" bestFit="1" customWidth="1"/>
    <col min="67" max="67" width="8.85546875" bestFit="1" customWidth="1"/>
    <col min="68" max="68" width="6.42578125" bestFit="1" customWidth="1"/>
    <col min="69" max="69" width="8.42578125" bestFit="1" customWidth="1"/>
    <col min="70" max="70" width="8" bestFit="1" customWidth="1"/>
  </cols>
  <sheetData>
    <row r="1" spans="1:70" s="1" customFormat="1" ht="25.5" customHeight="1" x14ac:dyDescent="0.25">
      <c r="A1" s="401" t="s">
        <v>20</v>
      </c>
      <c r="B1" s="402"/>
      <c r="C1" s="403"/>
      <c r="D1" s="404" t="s">
        <v>3</v>
      </c>
      <c r="E1" s="397" t="s">
        <v>134</v>
      </c>
      <c r="F1" s="397" t="s">
        <v>135</v>
      </c>
      <c r="G1" s="397" t="s">
        <v>136</v>
      </c>
      <c r="H1" s="397" t="s">
        <v>90</v>
      </c>
      <c r="I1" s="397" t="s">
        <v>111</v>
      </c>
      <c r="J1" s="405" t="s">
        <v>27</v>
      </c>
      <c r="K1" s="406"/>
      <c r="L1" s="406"/>
      <c r="M1" s="406"/>
      <c r="N1" s="406"/>
      <c r="O1" s="407"/>
      <c r="P1" s="411" t="s">
        <v>6</v>
      </c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2" t="s">
        <v>0</v>
      </c>
      <c r="AG1" s="412"/>
      <c r="AH1" s="412"/>
      <c r="AI1" s="412"/>
      <c r="AJ1" s="412"/>
      <c r="AK1" s="418" t="s">
        <v>80</v>
      </c>
      <c r="AL1" s="418"/>
      <c r="AM1" s="418"/>
      <c r="AN1" s="418"/>
      <c r="AO1" s="418"/>
      <c r="AP1" s="418"/>
      <c r="AQ1" s="418"/>
      <c r="AR1" s="418"/>
      <c r="AS1" s="418"/>
      <c r="AT1" s="418"/>
      <c r="AU1" s="418"/>
      <c r="AV1" s="418"/>
      <c r="AW1" s="418"/>
      <c r="AX1" s="418"/>
      <c r="AY1" s="418"/>
      <c r="AZ1" s="418"/>
      <c r="BA1" s="418"/>
      <c r="BB1" s="419" t="s">
        <v>17</v>
      </c>
      <c r="BC1" s="419"/>
      <c r="BD1" s="419"/>
      <c r="BE1" s="419"/>
      <c r="BF1" s="419"/>
      <c r="BG1" s="419"/>
      <c r="BH1" s="419"/>
      <c r="BI1" s="419"/>
      <c r="BJ1" s="419"/>
      <c r="BK1" s="419"/>
      <c r="BL1" s="419"/>
      <c r="BM1" s="419"/>
      <c r="BN1" s="419"/>
      <c r="BO1" s="419"/>
      <c r="BP1" s="419"/>
      <c r="BQ1" s="419"/>
      <c r="BR1" s="420"/>
    </row>
    <row r="2" spans="1:70" s="1" customFormat="1" ht="26.25" customHeight="1" x14ac:dyDescent="0.25">
      <c r="A2" s="400" t="s">
        <v>10</v>
      </c>
      <c r="B2" s="400" t="s">
        <v>132</v>
      </c>
      <c r="C2" s="400" t="s">
        <v>133</v>
      </c>
      <c r="D2" s="404"/>
      <c r="E2" s="398"/>
      <c r="F2" s="398"/>
      <c r="G2" s="398"/>
      <c r="H2" s="398"/>
      <c r="I2" s="398"/>
      <c r="J2" s="408"/>
      <c r="K2" s="409"/>
      <c r="L2" s="409"/>
      <c r="M2" s="409"/>
      <c r="N2" s="409"/>
      <c r="O2" s="410"/>
      <c r="P2" s="421" t="s">
        <v>105</v>
      </c>
      <c r="Q2" s="421" t="s">
        <v>116</v>
      </c>
      <c r="R2" s="421" t="s">
        <v>57</v>
      </c>
      <c r="S2" s="421" t="s">
        <v>11</v>
      </c>
      <c r="T2" s="413" t="s">
        <v>16</v>
      </c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414"/>
      <c r="AF2" s="415" t="s">
        <v>0</v>
      </c>
      <c r="AG2" s="415" t="s">
        <v>76</v>
      </c>
      <c r="AH2" s="415" t="s">
        <v>78</v>
      </c>
      <c r="AI2" s="416" t="s">
        <v>13</v>
      </c>
      <c r="AJ2" s="416" t="s">
        <v>12</v>
      </c>
      <c r="AK2" s="427" t="s">
        <v>83</v>
      </c>
      <c r="AL2" s="427" t="s">
        <v>478</v>
      </c>
      <c r="AM2" s="427" t="s">
        <v>77</v>
      </c>
      <c r="AN2" s="427" t="s">
        <v>81</v>
      </c>
      <c r="AO2" s="427" t="s">
        <v>82</v>
      </c>
      <c r="AP2" s="428" t="s">
        <v>79</v>
      </c>
      <c r="AQ2" s="429"/>
      <c r="AR2" s="429"/>
      <c r="AS2" s="429"/>
      <c r="AT2" s="429"/>
      <c r="AU2" s="429"/>
      <c r="AV2" s="429"/>
      <c r="AW2" s="429"/>
      <c r="AX2" s="429"/>
      <c r="AY2" s="429"/>
      <c r="AZ2" s="429"/>
      <c r="BA2" s="430"/>
      <c r="BB2" s="426" t="s">
        <v>14</v>
      </c>
      <c r="BC2" s="424" t="s">
        <v>18</v>
      </c>
      <c r="BD2" s="425"/>
      <c r="BE2" s="425"/>
      <c r="BF2" s="426" t="s">
        <v>19</v>
      </c>
      <c r="BG2" s="426" t="s">
        <v>4</v>
      </c>
      <c r="BH2" s="426"/>
      <c r="BI2" s="426"/>
      <c r="BJ2" s="426"/>
      <c r="BK2" s="426"/>
      <c r="BL2" s="426"/>
      <c r="BM2" s="426"/>
      <c r="BN2" s="426"/>
      <c r="BO2" s="426"/>
      <c r="BP2" s="426"/>
      <c r="BQ2" s="426"/>
      <c r="BR2" s="426"/>
    </row>
    <row r="3" spans="1:70" s="1" customFormat="1" ht="33" x14ac:dyDescent="0.25">
      <c r="A3" s="400"/>
      <c r="B3" s="400"/>
      <c r="C3" s="400"/>
      <c r="D3" s="404"/>
      <c r="E3" s="399"/>
      <c r="F3" s="399"/>
      <c r="G3" s="399"/>
      <c r="H3" s="399"/>
      <c r="I3" s="399"/>
      <c r="J3" s="54" t="s">
        <v>26</v>
      </c>
      <c r="K3" s="54" t="s">
        <v>31</v>
      </c>
      <c r="L3" s="54" t="s">
        <v>22</v>
      </c>
      <c r="M3" s="54" t="s">
        <v>23</v>
      </c>
      <c r="N3" s="54" t="s">
        <v>24</v>
      </c>
      <c r="O3" s="54" t="s">
        <v>25</v>
      </c>
      <c r="P3" s="422"/>
      <c r="Q3" s="422"/>
      <c r="R3" s="422"/>
      <c r="S3" s="423"/>
      <c r="T3" s="6" t="s">
        <v>138</v>
      </c>
      <c r="U3" s="7" t="s">
        <v>139</v>
      </c>
      <c r="V3" s="7" t="s">
        <v>140</v>
      </c>
      <c r="W3" s="7" t="s">
        <v>141</v>
      </c>
      <c r="X3" s="7" t="s">
        <v>142</v>
      </c>
      <c r="Y3" s="7" t="s">
        <v>143</v>
      </c>
      <c r="Z3" s="7" t="s">
        <v>144</v>
      </c>
      <c r="AA3" s="7" t="s">
        <v>145</v>
      </c>
      <c r="AB3" s="7" t="s">
        <v>146</v>
      </c>
      <c r="AC3" s="7" t="s">
        <v>147</v>
      </c>
      <c r="AD3" s="7" t="s">
        <v>148</v>
      </c>
      <c r="AE3" s="7" t="s">
        <v>149</v>
      </c>
      <c r="AF3" s="415"/>
      <c r="AG3" s="415"/>
      <c r="AH3" s="415"/>
      <c r="AI3" s="417"/>
      <c r="AJ3" s="417"/>
      <c r="AK3" s="349"/>
      <c r="AL3" s="349"/>
      <c r="AM3" s="349"/>
      <c r="AN3" s="349"/>
      <c r="AO3" s="349"/>
      <c r="AP3" s="12" t="s">
        <v>138</v>
      </c>
      <c r="AQ3" s="12" t="s">
        <v>139</v>
      </c>
      <c r="AR3" s="12" t="s">
        <v>140</v>
      </c>
      <c r="AS3" s="12" t="s">
        <v>141</v>
      </c>
      <c r="AT3" s="12" t="s">
        <v>142</v>
      </c>
      <c r="AU3" s="12" t="s">
        <v>143</v>
      </c>
      <c r="AV3" s="12" t="s">
        <v>144</v>
      </c>
      <c r="AW3" s="12" t="s">
        <v>145</v>
      </c>
      <c r="AX3" s="12" t="s">
        <v>146</v>
      </c>
      <c r="AY3" s="12" t="s">
        <v>147</v>
      </c>
      <c r="AZ3" s="12" t="s">
        <v>148</v>
      </c>
      <c r="BA3" s="12" t="s">
        <v>149</v>
      </c>
      <c r="BB3" s="426"/>
      <c r="BC3" s="53" t="s">
        <v>37</v>
      </c>
      <c r="BD3" s="8" t="s">
        <v>15</v>
      </c>
      <c r="BE3" s="53" t="s">
        <v>38</v>
      </c>
      <c r="BF3" s="426"/>
      <c r="BG3" s="5" t="s">
        <v>138</v>
      </c>
      <c r="BH3" s="5" t="s">
        <v>139</v>
      </c>
      <c r="BI3" s="5" t="s">
        <v>140</v>
      </c>
      <c r="BJ3" s="5" t="s">
        <v>141</v>
      </c>
      <c r="BK3" s="5" t="s">
        <v>142</v>
      </c>
      <c r="BL3" s="5" t="s">
        <v>143</v>
      </c>
      <c r="BM3" s="5" t="s">
        <v>144</v>
      </c>
      <c r="BN3" s="5" t="s">
        <v>145</v>
      </c>
      <c r="BO3" s="5" t="s">
        <v>146</v>
      </c>
      <c r="BP3" s="5" t="s">
        <v>147</v>
      </c>
      <c r="BQ3" s="5" t="s">
        <v>148</v>
      </c>
      <c r="BR3" s="5" t="s">
        <v>149</v>
      </c>
    </row>
    <row r="4" spans="1:70" x14ac:dyDescent="0.25">
      <c r="A4" t="s">
        <v>163</v>
      </c>
      <c r="B4" t="s">
        <v>163</v>
      </c>
      <c r="C4" t="s">
        <v>163</v>
      </c>
      <c r="D4" t="s">
        <v>309</v>
      </c>
      <c r="E4" t="s">
        <v>235</v>
      </c>
      <c r="F4" t="s">
        <v>275</v>
      </c>
      <c r="H4" t="s">
        <v>295</v>
      </c>
      <c r="J4" t="s">
        <v>330</v>
      </c>
      <c r="K4" t="s">
        <v>324</v>
      </c>
      <c r="L4" t="s">
        <v>7</v>
      </c>
      <c r="P4" t="s">
        <v>310</v>
      </c>
      <c r="Q4" t="s">
        <v>311</v>
      </c>
      <c r="R4" t="s">
        <v>312</v>
      </c>
      <c r="S4" t="s">
        <v>2</v>
      </c>
      <c r="AG4" t="s">
        <v>322</v>
      </c>
      <c r="AL4" t="s">
        <v>480</v>
      </c>
      <c r="AM4" t="s">
        <v>487</v>
      </c>
      <c r="BD4" t="s">
        <v>322</v>
      </c>
    </row>
    <row r="5" spans="1:70" x14ac:dyDescent="0.25">
      <c r="A5" t="s">
        <v>502</v>
      </c>
      <c r="B5" t="s">
        <v>502</v>
      </c>
      <c r="C5" t="s">
        <v>177</v>
      </c>
      <c r="D5" t="s">
        <v>5</v>
      </c>
      <c r="E5" t="s">
        <v>236</v>
      </c>
      <c r="F5" t="s">
        <v>288</v>
      </c>
      <c r="H5" t="s">
        <v>305</v>
      </c>
      <c r="J5" t="s">
        <v>331</v>
      </c>
      <c r="K5" t="s">
        <v>325</v>
      </c>
      <c r="L5" t="s">
        <v>8</v>
      </c>
      <c r="P5" t="s">
        <v>313</v>
      </c>
      <c r="Q5" t="s">
        <v>314</v>
      </c>
      <c r="R5" t="s">
        <v>315</v>
      </c>
      <c r="S5" t="s">
        <v>320</v>
      </c>
      <c r="AG5" t="s">
        <v>321</v>
      </c>
      <c r="AL5" t="s">
        <v>481</v>
      </c>
      <c r="AM5" t="s">
        <v>488</v>
      </c>
      <c r="BD5" t="s">
        <v>321</v>
      </c>
    </row>
    <row r="6" spans="1:70" x14ac:dyDescent="0.25">
      <c r="A6" t="s">
        <v>150</v>
      </c>
      <c r="B6" t="s">
        <v>164</v>
      </c>
      <c r="C6" t="s">
        <v>179</v>
      </c>
      <c r="E6" t="s">
        <v>237</v>
      </c>
      <c r="F6" t="s">
        <v>272</v>
      </c>
      <c r="H6" t="s">
        <v>308</v>
      </c>
      <c r="J6" t="s">
        <v>332</v>
      </c>
      <c r="K6" t="s">
        <v>326</v>
      </c>
      <c r="L6" t="s">
        <v>9</v>
      </c>
      <c r="P6" t="s">
        <v>86</v>
      </c>
      <c r="Q6" t="s">
        <v>316</v>
      </c>
      <c r="AL6" t="s">
        <v>411</v>
      </c>
      <c r="AM6" t="s">
        <v>489</v>
      </c>
    </row>
    <row r="7" spans="1:70" x14ac:dyDescent="0.25">
      <c r="A7" t="s">
        <v>151</v>
      </c>
      <c r="B7" t="s">
        <v>166</v>
      </c>
      <c r="C7" t="s">
        <v>181</v>
      </c>
      <c r="E7" t="s">
        <v>238</v>
      </c>
      <c r="F7" t="s">
        <v>503</v>
      </c>
      <c r="H7" t="s">
        <v>298</v>
      </c>
      <c r="J7" t="s">
        <v>333</v>
      </c>
      <c r="K7" t="s">
        <v>327</v>
      </c>
      <c r="L7" t="s">
        <v>137</v>
      </c>
      <c r="P7" t="s">
        <v>317</v>
      </c>
      <c r="Q7" t="s">
        <v>318</v>
      </c>
      <c r="R7" t="s">
        <v>319</v>
      </c>
      <c r="AL7" t="s">
        <v>482</v>
      </c>
      <c r="AM7" t="s">
        <v>490</v>
      </c>
    </row>
    <row r="8" spans="1:70" x14ac:dyDescent="0.25">
      <c r="A8" s="66" t="s">
        <v>152</v>
      </c>
      <c r="B8" t="s">
        <v>168</v>
      </c>
      <c r="C8" t="s">
        <v>183</v>
      </c>
      <c r="E8" t="s">
        <v>239</v>
      </c>
      <c r="F8" t="s">
        <v>279</v>
      </c>
      <c r="H8" t="s">
        <v>306</v>
      </c>
      <c r="J8" t="s">
        <v>334</v>
      </c>
      <c r="K8" t="s">
        <v>328</v>
      </c>
      <c r="AL8" t="s">
        <v>483</v>
      </c>
      <c r="AM8" t="s">
        <v>491</v>
      </c>
    </row>
    <row r="9" spans="1:70" x14ac:dyDescent="0.25">
      <c r="A9" s="66" t="s">
        <v>153</v>
      </c>
      <c r="B9" t="s">
        <v>170</v>
      </c>
      <c r="C9" t="s">
        <v>185</v>
      </c>
      <c r="E9" t="s">
        <v>240</v>
      </c>
      <c r="F9" t="s">
        <v>504</v>
      </c>
      <c r="H9" t="s">
        <v>304</v>
      </c>
      <c r="J9" t="s">
        <v>335</v>
      </c>
      <c r="K9" t="s">
        <v>329</v>
      </c>
      <c r="AL9" t="s">
        <v>484</v>
      </c>
      <c r="AM9" t="s">
        <v>492</v>
      </c>
    </row>
    <row r="10" spans="1:70" x14ac:dyDescent="0.25">
      <c r="A10" s="66" t="s">
        <v>154</v>
      </c>
      <c r="B10" t="s">
        <v>172</v>
      </c>
      <c r="C10" t="s">
        <v>187</v>
      </c>
      <c r="E10" t="s">
        <v>241</v>
      </c>
      <c r="F10" t="s">
        <v>505</v>
      </c>
      <c r="H10" t="s">
        <v>300</v>
      </c>
      <c r="J10" t="s">
        <v>336</v>
      </c>
      <c r="K10" t="s">
        <v>137</v>
      </c>
      <c r="AL10" t="s">
        <v>485</v>
      </c>
    </row>
    <row r="11" spans="1:70" x14ac:dyDescent="0.25">
      <c r="A11" s="66" t="s">
        <v>155</v>
      </c>
      <c r="B11" t="s">
        <v>174</v>
      </c>
      <c r="C11" t="s">
        <v>188</v>
      </c>
      <c r="E11" t="s">
        <v>323</v>
      </c>
      <c r="F11" t="s">
        <v>506</v>
      </c>
      <c r="H11" t="s">
        <v>301</v>
      </c>
      <c r="J11" t="s">
        <v>337</v>
      </c>
      <c r="AL11" t="s">
        <v>486</v>
      </c>
    </row>
    <row r="12" spans="1:70" x14ac:dyDescent="0.25">
      <c r="A12" s="66" t="s">
        <v>156</v>
      </c>
      <c r="B12" t="s">
        <v>175</v>
      </c>
      <c r="C12" t="s">
        <v>189</v>
      </c>
      <c r="E12" t="s">
        <v>242</v>
      </c>
      <c r="F12" t="s">
        <v>291</v>
      </c>
      <c r="H12" t="s">
        <v>302</v>
      </c>
      <c r="J12" t="s">
        <v>338</v>
      </c>
      <c r="AL12" t="s">
        <v>479</v>
      </c>
    </row>
    <row r="13" spans="1:70" x14ac:dyDescent="0.25">
      <c r="A13" s="66" t="s">
        <v>157</v>
      </c>
      <c r="B13" t="s">
        <v>176</v>
      </c>
      <c r="C13" t="s">
        <v>190</v>
      </c>
      <c r="E13" t="s">
        <v>243</v>
      </c>
      <c r="F13" t="s">
        <v>289</v>
      </c>
      <c r="H13" t="s">
        <v>303</v>
      </c>
      <c r="J13" t="s">
        <v>339</v>
      </c>
    </row>
    <row r="14" spans="1:70" x14ac:dyDescent="0.25">
      <c r="A14" s="66" t="s">
        <v>158</v>
      </c>
      <c r="B14" t="s">
        <v>178</v>
      </c>
      <c r="C14" t="s">
        <v>191</v>
      </c>
      <c r="F14" t="s">
        <v>290</v>
      </c>
      <c r="H14" t="s">
        <v>296</v>
      </c>
      <c r="J14" t="s">
        <v>340</v>
      </c>
    </row>
    <row r="15" spans="1:70" x14ac:dyDescent="0.25">
      <c r="A15" s="66" t="s">
        <v>159</v>
      </c>
      <c r="B15" t="s">
        <v>180</v>
      </c>
      <c r="C15" t="s">
        <v>194</v>
      </c>
      <c r="F15" t="s">
        <v>507</v>
      </c>
      <c r="H15" t="s">
        <v>307</v>
      </c>
      <c r="J15" t="s">
        <v>341</v>
      </c>
    </row>
    <row r="16" spans="1:70" x14ac:dyDescent="0.25">
      <c r="A16" s="66" t="s">
        <v>160</v>
      </c>
      <c r="B16" t="s">
        <v>182</v>
      </c>
      <c r="C16" t="s">
        <v>231</v>
      </c>
      <c r="F16" t="s">
        <v>249</v>
      </c>
      <c r="H16" t="s">
        <v>299</v>
      </c>
      <c r="J16" t="s">
        <v>342</v>
      </c>
    </row>
    <row r="17" spans="1:10" x14ac:dyDescent="0.25">
      <c r="A17" s="66" t="s">
        <v>161</v>
      </c>
      <c r="B17" t="s">
        <v>184</v>
      </c>
      <c r="C17" t="s">
        <v>216</v>
      </c>
      <c r="F17" t="s">
        <v>269</v>
      </c>
      <c r="H17" t="s">
        <v>297</v>
      </c>
      <c r="J17" t="s">
        <v>343</v>
      </c>
    </row>
    <row r="18" spans="1:10" x14ac:dyDescent="0.25">
      <c r="A18" s="66" t="s">
        <v>162</v>
      </c>
      <c r="B18" t="s">
        <v>186</v>
      </c>
      <c r="C18" t="s">
        <v>220</v>
      </c>
      <c r="F18" t="s">
        <v>508</v>
      </c>
      <c r="H18" t="s">
        <v>66</v>
      </c>
      <c r="J18" t="s">
        <v>344</v>
      </c>
    </row>
    <row r="19" spans="1:10" x14ac:dyDescent="0.25">
      <c r="C19" t="s">
        <v>221</v>
      </c>
      <c r="F19" t="s">
        <v>280</v>
      </c>
      <c r="J19" t="s">
        <v>345</v>
      </c>
    </row>
    <row r="20" spans="1:10" x14ac:dyDescent="0.25">
      <c r="C20" t="s">
        <v>200</v>
      </c>
      <c r="F20" t="s">
        <v>251</v>
      </c>
      <c r="J20" t="s">
        <v>346</v>
      </c>
    </row>
    <row r="21" spans="1:10" x14ac:dyDescent="0.25">
      <c r="C21" t="s">
        <v>201</v>
      </c>
      <c r="F21" t="s">
        <v>271</v>
      </c>
      <c r="J21" t="s">
        <v>347</v>
      </c>
    </row>
    <row r="22" spans="1:10" x14ac:dyDescent="0.25">
      <c r="C22" t="s">
        <v>214</v>
      </c>
      <c r="F22" t="s">
        <v>270</v>
      </c>
      <c r="J22" t="s">
        <v>348</v>
      </c>
    </row>
    <row r="23" spans="1:10" x14ac:dyDescent="0.25">
      <c r="C23" t="s">
        <v>195</v>
      </c>
      <c r="F23" t="s">
        <v>284</v>
      </c>
      <c r="J23" t="s">
        <v>349</v>
      </c>
    </row>
    <row r="24" spans="1:10" x14ac:dyDescent="0.25">
      <c r="C24" t="s">
        <v>232</v>
      </c>
      <c r="F24" t="s">
        <v>267</v>
      </c>
      <c r="J24" t="s">
        <v>350</v>
      </c>
    </row>
    <row r="25" spans="1:10" x14ac:dyDescent="0.25">
      <c r="C25" t="s">
        <v>233</v>
      </c>
      <c r="F25" t="s">
        <v>276</v>
      </c>
      <c r="J25" t="s">
        <v>351</v>
      </c>
    </row>
    <row r="26" spans="1:10" x14ac:dyDescent="0.25">
      <c r="C26" t="s">
        <v>222</v>
      </c>
      <c r="F26" t="s">
        <v>262</v>
      </c>
      <c r="J26" t="s">
        <v>352</v>
      </c>
    </row>
    <row r="27" spans="1:10" x14ac:dyDescent="0.25">
      <c r="C27" t="s">
        <v>169</v>
      </c>
      <c r="F27" t="s">
        <v>278</v>
      </c>
      <c r="J27" t="s">
        <v>353</v>
      </c>
    </row>
    <row r="28" spans="1:10" x14ac:dyDescent="0.25">
      <c r="C28" t="s">
        <v>196</v>
      </c>
      <c r="F28" t="s">
        <v>245</v>
      </c>
      <c r="J28" t="s">
        <v>354</v>
      </c>
    </row>
    <row r="29" spans="1:10" x14ac:dyDescent="0.25">
      <c r="C29" t="s">
        <v>211</v>
      </c>
      <c r="F29" t="s">
        <v>261</v>
      </c>
      <c r="J29" t="s">
        <v>355</v>
      </c>
    </row>
    <row r="30" spans="1:10" x14ac:dyDescent="0.25">
      <c r="C30" t="s">
        <v>197</v>
      </c>
      <c r="F30" t="s">
        <v>246</v>
      </c>
      <c r="J30" t="s">
        <v>356</v>
      </c>
    </row>
    <row r="31" spans="1:10" x14ac:dyDescent="0.25">
      <c r="C31" t="s">
        <v>217</v>
      </c>
      <c r="F31" t="s">
        <v>285</v>
      </c>
      <c r="J31" t="s">
        <v>357</v>
      </c>
    </row>
    <row r="32" spans="1:10" x14ac:dyDescent="0.25">
      <c r="C32" t="s">
        <v>198</v>
      </c>
      <c r="F32" t="s">
        <v>265</v>
      </c>
      <c r="J32" t="s">
        <v>358</v>
      </c>
    </row>
    <row r="33" spans="3:10" x14ac:dyDescent="0.25">
      <c r="C33" t="s">
        <v>234</v>
      </c>
      <c r="F33" t="s">
        <v>259</v>
      </c>
      <c r="J33" t="s">
        <v>359</v>
      </c>
    </row>
    <row r="34" spans="3:10" x14ac:dyDescent="0.25">
      <c r="C34" t="s">
        <v>218</v>
      </c>
      <c r="F34" t="s">
        <v>273</v>
      </c>
      <c r="J34" t="s">
        <v>360</v>
      </c>
    </row>
    <row r="35" spans="3:10" x14ac:dyDescent="0.25">
      <c r="C35" t="s">
        <v>167</v>
      </c>
      <c r="F35" t="s">
        <v>266</v>
      </c>
      <c r="J35" t="s">
        <v>361</v>
      </c>
    </row>
    <row r="36" spans="3:10" x14ac:dyDescent="0.25">
      <c r="C36" t="s">
        <v>171</v>
      </c>
      <c r="F36" t="s">
        <v>256</v>
      </c>
      <c r="J36" t="s">
        <v>362</v>
      </c>
    </row>
    <row r="37" spans="3:10" x14ac:dyDescent="0.25">
      <c r="C37" t="s">
        <v>219</v>
      </c>
      <c r="F37" t="s">
        <v>294</v>
      </c>
      <c r="J37" t="s">
        <v>363</v>
      </c>
    </row>
    <row r="38" spans="3:10" x14ac:dyDescent="0.25">
      <c r="C38" t="s">
        <v>199</v>
      </c>
      <c r="F38" t="s">
        <v>287</v>
      </c>
      <c r="J38" t="s">
        <v>364</v>
      </c>
    </row>
    <row r="39" spans="3:10" x14ac:dyDescent="0.25">
      <c r="C39" t="s">
        <v>173</v>
      </c>
      <c r="F39" t="s">
        <v>247</v>
      </c>
      <c r="J39" t="s">
        <v>365</v>
      </c>
    </row>
    <row r="40" spans="3:10" x14ac:dyDescent="0.25">
      <c r="C40" t="s">
        <v>192</v>
      </c>
      <c r="F40" t="s">
        <v>509</v>
      </c>
      <c r="J40" t="s">
        <v>366</v>
      </c>
    </row>
    <row r="41" spans="3:10" x14ac:dyDescent="0.25">
      <c r="C41" t="s">
        <v>193</v>
      </c>
      <c r="F41" t="s">
        <v>252</v>
      </c>
      <c r="J41" t="s">
        <v>367</v>
      </c>
    </row>
    <row r="42" spans="3:10" x14ac:dyDescent="0.25">
      <c r="C42" t="s">
        <v>202</v>
      </c>
      <c r="F42" t="s">
        <v>268</v>
      </c>
      <c r="J42" t="s">
        <v>368</v>
      </c>
    </row>
    <row r="43" spans="3:10" x14ac:dyDescent="0.25">
      <c r="C43" t="s">
        <v>223</v>
      </c>
      <c r="F43" t="s">
        <v>277</v>
      </c>
      <c r="J43" t="s">
        <v>369</v>
      </c>
    </row>
    <row r="44" spans="3:10" x14ac:dyDescent="0.25">
      <c r="C44" t="s">
        <v>212</v>
      </c>
      <c r="F44" t="s">
        <v>286</v>
      </c>
      <c r="J44" t="s">
        <v>370</v>
      </c>
    </row>
    <row r="45" spans="3:10" x14ac:dyDescent="0.25">
      <c r="C45" t="s">
        <v>224</v>
      </c>
      <c r="F45" t="s">
        <v>253</v>
      </c>
      <c r="J45" t="s">
        <v>371</v>
      </c>
    </row>
    <row r="46" spans="3:10" x14ac:dyDescent="0.25">
      <c r="C46" t="s">
        <v>225</v>
      </c>
      <c r="F46" t="s">
        <v>292</v>
      </c>
      <c r="J46" t="s">
        <v>372</v>
      </c>
    </row>
    <row r="47" spans="3:10" x14ac:dyDescent="0.25">
      <c r="C47" t="s">
        <v>165</v>
      </c>
      <c r="F47" t="s">
        <v>255</v>
      </c>
      <c r="J47" t="s">
        <v>373</v>
      </c>
    </row>
    <row r="48" spans="3:10" x14ac:dyDescent="0.25">
      <c r="C48" t="s">
        <v>164</v>
      </c>
      <c r="F48" t="s">
        <v>281</v>
      </c>
      <c r="J48" t="s">
        <v>374</v>
      </c>
    </row>
    <row r="49" spans="3:10" x14ac:dyDescent="0.25">
      <c r="C49" t="s">
        <v>166</v>
      </c>
      <c r="F49" t="s">
        <v>263</v>
      </c>
      <c r="J49" t="s">
        <v>375</v>
      </c>
    </row>
    <row r="50" spans="3:10" x14ac:dyDescent="0.25">
      <c r="C50" t="s">
        <v>168</v>
      </c>
      <c r="F50" t="s">
        <v>282</v>
      </c>
      <c r="J50" t="s">
        <v>376</v>
      </c>
    </row>
    <row r="51" spans="3:10" x14ac:dyDescent="0.25">
      <c r="C51" t="s">
        <v>170</v>
      </c>
      <c r="F51" t="s">
        <v>510</v>
      </c>
      <c r="J51" t="s">
        <v>377</v>
      </c>
    </row>
    <row r="52" spans="3:10" x14ac:dyDescent="0.25">
      <c r="C52" t="s">
        <v>172</v>
      </c>
      <c r="F52" t="s">
        <v>511</v>
      </c>
      <c r="J52" t="s">
        <v>378</v>
      </c>
    </row>
    <row r="53" spans="3:10" x14ac:dyDescent="0.25">
      <c r="C53" t="s">
        <v>174</v>
      </c>
      <c r="F53" t="s">
        <v>248</v>
      </c>
      <c r="J53" t="s">
        <v>379</v>
      </c>
    </row>
    <row r="54" spans="3:10" x14ac:dyDescent="0.25">
      <c r="C54" t="s">
        <v>210</v>
      </c>
      <c r="F54" t="s">
        <v>264</v>
      </c>
      <c r="J54" t="s">
        <v>380</v>
      </c>
    </row>
    <row r="55" spans="3:10" x14ac:dyDescent="0.25">
      <c r="C55" t="s">
        <v>176</v>
      </c>
      <c r="F55" t="s">
        <v>250</v>
      </c>
      <c r="J55" t="s">
        <v>381</v>
      </c>
    </row>
    <row r="56" spans="3:10" x14ac:dyDescent="0.25">
      <c r="C56" t="s">
        <v>178</v>
      </c>
      <c r="F56" t="s">
        <v>512</v>
      </c>
      <c r="J56" t="s">
        <v>382</v>
      </c>
    </row>
    <row r="57" spans="3:10" x14ac:dyDescent="0.25">
      <c r="C57" t="s">
        <v>180</v>
      </c>
      <c r="F57" t="s">
        <v>293</v>
      </c>
      <c r="J57" t="s">
        <v>383</v>
      </c>
    </row>
    <row r="58" spans="3:10" x14ac:dyDescent="0.25">
      <c r="C58" t="s">
        <v>182</v>
      </c>
      <c r="F58" t="s">
        <v>254</v>
      </c>
      <c r="J58" t="s">
        <v>384</v>
      </c>
    </row>
    <row r="59" spans="3:10" x14ac:dyDescent="0.25">
      <c r="C59" t="s">
        <v>184</v>
      </c>
      <c r="F59" t="s">
        <v>513</v>
      </c>
      <c r="J59" t="s">
        <v>385</v>
      </c>
    </row>
    <row r="60" spans="3:10" x14ac:dyDescent="0.25">
      <c r="C60" t="s">
        <v>186</v>
      </c>
      <c r="F60" t="s">
        <v>283</v>
      </c>
      <c r="J60" t="s">
        <v>386</v>
      </c>
    </row>
    <row r="61" spans="3:10" x14ac:dyDescent="0.25">
      <c r="C61" t="s">
        <v>226</v>
      </c>
      <c r="F61" t="s">
        <v>260</v>
      </c>
      <c r="J61" t="s">
        <v>387</v>
      </c>
    </row>
    <row r="62" spans="3:10" x14ac:dyDescent="0.25">
      <c r="C62" t="s">
        <v>227</v>
      </c>
      <c r="F62" t="s">
        <v>274</v>
      </c>
      <c r="J62" t="s">
        <v>388</v>
      </c>
    </row>
    <row r="63" spans="3:10" x14ac:dyDescent="0.25">
      <c r="C63" t="s">
        <v>203</v>
      </c>
      <c r="F63" t="s">
        <v>244</v>
      </c>
      <c r="J63" t="s">
        <v>389</v>
      </c>
    </row>
    <row r="64" spans="3:10" x14ac:dyDescent="0.25">
      <c r="C64" t="s">
        <v>204</v>
      </c>
      <c r="F64" t="s">
        <v>257</v>
      </c>
      <c r="J64" t="s">
        <v>390</v>
      </c>
    </row>
    <row r="65" spans="3:10" x14ac:dyDescent="0.25">
      <c r="C65" t="s">
        <v>205</v>
      </c>
      <c r="F65" t="s">
        <v>258</v>
      </c>
      <c r="J65" t="s">
        <v>391</v>
      </c>
    </row>
    <row r="66" spans="3:10" x14ac:dyDescent="0.25">
      <c r="C66" t="s">
        <v>206</v>
      </c>
      <c r="F66" t="s">
        <v>514</v>
      </c>
      <c r="J66" t="s">
        <v>392</v>
      </c>
    </row>
    <row r="67" spans="3:10" x14ac:dyDescent="0.25">
      <c r="C67" t="s">
        <v>207</v>
      </c>
      <c r="J67" t="s">
        <v>393</v>
      </c>
    </row>
    <row r="68" spans="3:10" x14ac:dyDescent="0.25">
      <c r="C68" t="s">
        <v>208</v>
      </c>
      <c r="J68" t="s">
        <v>394</v>
      </c>
    </row>
    <row r="69" spans="3:10" x14ac:dyDescent="0.25">
      <c r="C69" t="s">
        <v>209</v>
      </c>
      <c r="J69" t="s">
        <v>395</v>
      </c>
    </row>
    <row r="70" spans="3:10" x14ac:dyDescent="0.25">
      <c r="C70" t="s">
        <v>213</v>
      </c>
      <c r="J70" t="s">
        <v>396</v>
      </c>
    </row>
    <row r="71" spans="3:10" x14ac:dyDescent="0.25">
      <c r="C71" t="s">
        <v>228</v>
      </c>
      <c r="J71" t="s">
        <v>397</v>
      </c>
    </row>
    <row r="72" spans="3:10" x14ac:dyDescent="0.25">
      <c r="C72" t="s">
        <v>229</v>
      </c>
      <c r="J72" t="s">
        <v>398</v>
      </c>
    </row>
    <row r="73" spans="3:10" x14ac:dyDescent="0.25">
      <c r="C73" t="s">
        <v>230</v>
      </c>
      <c r="J73" t="s">
        <v>399</v>
      </c>
    </row>
    <row r="74" spans="3:10" x14ac:dyDescent="0.25">
      <c r="C74" t="s">
        <v>215</v>
      </c>
      <c r="J74" t="s">
        <v>400</v>
      </c>
    </row>
    <row r="75" spans="3:10" x14ac:dyDescent="0.25">
      <c r="J75" t="s">
        <v>401</v>
      </c>
    </row>
    <row r="76" spans="3:10" x14ac:dyDescent="0.25">
      <c r="J76" t="s">
        <v>402</v>
      </c>
    </row>
    <row r="77" spans="3:10" x14ac:dyDescent="0.25">
      <c r="J77" t="s">
        <v>403</v>
      </c>
    </row>
    <row r="78" spans="3:10" x14ac:dyDescent="0.25">
      <c r="J78" t="s">
        <v>404</v>
      </c>
    </row>
    <row r="79" spans="3:10" x14ac:dyDescent="0.25">
      <c r="J79" t="s">
        <v>405</v>
      </c>
    </row>
    <row r="80" spans="3:10" x14ac:dyDescent="0.25">
      <c r="J80" t="s">
        <v>406</v>
      </c>
    </row>
    <row r="81" spans="10:10" x14ac:dyDescent="0.25">
      <c r="J81" t="s">
        <v>407</v>
      </c>
    </row>
    <row r="82" spans="10:10" x14ac:dyDescent="0.25">
      <c r="J82" t="s">
        <v>408</v>
      </c>
    </row>
    <row r="83" spans="10:10" x14ac:dyDescent="0.25">
      <c r="J83" t="s">
        <v>409</v>
      </c>
    </row>
    <row r="84" spans="10:10" x14ac:dyDescent="0.25">
      <c r="J84" t="s">
        <v>410</v>
      </c>
    </row>
    <row r="85" spans="10:10" x14ac:dyDescent="0.25">
      <c r="J85" t="s">
        <v>411</v>
      </c>
    </row>
    <row r="86" spans="10:10" x14ac:dyDescent="0.25">
      <c r="J86" t="s">
        <v>412</v>
      </c>
    </row>
    <row r="87" spans="10:10" x14ac:dyDescent="0.25">
      <c r="J87" t="s">
        <v>413</v>
      </c>
    </row>
    <row r="88" spans="10:10" x14ac:dyDescent="0.25">
      <c r="J88" t="s">
        <v>414</v>
      </c>
    </row>
    <row r="89" spans="10:10" x14ac:dyDescent="0.25">
      <c r="J89" t="s">
        <v>415</v>
      </c>
    </row>
    <row r="90" spans="10:10" x14ac:dyDescent="0.25">
      <c r="J90" t="s">
        <v>416</v>
      </c>
    </row>
    <row r="91" spans="10:10" x14ac:dyDescent="0.25">
      <c r="J91" t="s">
        <v>417</v>
      </c>
    </row>
    <row r="92" spans="10:10" x14ac:dyDescent="0.25">
      <c r="J92" t="s">
        <v>418</v>
      </c>
    </row>
    <row r="93" spans="10:10" x14ac:dyDescent="0.25">
      <c r="J93" t="s">
        <v>419</v>
      </c>
    </row>
    <row r="94" spans="10:10" x14ac:dyDescent="0.25">
      <c r="J94" t="s">
        <v>420</v>
      </c>
    </row>
    <row r="95" spans="10:10" x14ac:dyDescent="0.25">
      <c r="J95" t="s">
        <v>421</v>
      </c>
    </row>
    <row r="96" spans="10:10" x14ac:dyDescent="0.25">
      <c r="J96" t="s">
        <v>422</v>
      </c>
    </row>
    <row r="97" spans="10:10" x14ac:dyDescent="0.25">
      <c r="J97" t="s">
        <v>423</v>
      </c>
    </row>
    <row r="98" spans="10:10" x14ac:dyDescent="0.25">
      <c r="J98" t="s">
        <v>424</v>
      </c>
    </row>
    <row r="99" spans="10:10" x14ac:dyDescent="0.25">
      <c r="J99" t="s">
        <v>425</v>
      </c>
    </row>
    <row r="100" spans="10:10" x14ac:dyDescent="0.25">
      <c r="J100" t="s">
        <v>426</v>
      </c>
    </row>
    <row r="101" spans="10:10" x14ac:dyDescent="0.25">
      <c r="J101" t="s">
        <v>427</v>
      </c>
    </row>
    <row r="102" spans="10:10" x14ac:dyDescent="0.25">
      <c r="J102" t="s">
        <v>428</v>
      </c>
    </row>
    <row r="103" spans="10:10" x14ac:dyDescent="0.25">
      <c r="J103" t="s">
        <v>429</v>
      </c>
    </row>
    <row r="104" spans="10:10" x14ac:dyDescent="0.25">
      <c r="J104" t="s">
        <v>430</v>
      </c>
    </row>
    <row r="105" spans="10:10" x14ac:dyDescent="0.25">
      <c r="J105" t="s">
        <v>431</v>
      </c>
    </row>
    <row r="106" spans="10:10" x14ac:dyDescent="0.25">
      <c r="J106" t="s">
        <v>432</v>
      </c>
    </row>
    <row r="107" spans="10:10" x14ac:dyDescent="0.25">
      <c r="J107" t="s">
        <v>433</v>
      </c>
    </row>
    <row r="108" spans="10:10" x14ac:dyDescent="0.25">
      <c r="J108" t="s">
        <v>434</v>
      </c>
    </row>
    <row r="109" spans="10:10" x14ac:dyDescent="0.25">
      <c r="J109" t="s">
        <v>435</v>
      </c>
    </row>
    <row r="110" spans="10:10" x14ac:dyDescent="0.25">
      <c r="J110" t="s">
        <v>436</v>
      </c>
    </row>
    <row r="111" spans="10:10" x14ac:dyDescent="0.25">
      <c r="J111" t="s">
        <v>437</v>
      </c>
    </row>
    <row r="112" spans="10:10" x14ac:dyDescent="0.25">
      <c r="J112" t="s">
        <v>438</v>
      </c>
    </row>
    <row r="113" spans="10:10" x14ac:dyDescent="0.25">
      <c r="J113" t="s">
        <v>439</v>
      </c>
    </row>
    <row r="114" spans="10:10" x14ac:dyDescent="0.25">
      <c r="J114" t="s">
        <v>440</v>
      </c>
    </row>
    <row r="115" spans="10:10" x14ac:dyDescent="0.25">
      <c r="J115" t="s">
        <v>441</v>
      </c>
    </row>
    <row r="116" spans="10:10" x14ac:dyDescent="0.25">
      <c r="J116" t="s">
        <v>442</v>
      </c>
    </row>
    <row r="117" spans="10:10" x14ac:dyDescent="0.25">
      <c r="J117" t="s">
        <v>443</v>
      </c>
    </row>
    <row r="118" spans="10:10" x14ac:dyDescent="0.25">
      <c r="J118" t="s">
        <v>444</v>
      </c>
    </row>
    <row r="119" spans="10:10" x14ac:dyDescent="0.25">
      <c r="J119" t="s">
        <v>445</v>
      </c>
    </row>
    <row r="120" spans="10:10" x14ac:dyDescent="0.25">
      <c r="J120" t="s">
        <v>446</v>
      </c>
    </row>
    <row r="121" spans="10:10" x14ac:dyDescent="0.25">
      <c r="J121" t="s">
        <v>447</v>
      </c>
    </row>
    <row r="122" spans="10:10" x14ac:dyDescent="0.25">
      <c r="J122" t="s">
        <v>448</v>
      </c>
    </row>
    <row r="123" spans="10:10" x14ac:dyDescent="0.25">
      <c r="J123" t="s">
        <v>449</v>
      </c>
    </row>
    <row r="124" spans="10:10" x14ac:dyDescent="0.25">
      <c r="J124" t="s">
        <v>450</v>
      </c>
    </row>
    <row r="125" spans="10:10" x14ac:dyDescent="0.25">
      <c r="J125" t="s">
        <v>451</v>
      </c>
    </row>
    <row r="126" spans="10:10" x14ac:dyDescent="0.25">
      <c r="J126" t="s">
        <v>452</v>
      </c>
    </row>
    <row r="127" spans="10:10" x14ac:dyDescent="0.25">
      <c r="J127" t="s">
        <v>453</v>
      </c>
    </row>
    <row r="128" spans="10:10" x14ac:dyDescent="0.25">
      <c r="J128" t="s">
        <v>454</v>
      </c>
    </row>
    <row r="129" spans="10:10" x14ac:dyDescent="0.25">
      <c r="J129" t="s">
        <v>455</v>
      </c>
    </row>
    <row r="130" spans="10:10" x14ac:dyDescent="0.25">
      <c r="J130" t="s">
        <v>456</v>
      </c>
    </row>
    <row r="131" spans="10:10" x14ac:dyDescent="0.25">
      <c r="J131" t="s">
        <v>457</v>
      </c>
    </row>
    <row r="132" spans="10:10" x14ac:dyDescent="0.25">
      <c r="J132" t="s">
        <v>458</v>
      </c>
    </row>
    <row r="133" spans="10:10" x14ac:dyDescent="0.25">
      <c r="J133" t="s">
        <v>459</v>
      </c>
    </row>
    <row r="134" spans="10:10" x14ac:dyDescent="0.25">
      <c r="J134" t="s">
        <v>460</v>
      </c>
    </row>
    <row r="135" spans="10:10" x14ac:dyDescent="0.25">
      <c r="J135" t="s">
        <v>461</v>
      </c>
    </row>
    <row r="136" spans="10:10" x14ac:dyDescent="0.25">
      <c r="J136" t="s">
        <v>462</v>
      </c>
    </row>
    <row r="137" spans="10:10" x14ac:dyDescent="0.25">
      <c r="J137" t="s">
        <v>463</v>
      </c>
    </row>
    <row r="138" spans="10:10" x14ac:dyDescent="0.25">
      <c r="J138" t="s">
        <v>464</v>
      </c>
    </row>
    <row r="139" spans="10:10" x14ac:dyDescent="0.25">
      <c r="J139" t="s">
        <v>465</v>
      </c>
    </row>
    <row r="140" spans="10:10" x14ac:dyDescent="0.25">
      <c r="J140" t="s">
        <v>466</v>
      </c>
    </row>
    <row r="141" spans="10:10" x14ac:dyDescent="0.25">
      <c r="J141" t="s">
        <v>467</v>
      </c>
    </row>
    <row r="142" spans="10:10" x14ac:dyDescent="0.25">
      <c r="J142" t="s">
        <v>468</v>
      </c>
    </row>
    <row r="143" spans="10:10" x14ac:dyDescent="0.25">
      <c r="J143" t="s">
        <v>469</v>
      </c>
    </row>
    <row r="144" spans="10:10" x14ac:dyDescent="0.25">
      <c r="J144" t="s">
        <v>470</v>
      </c>
    </row>
    <row r="145" spans="10:10" x14ac:dyDescent="0.25">
      <c r="J145" t="s">
        <v>471</v>
      </c>
    </row>
    <row r="146" spans="10:10" x14ac:dyDescent="0.25">
      <c r="J146" t="s">
        <v>472</v>
      </c>
    </row>
    <row r="147" spans="10:10" x14ac:dyDescent="0.25">
      <c r="J147" t="s">
        <v>473</v>
      </c>
    </row>
    <row r="148" spans="10:10" x14ac:dyDescent="0.25">
      <c r="J148" t="s">
        <v>474</v>
      </c>
    </row>
    <row r="149" spans="10:10" x14ac:dyDescent="0.25">
      <c r="J149" t="s">
        <v>475</v>
      </c>
    </row>
    <row r="150" spans="10:10" x14ac:dyDescent="0.25">
      <c r="J150" t="s">
        <v>476</v>
      </c>
    </row>
    <row r="151" spans="10:10" x14ac:dyDescent="0.25">
      <c r="J151" t="s">
        <v>477</v>
      </c>
    </row>
    <row r="152" spans="10:10" x14ac:dyDescent="0.25">
      <c r="J152" t="s">
        <v>137</v>
      </c>
    </row>
  </sheetData>
  <mergeCells count="35">
    <mergeCell ref="AK1:BA1"/>
    <mergeCell ref="BB1:BR1"/>
    <mergeCell ref="P2:P3"/>
    <mergeCell ref="Q2:Q3"/>
    <mergeCell ref="R2:R3"/>
    <mergeCell ref="S2:S3"/>
    <mergeCell ref="BC2:BE2"/>
    <mergeCell ref="BF2:BF3"/>
    <mergeCell ref="BG2:BR2"/>
    <mergeCell ref="AL2:AL3"/>
    <mergeCell ref="AK2:AK3"/>
    <mergeCell ref="AM2:AM3"/>
    <mergeCell ref="AN2:AN3"/>
    <mergeCell ref="AO2:AO3"/>
    <mergeCell ref="AP2:BA2"/>
    <mergeCell ref="BB2:BB3"/>
    <mergeCell ref="I1:I3"/>
    <mergeCell ref="J1:O2"/>
    <mergeCell ref="P1:AE1"/>
    <mergeCell ref="AF1:AJ1"/>
    <mergeCell ref="T2:AE2"/>
    <mergeCell ref="AF2:AF3"/>
    <mergeCell ref="AG2:AG3"/>
    <mergeCell ref="AH2:AH3"/>
    <mergeCell ref="AI2:AI3"/>
    <mergeCell ref="AJ2:AJ3"/>
    <mergeCell ref="H1:H3"/>
    <mergeCell ref="A2:A3"/>
    <mergeCell ref="B2:B3"/>
    <mergeCell ref="C2:C3"/>
    <mergeCell ref="A1:C1"/>
    <mergeCell ref="D1:D3"/>
    <mergeCell ref="E1:E3"/>
    <mergeCell ref="F1:F3"/>
    <mergeCell ref="G1:G3"/>
  </mergeCells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TD</vt:lpstr>
      <vt:lpstr>Hoja1</vt:lpstr>
      <vt:lpstr>Hoja2</vt:lpstr>
      <vt:lpstr>Matriz POA 2026</vt:lpstr>
      <vt:lpstr>POA (indicaciones generales)</vt:lpstr>
      <vt:lpstr>OBJ GESTION PMDOT</vt:lpstr>
      <vt:lpstr>Listas</vt:lpstr>
      <vt:lpstr>'POA (indicaciones generales)'!Área_de_impresión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Mancheno</dc:creator>
  <cp:lastModifiedBy>Alex Wladimir Casa Chanaluisa</cp:lastModifiedBy>
  <cp:lastPrinted>2024-08-06T18:29:45Z</cp:lastPrinted>
  <dcterms:created xsi:type="dcterms:W3CDTF">2016-06-03T15:54:51Z</dcterms:created>
  <dcterms:modified xsi:type="dcterms:W3CDTF">2026-03-04T15:07:24Z</dcterms:modified>
</cp:coreProperties>
</file>