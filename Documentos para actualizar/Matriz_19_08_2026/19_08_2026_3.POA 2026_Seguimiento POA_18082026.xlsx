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Matriz_19_08_2026/"/>
    </mc:Choice>
  </mc:AlternateContent>
  <xr:revisionPtr revIDLastSave="132" documentId="8_{D350F159-DA31-473A-9522-EE54E11E0DD3}" xr6:coauthVersionLast="47" xr6:coauthVersionMax="47" xr10:uidLastSave="{56169CC9-3AD1-4436-BCBB-3A39F176A9B6}"/>
  <bookViews>
    <workbookView minimized="1" xWindow="2895" yWindow="2880" windowWidth="16635" windowHeight="7785" tabRatio="569" firstSheet="2" activeTab="2" xr2:uid="{00000000-000D-0000-FFFF-FFFF00000000}"/>
  </bookViews>
  <sheets>
    <sheet name="Hoja1" sheetId="23" state="hidden" r:id="rId1"/>
    <sheet name="Hoja2" sheetId="24" state="hidden" r:id="rId2"/>
    <sheet name="Matriz POA 2026" sheetId="12" r:id="rId3"/>
    <sheet name="Hoja3" sheetId="25" r:id="rId4"/>
    <sheet name="POA (indicaciones generales)" sheetId="21" state="hidden" r:id="rId5"/>
    <sheet name="OBJ GESTION PMDOT" sheetId="22" state="hidden" r:id="rId6"/>
    <sheet name="Listas" sheetId="14" state="hidden" r:id="rId7"/>
  </sheets>
  <definedNames>
    <definedName name="_xlnm._FilterDatabase" localSheetId="2" hidden="1">'Matriz POA 2026'!$A$5:$DD$329</definedName>
    <definedName name="_xlnm.Print_Area" localSheetId="4">'POA (indicaciones generales)'!$A$1:$AI$13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327" i="12" l="1"/>
  <c r="CG327" i="12"/>
  <c r="CH7" i="12"/>
  <c r="CV7" i="12" s="1"/>
  <c r="CH8" i="12"/>
  <c r="CV8" i="12" s="1"/>
  <c r="CH9" i="12"/>
  <c r="CV9" i="12" s="1"/>
  <c r="CH10" i="12"/>
  <c r="CV10" i="12" s="1"/>
  <c r="CH11" i="12"/>
  <c r="CV11" i="12" s="1"/>
  <c r="CH12" i="12"/>
  <c r="CV12" i="12" s="1"/>
  <c r="CH13" i="12"/>
  <c r="CV13" i="12" s="1"/>
  <c r="CH14" i="12"/>
  <c r="CV14" i="12" s="1"/>
  <c r="CH15" i="12"/>
  <c r="CV15" i="12" s="1"/>
  <c r="CH16" i="12"/>
  <c r="CV16" i="12" s="1"/>
  <c r="CH17" i="12"/>
  <c r="CV17" i="12" s="1"/>
  <c r="CH18" i="12"/>
  <c r="CV18" i="12" s="1"/>
  <c r="CH19" i="12"/>
  <c r="CV19" i="12" s="1"/>
  <c r="CH20" i="12"/>
  <c r="CV20" i="12"/>
  <c r="CH21" i="12"/>
  <c r="CV21" i="12" s="1"/>
  <c r="CH22" i="12"/>
  <c r="CV22" i="12" s="1"/>
  <c r="CH23" i="12"/>
  <c r="CV23" i="12"/>
  <c r="CH24" i="12"/>
  <c r="CV24" i="12" s="1"/>
  <c r="CH25" i="12"/>
  <c r="CV25" i="12" s="1"/>
  <c r="CH26" i="12"/>
  <c r="CV26" i="12" s="1"/>
  <c r="CH27" i="12"/>
  <c r="CV27" i="12" s="1"/>
  <c r="CH28" i="12"/>
  <c r="CV28" i="12" s="1"/>
  <c r="CH29" i="12"/>
  <c r="CV29" i="12" s="1"/>
  <c r="CH30" i="12"/>
  <c r="CV30" i="12" s="1"/>
  <c r="CH31" i="12"/>
  <c r="CV31" i="12" s="1"/>
  <c r="CH32" i="12"/>
  <c r="CV32" i="12" s="1"/>
  <c r="CH33" i="12"/>
  <c r="CV33" i="12" s="1"/>
  <c r="CH34" i="12"/>
  <c r="CV34" i="12" s="1"/>
  <c r="CH35" i="12"/>
  <c r="CV35" i="12" s="1"/>
  <c r="CH36" i="12"/>
  <c r="CV36" i="12" s="1"/>
  <c r="CH37" i="12"/>
  <c r="CV37" i="12" s="1"/>
  <c r="CH38" i="12"/>
  <c r="CV38" i="12" s="1"/>
  <c r="CH39" i="12"/>
  <c r="CV39" i="12" s="1"/>
  <c r="CH40" i="12"/>
  <c r="CV40" i="12" s="1"/>
  <c r="CH41" i="12"/>
  <c r="CV41" i="12" s="1"/>
  <c r="CH42" i="12"/>
  <c r="CV42" i="12" s="1"/>
  <c r="CH43" i="12"/>
  <c r="CV43" i="12" s="1"/>
  <c r="CH44" i="12"/>
  <c r="CV44" i="12" s="1"/>
  <c r="CH45" i="12"/>
  <c r="CV45" i="12" s="1"/>
  <c r="CH46" i="12"/>
  <c r="CV46" i="12" s="1"/>
  <c r="CH47" i="12"/>
  <c r="CV47" i="12" s="1"/>
  <c r="CH48" i="12"/>
  <c r="CV48" i="12" s="1"/>
  <c r="CH49" i="12"/>
  <c r="CV49" i="12" s="1"/>
  <c r="CH50" i="12"/>
  <c r="CV50" i="12" s="1"/>
  <c r="CH51" i="12"/>
  <c r="CV51" i="12" s="1"/>
  <c r="CH52" i="12"/>
  <c r="CV52" i="12" s="1"/>
  <c r="CH53" i="12"/>
  <c r="CV53" i="12" s="1"/>
  <c r="CH54" i="12"/>
  <c r="CV54" i="12" s="1"/>
  <c r="CH55" i="12"/>
  <c r="CV55" i="12" s="1"/>
  <c r="CH56" i="12"/>
  <c r="CV56" i="12" s="1"/>
  <c r="CH57" i="12"/>
  <c r="CV57" i="12" s="1"/>
  <c r="CH58" i="12"/>
  <c r="CV58" i="12" s="1"/>
  <c r="CH59" i="12"/>
  <c r="CV59" i="12" s="1"/>
  <c r="CH60" i="12"/>
  <c r="CV60" i="12" s="1"/>
  <c r="CH61" i="12"/>
  <c r="CV61" i="12" s="1"/>
  <c r="CH62" i="12"/>
  <c r="CV62" i="12" s="1"/>
  <c r="CH63" i="12"/>
  <c r="CV63" i="12" s="1"/>
  <c r="CH64" i="12"/>
  <c r="CV64" i="12" s="1"/>
  <c r="CH65" i="12"/>
  <c r="CV65" i="12" s="1"/>
  <c r="CH66" i="12"/>
  <c r="CV66" i="12" s="1"/>
  <c r="CH68" i="12"/>
  <c r="CV68" i="12" s="1"/>
  <c r="CH69" i="12"/>
  <c r="CV69" i="12" s="1"/>
  <c r="CH70" i="12"/>
  <c r="CV70" i="12" s="1"/>
  <c r="CH71" i="12"/>
  <c r="CV71" i="12" s="1"/>
  <c r="CH72" i="12"/>
  <c r="CV72" i="12" s="1"/>
  <c r="CH73" i="12"/>
  <c r="CV73" i="12" s="1"/>
  <c r="CH74" i="12"/>
  <c r="CV74" i="12" s="1"/>
  <c r="CH75" i="12"/>
  <c r="CV75" i="12" s="1"/>
  <c r="CH76" i="12"/>
  <c r="CV76" i="12" s="1"/>
  <c r="CH77" i="12"/>
  <c r="CV77" i="12" s="1"/>
  <c r="CH78" i="12"/>
  <c r="CV78" i="12" s="1"/>
  <c r="CH79" i="12"/>
  <c r="CV79" i="12" s="1"/>
  <c r="CH80" i="12"/>
  <c r="CV80" i="12" s="1"/>
  <c r="CH81" i="12"/>
  <c r="CV81" i="12" s="1"/>
  <c r="CH82" i="12"/>
  <c r="CV82" i="12" s="1"/>
  <c r="CH83" i="12"/>
  <c r="CV83" i="12" s="1"/>
  <c r="CH84" i="12"/>
  <c r="CV84" i="12" s="1"/>
  <c r="CH85" i="12"/>
  <c r="CV85" i="12" s="1"/>
  <c r="CH86" i="12"/>
  <c r="CV86" i="12" s="1"/>
  <c r="CH87" i="12"/>
  <c r="CV87" i="12" s="1"/>
  <c r="CH88" i="12"/>
  <c r="CV88" i="12" s="1"/>
  <c r="CH89" i="12"/>
  <c r="CV89" i="12" s="1"/>
  <c r="CH90" i="12"/>
  <c r="CV90" i="12" s="1"/>
  <c r="CH91" i="12"/>
  <c r="CV91" i="12" s="1"/>
  <c r="CH92" i="12"/>
  <c r="CV92" i="12" s="1"/>
  <c r="CH93" i="12"/>
  <c r="CV93" i="12" s="1"/>
  <c r="CH94" i="12"/>
  <c r="CV94" i="12" s="1"/>
  <c r="CH95" i="12"/>
  <c r="CV95" i="12" s="1"/>
  <c r="CH96" i="12"/>
  <c r="CV96" i="12" s="1"/>
  <c r="CH97" i="12"/>
  <c r="CV97" i="12" s="1"/>
  <c r="CH98" i="12"/>
  <c r="CV98" i="12" s="1"/>
  <c r="CH99" i="12"/>
  <c r="CV99" i="12" s="1"/>
  <c r="CH100" i="12"/>
  <c r="CV100" i="12" s="1"/>
  <c r="CH101" i="12"/>
  <c r="CV101" i="12" s="1"/>
  <c r="CH102" i="12"/>
  <c r="CV102" i="12" s="1"/>
  <c r="CH103" i="12"/>
  <c r="CV103" i="12" s="1"/>
  <c r="CH104" i="12"/>
  <c r="CV104" i="12" s="1"/>
  <c r="CH105" i="12"/>
  <c r="CV105" i="12" s="1"/>
  <c r="CH106" i="12"/>
  <c r="CV106" i="12" s="1"/>
  <c r="CH107" i="12"/>
  <c r="CV107" i="12" s="1"/>
  <c r="CH108" i="12"/>
  <c r="CV108" i="12" s="1"/>
  <c r="CH109" i="12"/>
  <c r="CV109" i="12" s="1"/>
  <c r="CH110" i="12"/>
  <c r="CV110" i="12" s="1"/>
  <c r="CH111" i="12"/>
  <c r="CV111" i="12" s="1"/>
  <c r="CH112" i="12"/>
  <c r="CV112" i="12" s="1"/>
  <c r="CH113" i="12"/>
  <c r="CV113" i="12" s="1"/>
  <c r="CH114" i="12"/>
  <c r="CV114" i="12" s="1"/>
  <c r="CH115" i="12"/>
  <c r="CV115" i="12" s="1"/>
  <c r="CH116" i="12"/>
  <c r="CV116" i="12" s="1"/>
  <c r="CH117" i="12"/>
  <c r="CV117" i="12" s="1"/>
  <c r="CH118" i="12"/>
  <c r="CV118" i="12" s="1"/>
  <c r="CH119" i="12"/>
  <c r="CV119" i="12" s="1"/>
  <c r="CH121" i="12"/>
  <c r="CV121" i="12" s="1"/>
  <c r="CH122" i="12"/>
  <c r="CV122" i="12" s="1"/>
  <c r="CH123" i="12"/>
  <c r="CV123" i="12" s="1"/>
  <c r="CH124" i="12"/>
  <c r="CV124" i="12" s="1"/>
  <c r="CH125" i="12"/>
  <c r="CV125" i="12" s="1"/>
  <c r="CH126" i="12"/>
  <c r="CV126" i="12" s="1"/>
  <c r="CH127" i="12"/>
  <c r="CV127" i="12" s="1"/>
  <c r="CH128" i="12"/>
  <c r="CV128" i="12" s="1"/>
  <c r="CH129" i="12"/>
  <c r="CV129" i="12" s="1"/>
  <c r="CH130" i="12"/>
  <c r="CV130" i="12" s="1"/>
  <c r="CH131" i="12"/>
  <c r="CV131" i="12" s="1"/>
  <c r="CH132" i="12"/>
  <c r="CV132" i="12" s="1"/>
  <c r="CH133" i="12"/>
  <c r="CV133" i="12" s="1"/>
  <c r="CH134" i="12"/>
  <c r="CV134" i="12" s="1"/>
  <c r="CH135" i="12"/>
  <c r="CV135" i="12" s="1"/>
  <c r="CH136" i="12"/>
  <c r="CV136" i="12" s="1"/>
  <c r="CH137" i="12"/>
  <c r="CV137" i="12" s="1"/>
  <c r="CH138" i="12"/>
  <c r="CV138" i="12" s="1"/>
  <c r="CH139" i="12"/>
  <c r="CV139" i="12" s="1"/>
  <c r="CH140" i="12"/>
  <c r="CV140" i="12" s="1"/>
  <c r="CH141" i="12"/>
  <c r="CV141" i="12" s="1"/>
  <c r="CH142" i="12"/>
  <c r="CV142" i="12" s="1"/>
  <c r="CH143" i="12"/>
  <c r="CV143" i="12" s="1"/>
  <c r="CH144" i="12"/>
  <c r="CV144" i="12" s="1"/>
  <c r="CH145" i="12"/>
  <c r="CV145" i="12" s="1"/>
  <c r="CH146" i="12"/>
  <c r="CV146" i="12" s="1"/>
  <c r="CH147" i="12"/>
  <c r="CV147" i="12" s="1"/>
  <c r="CH148" i="12"/>
  <c r="CV148" i="12" s="1"/>
  <c r="CH149" i="12"/>
  <c r="CV149" i="12" s="1"/>
  <c r="CH150" i="12"/>
  <c r="CV150" i="12" s="1"/>
  <c r="CH151" i="12"/>
  <c r="CV151" i="12" s="1"/>
  <c r="CH152" i="12"/>
  <c r="CV152" i="12" s="1"/>
  <c r="CH153" i="12"/>
  <c r="CV153" i="12" s="1"/>
  <c r="CH154" i="12"/>
  <c r="CV154" i="12" s="1"/>
  <c r="CH155" i="12"/>
  <c r="CV155" i="12" s="1"/>
  <c r="CH156" i="12"/>
  <c r="CV156" i="12" s="1"/>
  <c r="CH157" i="12"/>
  <c r="CV157" i="12" s="1"/>
  <c r="CH158" i="12"/>
  <c r="CV158" i="12" s="1"/>
  <c r="CH159" i="12"/>
  <c r="CV159" i="12" s="1"/>
  <c r="CH160" i="12"/>
  <c r="CV160" i="12" s="1"/>
  <c r="CH161" i="12"/>
  <c r="CV161" i="12" s="1"/>
  <c r="CH162" i="12"/>
  <c r="CV162" i="12" s="1"/>
  <c r="CH163" i="12"/>
  <c r="CV163" i="12" s="1"/>
  <c r="CH164" i="12"/>
  <c r="CV164" i="12" s="1"/>
  <c r="CH165" i="12"/>
  <c r="CV165" i="12" s="1"/>
  <c r="CH166" i="12"/>
  <c r="CV166" i="12" s="1"/>
  <c r="CH167" i="12"/>
  <c r="CV167" i="12" s="1"/>
  <c r="CH168" i="12"/>
  <c r="CV168" i="12" s="1"/>
  <c r="CH169" i="12"/>
  <c r="CV169" i="12" s="1"/>
  <c r="CH170" i="12"/>
  <c r="CV170" i="12" s="1"/>
  <c r="CH171" i="12"/>
  <c r="CV171" i="12" s="1"/>
  <c r="CH172" i="12"/>
  <c r="CV172" i="12" s="1"/>
  <c r="CH173" i="12"/>
  <c r="CV173" i="12" s="1"/>
  <c r="CH174" i="12"/>
  <c r="CV174" i="12" s="1"/>
  <c r="CH175" i="12"/>
  <c r="CV175" i="12" s="1"/>
  <c r="CH176" i="12"/>
  <c r="CV176" i="12" s="1"/>
  <c r="CH177" i="12"/>
  <c r="CV177" i="12" s="1"/>
  <c r="CH178" i="12"/>
  <c r="CV178" i="12" s="1"/>
  <c r="CH179" i="12"/>
  <c r="CV179" i="12" s="1"/>
  <c r="CH180" i="12"/>
  <c r="CV180" i="12" s="1"/>
  <c r="CH181" i="12"/>
  <c r="CV181" i="12" s="1"/>
  <c r="CH182" i="12"/>
  <c r="CV182" i="12" s="1"/>
  <c r="CH183" i="12"/>
  <c r="CV183" i="12" s="1"/>
  <c r="CH184" i="12"/>
  <c r="CV184" i="12" s="1"/>
  <c r="CH185" i="12"/>
  <c r="CV185" i="12" s="1"/>
  <c r="CH186" i="12"/>
  <c r="CV186" i="12" s="1"/>
  <c r="CH187" i="12"/>
  <c r="CV187" i="12" s="1"/>
  <c r="CH188" i="12"/>
  <c r="CV188" i="12" s="1"/>
  <c r="CH189" i="12"/>
  <c r="CV189" i="12" s="1"/>
  <c r="CH190" i="12"/>
  <c r="CV190" i="12" s="1"/>
  <c r="CH191" i="12"/>
  <c r="CV191" i="12" s="1"/>
  <c r="CH192" i="12"/>
  <c r="CV192" i="12" s="1"/>
  <c r="CH193" i="12"/>
  <c r="CV193" i="12" s="1"/>
  <c r="CH194" i="12"/>
  <c r="CV194" i="12" s="1"/>
  <c r="CH195" i="12"/>
  <c r="CV195" i="12" s="1"/>
  <c r="CH196" i="12"/>
  <c r="CV196" i="12" s="1"/>
  <c r="CH197" i="12"/>
  <c r="CV197" i="12" s="1"/>
  <c r="CH198" i="12"/>
  <c r="CV198" i="12" s="1"/>
  <c r="CH199" i="12"/>
  <c r="CV199" i="12" s="1"/>
  <c r="CH200" i="12"/>
  <c r="CV200" i="12" s="1"/>
  <c r="CH201" i="12"/>
  <c r="CV201" i="12" s="1"/>
  <c r="CH202" i="12"/>
  <c r="CV202" i="12" s="1"/>
  <c r="CH203" i="12"/>
  <c r="CV203" i="12" s="1"/>
  <c r="CH204" i="12"/>
  <c r="CV204" i="12" s="1"/>
  <c r="CH205" i="12"/>
  <c r="CV205" i="12" s="1"/>
  <c r="CH206" i="12"/>
  <c r="CV206" i="12" s="1"/>
  <c r="CH207" i="12"/>
  <c r="CV207" i="12" s="1"/>
  <c r="CH208" i="12"/>
  <c r="CV208" i="12" s="1"/>
  <c r="CH209" i="12"/>
  <c r="CV209" i="12" s="1"/>
  <c r="CH210" i="12"/>
  <c r="CV210" i="12" s="1"/>
  <c r="CH211" i="12"/>
  <c r="CV211" i="12" s="1"/>
  <c r="CH212" i="12"/>
  <c r="CV212" i="12" s="1"/>
  <c r="CH213" i="12"/>
  <c r="CV213" i="12" s="1"/>
  <c r="CH214" i="12"/>
  <c r="CV214" i="12" s="1"/>
  <c r="CH215" i="12"/>
  <c r="CV215" i="12" s="1"/>
  <c r="CH216" i="12"/>
  <c r="CV216" i="12" s="1"/>
  <c r="CH217" i="12"/>
  <c r="CV217" i="12" s="1"/>
  <c r="CH218" i="12"/>
  <c r="CV218" i="12" s="1"/>
  <c r="CH219" i="12"/>
  <c r="CV219" i="12" s="1"/>
  <c r="CH221" i="12"/>
  <c r="CV221" i="12" s="1"/>
  <c r="CH222" i="12"/>
  <c r="CV222" i="12" s="1"/>
  <c r="CH223" i="12"/>
  <c r="CV223" i="12" s="1"/>
  <c r="CH224" i="12"/>
  <c r="CV224" i="12" s="1"/>
  <c r="CH225" i="12"/>
  <c r="CV225" i="12" s="1"/>
  <c r="CH226" i="12"/>
  <c r="CV226" i="12" s="1"/>
  <c r="CH227" i="12"/>
  <c r="CV227" i="12" s="1"/>
  <c r="CH228" i="12"/>
  <c r="CV228" i="12" s="1"/>
  <c r="CH229" i="12"/>
  <c r="CV229" i="12" s="1"/>
  <c r="CH231" i="12"/>
  <c r="CV231" i="12" s="1"/>
  <c r="CH232" i="12"/>
  <c r="CV232" i="12" s="1"/>
  <c r="CH233" i="12"/>
  <c r="CV233" i="12" s="1"/>
  <c r="CH234" i="12"/>
  <c r="CV234" i="12" s="1"/>
  <c r="CH235" i="12"/>
  <c r="CV235" i="12" s="1"/>
  <c r="CH236" i="12"/>
  <c r="CV236" i="12" s="1"/>
  <c r="CH237" i="12"/>
  <c r="CV237" i="12" s="1"/>
  <c r="CH238" i="12"/>
  <c r="CV238" i="12" s="1"/>
  <c r="CH239" i="12"/>
  <c r="CV239" i="12" s="1"/>
  <c r="CH241" i="12"/>
  <c r="CV241" i="12" s="1"/>
  <c r="CH242" i="12"/>
  <c r="CV242" i="12" s="1"/>
  <c r="CH243" i="12"/>
  <c r="CV243" i="12" s="1"/>
  <c r="CH244" i="12"/>
  <c r="CV244" i="12" s="1"/>
  <c r="CH245" i="12"/>
  <c r="CV245" i="12" s="1"/>
  <c r="CH246" i="12"/>
  <c r="CV246" i="12" s="1"/>
  <c r="CH247" i="12"/>
  <c r="CV247" i="12" s="1"/>
  <c r="CH248" i="12"/>
  <c r="CV248" i="12" s="1"/>
  <c r="CH249" i="12"/>
  <c r="CV249" i="12" s="1"/>
  <c r="CH250" i="12"/>
  <c r="CV250" i="12" s="1"/>
  <c r="CH251" i="12"/>
  <c r="CV251" i="12" s="1"/>
  <c r="CH252" i="12"/>
  <c r="CV252" i="12" s="1"/>
  <c r="CH253" i="12"/>
  <c r="CV253" i="12" s="1"/>
  <c r="CH254" i="12"/>
  <c r="CV254" i="12" s="1"/>
  <c r="CH255" i="12"/>
  <c r="CV255" i="12" s="1"/>
  <c r="CH256" i="12"/>
  <c r="CV256" i="12" s="1"/>
  <c r="CH257" i="12"/>
  <c r="CV257" i="12" s="1"/>
  <c r="CH258" i="12"/>
  <c r="CV258" i="12" s="1"/>
  <c r="CH259" i="12"/>
  <c r="CV259" i="12" s="1"/>
  <c r="CH260" i="12"/>
  <c r="CV260" i="12" s="1"/>
  <c r="CH261" i="12"/>
  <c r="CV261" i="12" s="1"/>
  <c r="CH262" i="12"/>
  <c r="CV262" i="12" s="1"/>
  <c r="CH263" i="12"/>
  <c r="CV263" i="12" s="1"/>
  <c r="CH264" i="12"/>
  <c r="CV264" i="12" s="1"/>
  <c r="CH265" i="12"/>
  <c r="CV265" i="12" s="1"/>
  <c r="CH266" i="12"/>
  <c r="CV266" i="12" s="1"/>
  <c r="CH267" i="12"/>
  <c r="CV267" i="12" s="1"/>
  <c r="CH268" i="12"/>
  <c r="CV268" i="12" s="1"/>
  <c r="CH269" i="12"/>
  <c r="CV269" i="12" s="1"/>
  <c r="CH270" i="12"/>
  <c r="CV270" i="12" s="1"/>
  <c r="CH271" i="12"/>
  <c r="CV271" i="12" s="1"/>
  <c r="CH272" i="12"/>
  <c r="CV272" i="12" s="1"/>
  <c r="CH273" i="12"/>
  <c r="CV273" i="12" s="1"/>
  <c r="CH274" i="12"/>
  <c r="CV274" i="12" s="1"/>
  <c r="CH275" i="12"/>
  <c r="CV275" i="12" s="1"/>
  <c r="CH276" i="12"/>
  <c r="CV276" i="12" s="1"/>
  <c r="CH277" i="12"/>
  <c r="CV277" i="12" s="1"/>
  <c r="CH278" i="12"/>
  <c r="CV278" i="12" s="1"/>
  <c r="CH279" i="12"/>
  <c r="CV279" i="12" s="1"/>
  <c r="CH280" i="12"/>
  <c r="CV280" i="12" s="1"/>
  <c r="CH281" i="12"/>
  <c r="CV281" i="12" s="1"/>
  <c r="CH282" i="12"/>
  <c r="CV282" i="12" s="1"/>
  <c r="CH283" i="12"/>
  <c r="CV283" i="12" s="1"/>
  <c r="CH284" i="12"/>
  <c r="CV284" i="12" s="1"/>
  <c r="CH285" i="12"/>
  <c r="CV285" i="12" s="1"/>
  <c r="CH286" i="12"/>
  <c r="CV286" i="12" s="1"/>
  <c r="CH287" i="12"/>
  <c r="CV287" i="12" s="1"/>
  <c r="CH288" i="12"/>
  <c r="CV288" i="12" s="1"/>
  <c r="CH289" i="12"/>
  <c r="CV289" i="12" s="1"/>
  <c r="CH290" i="12"/>
  <c r="CV290" i="12" s="1"/>
  <c r="CH291" i="12"/>
  <c r="CV291" i="12" s="1"/>
  <c r="CH292" i="12"/>
  <c r="CV292" i="12" s="1"/>
  <c r="CH293" i="12"/>
  <c r="CV293" i="12" s="1"/>
  <c r="CH294" i="12"/>
  <c r="CV294" i="12" s="1"/>
  <c r="CH295" i="12"/>
  <c r="CV295" i="12" s="1"/>
  <c r="CH296" i="12"/>
  <c r="CV296" i="12" s="1"/>
  <c r="CH297" i="12"/>
  <c r="CV297" i="12" s="1"/>
  <c r="CH298" i="12"/>
  <c r="CV298" i="12" s="1"/>
  <c r="CH299" i="12"/>
  <c r="CV299" i="12" s="1"/>
  <c r="CH300" i="12"/>
  <c r="CV300" i="12" s="1"/>
  <c r="CH301" i="12"/>
  <c r="CV301" i="12" s="1"/>
  <c r="CH302" i="12"/>
  <c r="CV302" i="12" s="1"/>
  <c r="CH303" i="12"/>
  <c r="CV303" i="12" s="1"/>
  <c r="CH304" i="12"/>
  <c r="CV304" i="12" s="1"/>
  <c r="CH305" i="12"/>
  <c r="CV305" i="12" s="1"/>
  <c r="CH306" i="12"/>
  <c r="CV306" i="12" s="1"/>
  <c r="CH307" i="12"/>
  <c r="CV307" i="12" s="1"/>
  <c r="CH308" i="12"/>
  <c r="CV308" i="12" s="1"/>
  <c r="CH309" i="12"/>
  <c r="CV309" i="12" s="1"/>
  <c r="CH310" i="12"/>
  <c r="CV310" i="12" s="1"/>
  <c r="CH311" i="12"/>
  <c r="CV311" i="12" s="1"/>
  <c r="CH312" i="12"/>
  <c r="CV312" i="12" s="1"/>
  <c r="CH313" i="12"/>
  <c r="CV313" i="12" s="1"/>
  <c r="CH314" i="12"/>
  <c r="CV314" i="12" s="1"/>
  <c r="CH315" i="12"/>
  <c r="CV315" i="12" s="1"/>
  <c r="CH316" i="12"/>
  <c r="CV316" i="12" s="1"/>
  <c r="CH317" i="12"/>
  <c r="CV317" i="12" s="1"/>
  <c r="CH319" i="12"/>
  <c r="CV319" i="12" s="1"/>
  <c r="CH320" i="12"/>
  <c r="CV320" i="12" s="1"/>
  <c r="CH321" i="12"/>
  <c r="CV321" i="12" s="1"/>
  <c r="CH322" i="12"/>
  <c r="CV322" i="12" s="1"/>
  <c r="CH323" i="12"/>
  <c r="CV323" i="12" s="1"/>
  <c r="CH324" i="12"/>
  <c r="CV324" i="12" s="1"/>
  <c r="CH325" i="12"/>
  <c r="CV325" i="12" s="1"/>
  <c r="CH326" i="12"/>
  <c r="CV326" i="12" s="1"/>
  <c r="CH6" i="12"/>
  <c r="AR216" i="12" a="1"/>
  <c r="AQ216" i="12" a="1"/>
  <c r="AR276" i="12" a="1"/>
  <c r="AQ276" i="12" a="1"/>
  <c r="AR7" i="12" a="1"/>
  <c r="AQ7" i="12" a="1"/>
  <c r="AR176" i="12" a="1"/>
  <c r="AQ176" i="12" a="1"/>
  <c r="AR175" i="12" a="1"/>
  <c r="AQ175" i="12" a="1"/>
  <c r="AR133" i="12" a="1"/>
  <c r="AQ133" i="12" a="1"/>
  <c r="AR132" i="12" a="1"/>
  <c r="AQ132" i="12" a="1"/>
  <c r="AR196" i="12" a="1"/>
  <c r="AQ196" i="12" a="1"/>
  <c r="CH368" i="12"/>
  <c r="CH366" i="12"/>
  <c r="CI371" i="12"/>
  <c r="AR204" i="12" a="1"/>
  <c r="AQ204" i="12" a="1"/>
  <c r="CT222" i="12"/>
  <c r="CE327" i="12"/>
  <c r="AR92" i="12" a="1"/>
  <c r="AQ92" i="12" a="1"/>
  <c r="AR91" i="12" a="1"/>
  <c r="AQ91" i="12" a="1"/>
  <c r="AR90" i="12" a="1"/>
  <c r="AQ90" i="12" a="1"/>
  <c r="AR89" i="12" a="1"/>
  <c r="AQ89" i="12" a="1"/>
  <c r="AR293" i="12" a="1"/>
  <c r="AQ293" i="12" a="1"/>
  <c r="AR300" i="12" a="1"/>
  <c r="AQ300" i="12" a="1"/>
  <c r="AR288" i="12" a="1"/>
  <c r="AQ288" i="12" a="1"/>
  <c r="AR193" i="12" a="1"/>
  <c r="AQ193" i="12" a="1"/>
  <c r="AR192" i="12" a="1"/>
  <c r="AQ192" i="12" a="1"/>
  <c r="CH370" i="12"/>
  <c r="CI370" i="12"/>
  <c r="AR18" i="12" a="1"/>
  <c r="AQ18" i="12" a="1"/>
  <c r="AR17" i="12" a="1"/>
  <c r="AQ17" i="12" a="1"/>
  <c r="AR314" i="12" a="1"/>
  <c r="AQ314" i="12" a="1"/>
  <c r="AR224" i="12" a="1"/>
  <c r="AQ224" i="12" a="1"/>
  <c r="AR14" i="12" a="1"/>
  <c r="AQ14" i="12" a="1"/>
  <c r="AR310" i="12" a="1"/>
  <c r="AQ310" i="12" a="1"/>
  <c r="AR301" i="12" a="1"/>
  <c r="AQ301" i="12" a="1"/>
  <c r="AR299" i="12" a="1"/>
  <c r="AQ299" i="12" a="1"/>
  <c r="AR23" i="12" a="1"/>
  <c r="AQ23" i="12" a="1"/>
  <c r="AR280" i="12" a="1"/>
  <c r="AQ280" i="12" a="1"/>
  <c r="AR289" i="12" a="1"/>
  <c r="AQ289" i="12" a="1"/>
  <c r="AR291" i="12" a="1"/>
  <c r="AQ291" i="12" a="1"/>
  <c r="AR29" i="12" a="1"/>
  <c r="AQ29" i="12" a="1"/>
  <c r="AR282" i="12" a="1"/>
  <c r="AQ282" i="12" a="1"/>
  <c r="AR11" i="12" a="1"/>
  <c r="AQ11" i="12" a="1"/>
  <c r="CD327" i="12"/>
  <c r="CC327" i="12"/>
  <c r="AR215" i="12" a="1"/>
  <c r="AQ215" i="12" a="1"/>
  <c r="AR214" i="12" a="1"/>
  <c r="AQ214" i="12" a="1"/>
  <c r="AR213" i="12" a="1"/>
  <c r="AQ213" i="12" a="1"/>
  <c r="CB327" i="12"/>
  <c r="CV6" i="12"/>
  <c r="AR308" i="12" a="1"/>
  <c r="AQ308" i="12" a="1"/>
  <c r="AR251" i="12" a="1"/>
  <c r="AQ251" i="12" a="1"/>
  <c r="AR304" i="12" a="1"/>
  <c r="AQ304" i="12" a="1"/>
  <c r="AR303" i="12" a="1"/>
  <c r="AQ303" i="12" a="1"/>
  <c r="AR302" i="12" a="1"/>
  <c r="AQ302" i="12" a="1"/>
  <c r="AR27" i="12" a="1"/>
  <c r="AQ27" i="12" a="1"/>
  <c r="AR63" i="12" a="1"/>
  <c r="AQ63" i="12" a="1"/>
  <c r="AR101" i="12" a="1"/>
  <c r="AQ101" i="12" a="1"/>
  <c r="AR100" i="12" a="1"/>
  <c r="AQ100" i="12" a="1"/>
  <c r="AR107" i="12" a="1"/>
  <c r="AQ107" i="12" a="1"/>
  <c r="AR106" i="12" a="1"/>
  <c r="AQ106" i="12" a="1"/>
  <c r="AR104" i="12" a="1"/>
  <c r="AQ104" i="12" a="1"/>
  <c r="AR103" i="12" a="1"/>
  <c r="AQ103" i="12" a="1"/>
  <c r="AR55" i="12" a="1"/>
  <c r="AQ55" i="12" a="1"/>
  <c r="CU327" i="12"/>
  <c r="CA327" i="12"/>
  <c r="CI327" i="12"/>
  <c r="AR284" i="12" a="1"/>
  <c r="AQ284" i="12" a="1"/>
  <c r="AR281" i="12" a="1"/>
  <c r="AQ281" i="12" a="1"/>
  <c r="AR283" i="12" a="1"/>
  <c r="AQ283" i="12" a="1"/>
  <c r="AR286" i="12" a="1"/>
  <c r="AQ286" i="12" a="1"/>
  <c r="AR285" i="12" a="1"/>
  <c r="AQ285" i="12" a="1"/>
  <c r="AR307" i="12" a="1"/>
  <c r="AQ307" i="12" a="1"/>
  <c r="AR295" i="12" a="1"/>
  <c r="AQ295" i="12" a="1"/>
  <c r="AR297" i="12" a="1"/>
  <c r="AQ297" i="12" a="1"/>
  <c r="AR296" i="12" a="1"/>
  <c r="AQ296" i="12" a="1"/>
  <c r="AR306" i="12" a="1"/>
  <c r="AQ306" i="12" a="1"/>
  <c r="AR305" i="12" a="1"/>
  <c r="AQ305" i="12" a="1"/>
  <c r="AR298" i="12" a="1"/>
  <c r="AQ298" i="12" a="1"/>
  <c r="AR203" i="12" a="1"/>
  <c r="AQ203" i="12" a="1"/>
  <c r="AR197" i="12" a="1"/>
  <c r="AQ197" i="12" a="1"/>
  <c r="AR195" i="12" a="1"/>
  <c r="AQ195" i="12" a="1"/>
  <c r="AR187" i="12" a="1"/>
  <c r="AQ187" i="12" a="1"/>
  <c r="AR191" i="12" a="1"/>
  <c r="AQ191" i="12" a="1"/>
  <c r="AR194" i="12" a="1"/>
  <c r="AQ194" i="12" a="1"/>
  <c r="AR189" i="12" a="1"/>
  <c r="AQ189" i="12" a="1"/>
  <c r="AR218" i="12" a="1"/>
  <c r="AQ218" i="12" a="1"/>
  <c r="AR217" i="12" a="1"/>
  <c r="AQ217" i="12" a="1"/>
  <c r="AR183" i="12" a="1"/>
  <c r="AQ183" i="12" a="1"/>
  <c r="AR65" i="12" a="1"/>
  <c r="AQ65" i="12" a="1"/>
  <c r="AR168" i="12" a="1"/>
  <c r="AQ168" i="12" a="1"/>
  <c r="AR114" i="12" a="1"/>
  <c r="AQ114" i="12" a="1"/>
  <c r="AR156" i="12" a="1"/>
  <c r="AQ156" i="12" a="1"/>
  <c r="AR25" i="12" a="1"/>
  <c r="AQ25" i="12" a="1"/>
  <c r="AR184" i="12" a="1"/>
  <c r="AQ184" i="12" a="1"/>
  <c r="AR79" i="12" a="1"/>
  <c r="AQ79" i="12" a="1"/>
  <c r="AR80" i="12" a="1"/>
  <c r="AQ80" i="12" a="1"/>
  <c r="AR136" i="12" a="1"/>
  <c r="AQ136" i="12" a="1"/>
  <c r="AR70" i="12" a="1"/>
  <c r="AQ70" i="12" a="1"/>
  <c r="AR72" i="12" a="1"/>
  <c r="AQ72" i="12" a="1"/>
  <c r="AR69" i="12" a="1"/>
  <c r="AQ69" i="12" a="1"/>
  <c r="AR71" i="12" a="1"/>
  <c r="AQ71" i="12" a="1"/>
  <c r="AR53" i="12" a="1"/>
  <c r="AQ53" i="12" a="1"/>
  <c r="AR233" i="12" a="1"/>
  <c r="AQ233" i="12" a="1"/>
  <c r="AR212" i="12" a="1"/>
  <c r="AQ212" i="12" a="1"/>
  <c r="AR221" i="12" a="1"/>
  <c r="AQ221" i="12" a="1"/>
  <c r="AR234" i="12" a="1"/>
  <c r="AQ234" i="12" a="1"/>
  <c r="AR219" i="12" a="1"/>
  <c r="AQ219" i="12" a="1"/>
  <c r="AR198" i="12" a="1"/>
  <c r="AQ198" i="12" a="1"/>
  <c r="AR188" i="12" a="1"/>
  <c r="AQ188" i="12" a="1"/>
  <c r="AR199" i="12" a="1"/>
  <c r="AQ199" i="12" a="1"/>
  <c r="AR245" i="12" a="1"/>
  <c r="AQ245" i="12" a="1"/>
  <c r="CT327" i="12"/>
  <c r="BZ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BY327" i="12"/>
  <c r="CJ327" i="12"/>
  <c r="CK327" i="12"/>
  <c r="CL327" i="12"/>
  <c r="CM327" i="12"/>
  <c r="CN327" i="12"/>
  <c r="CO327" i="12"/>
  <c r="CP327" i="12"/>
  <c r="CQ327" i="12"/>
  <c r="CR327" i="12"/>
  <c r="CS327" i="12"/>
  <c r="AR287" i="12" a="1"/>
  <c r="AQ287" i="12" a="1"/>
  <c r="AR278" i="12" a="1"/>
  <c r="AQ278" i="12" a="1"/>
  <c r="AR323" i="12" a="1"/>
  <c r="AQ323" i="12" a="1"/>
  <c r="AR311" i="12" a="1"/>
  <c r="AQ311" i="12" a="1"/>
  <c r="AR227" i="12" a="1"/>
  <c r="AQ227" i="12" a="1"/>
  <c r="AR277" i="12" a="1"/>
  <c r="AQ277" i="12" a="1"/>
  <c r="AR275" i="12" a="1"/>
  <c r="AQ275" i="12" a="1"/>
  <c r="AR321" i="12" a="1"/>
  <c r="AQ321" i="12" a="1"/>
  <c r="AR279" i="12" a="1"/>
  <c r="AQ279" i="12" a="1"/>
  <c r="AR292" i="12" a="1"/>
  <c r="AQ292" i="12" a="1"/>
  <c r="AR290" i="12" a="1"/>
  <c r="AQ290" i="12" a="1"/>
  <c r="AR309" i="12" a="1"/>
  <c r="AQ309" i="12" a="1"/>
  <c r="AR322" i="12" a="1"/>
  <c r="AQ322" i="12" a="1"/>
  <c r="AR226" i="12" a="1"/>
  <c r="AQ226" i="12" a="1"/>
  <c r="AR294" i="12" a="1"/>
  <c r="AQ294" i="12" a="1"/>
  <c r="AR325" i="12" a="1"/>
  <c r="AQ325" i="12" a="1"/>
  <c r="AR316" i="12" a="1"/>
  <c r="AQ316" i="12" a="1"/>
  <c r="AR315" i="12" a="1"/>
  <c r="AQ315" i="12" a="1"/>
  <c r="AR319" i="12" a="1"/>
  <c r="AQ319" i="12" a="1"/>
  <c r="AR326" i="12" a="1"/>
  <c r="AQ326" i="12" a="1"/>
  <c r="AR324" i="12" a="1"/>
  <c r="AQ324" i="12" a="1"/>
  <c r="AR225" i="12" a="1"/>
  <c r="AQ225" i="12" a="1"/>
  <c r="AR317" i="12" a="1"/>
  <c r="AQ317" i="12" a="1"/>
  <c r="AR318" i="12" a="1"/>
  <c r="AQ318" i="12" a="1"/>
  <c r="AR26" i="12" a="1"/>
  <c r="AQ26" i="12" a="1"/>
  <c r="AR320" i="12" a="1"/>
  <c r="AQ320" i="12" a="1"/>
  <c r="AR313" i="12" a="1"/>
  <c r="AQ313" i="12" a="1"/>
  <c r="AR312" i="12" a="1"/>
  <c r="AQ312" i="12" a="1"/>
  <c r="AR185" i="12" a="1"/>
  <c r="AQ185" i="12" a="1"/>
  <c r="AR186" i="12" a="1"/>
  <c r="AQ186" i="12" a="1"/>
  <c r="AR182" i="12" a="1"/>
  <c r="AQ182" i="12" a="1"/>
  <c r="AR181" i="12" a="1"/>
  <c r="AQ181" i="12" a="1"/>
  <c r="AR180" i="12" a="1"/>
  <c r="AQ180" i="12" a="1"/>
  <c r="AR179" i="12" a="1"/>
  <c r="AQ179" i="12" a="1"/>
  <c r="AR178" i="12" a="1"/>
  <c r="AQ178" i="12" a="1"/>
  <c r="AR177" i="12" a="1"/>
  <c r="AQ177" i="12" a="1"/>
  <c r="AR239" i="12" a="1"/>
  <c r="AQ239" i="12" a="1"/>
  <c r="AR255" i="12" a="1"/>
  <c r="AQ255" i="12" a="1"/>
  <c r="AR174" i="12" a="1"/>
  <c r="AQ174" i="12" a="1"/>
  <c r="AR173" i="12" a="1"/>
  <c r="AQ173" i="12" a="1"/>
  <c r="AR254" i="12" a="1"/>
  <c r="AQ254" i="12" a="1"/>
  <c r="AR172" i="12" a="1"/>
  <c r="AQ172" i="12" a="1"/>
  <c r="AR171" i="12" a="1"/>
  <c r="AQ171" i="12" a="1"/>
  <c r="AR170" i="12" a="1"/>
  <c r="AQ170" i="12" a="1"/>
  <c r="AR238" i="12" a="1"/>
  <c r="AQ238" i="12" a="1"/>
  <c r="AR237" i="12" a="1"/>
  <c r="AQ237" i="12" a="1"/>
  <c r="AR236" i="12" a="1"/>
  <c r="AQ236" i="12" a="1"/>
  <c r="AR235" i="12" a="1"/>
  <c r="AQ235" i="12" a="1"/>
  <c r="AR169" i="12" a="1"/>
  <c r="AQ169" i="12" a="1"/>
  <c r="AR167" i="12" a="1"/>
  <c r="AQ167" i="12" a="1"/>
  <c r="AR166" i="12" a="1"/>
  <c r="AQ166" i="12" a="1"/>
  <c r="AR165" i="12" a="1"/>
  <c r="AQ165" i="12" a="1"/>
  <c r="AR253" i="12" a="1"/>
  <c r="AQ253" i="12" a="1"/>
  <c r="AR164" i="12" a="1"/>
  <c r="AQ164" i="12" a="1"/>
  <c r="AR163" i="12" a="1"/>
  <c r="AQ163" i="12" a="1"/>
  <c r="AR162" i="12" a="1"/>
  <c r="AQ162" i="12" a="1"/>
  <c r="AR161" i="12" a="1"/>
  <c r="AQ161" i="12" a="1"/>
  <c r="AR160" i="12" a="1"/>
  <c r="AQ160" i="12" a="1"/>
  <c r="AR159" i="12" a="1"/>
  <c r="AQ159" i="12" a="1"/>
  <c r="AR158" i="12" a="1"/>
  <c r="AQ158" i="12" a="1"/>
  <c r="AR157" i="12" a="1"/>
  <c r="AQ157" i="12" a="1"/>
  <c r="AR155" i="12" a="1"/>
  <c r="AQ155" i="12" a="1"/>
  <c r="AR154" i="12" a="1"/>
  <c r="AQ154" i="12" a="1"/>
  <c r="AR153" i="12" a="1"/>
  <c r="AQ153" i="12" a="1"/>
  <c r="AR152" i="12" a="1"/>
  <c r="AQ152" i="12" a="1"/>
  <c r="AR252" i="12" a="1"/>
  <c r="AQ252" i="12" a="1"/>
  <c r="AR151" i="12" a="1"/>
  <c r="AQ151" i="12" a="1"/>
  <c r="AR150" i="12" a="1"/>
  <c r="AQ150" i="12" a="1"/>
  <c r="AR149" i="12" a="1"/>
  <c r="AQ149" i="12" a="1"/>
  <c r="AR250" i="12" a="1"/>
  <c r="AQ250" i="12" a="1"/>
  <c r="AR249" i="12" a="1"/>
  <c r="AQ249" i="12" a="1"/>
  <c r="AR248" i="12" a="1"/>
  <c r="AQ248" i="12" a="1"/>
  <c r="AR247" i="12" a="1"/>
  <c r="AQ247" i="12" a="1"/>
  <c r="AR246" i="12" a="1"/>
  <c r="AQ246" i="12" a="1"/>
  <c r="AR244" i="12" a="1"/>
  <c r="AQ244" i="12" a="1"/>
  <c r="AR243" i="12" a="1"/>
  <c r="AQ243" i="12" a="1"/>
  <c r="AR148" i="12" a="1"/>
  <c r="AQ148" i="12" a="1"/>
  <c r="AR147" i="12" a="1"/>
  <c r="AQ147" i="12" a="1"/>
  <c r="AR146" i="12" a="1"/>
  <c r="AQ146" i="12" a="1"/>
  <c r="AR232" i="12" a="1"/>
  <c r="AQ232" i="12" a="1"/>
  <c r="AR231" i="12" a="1"/>
  <c r="AQ231" i="12" a="1"/>
  <c r="AR230" i="12" a="1"/>
  <c r="AQ230" i="12" a="1"/>
  <c r="AR229" i="12" a="1"/>
  <c r="AQ229" i="12" a="1"/>
  <c r="AR228" i="12" a="1"/>
  <c r="AQ228" i="12" a="1"/>
  <c r="AR145" i="12" a="1"/>
  <c r="AQ145" i="12" a="1"/>
  <c r="AR144" i="12" a="1"/>
  <c r="AQ144" i="12" a="1"/>
  <c r="AR143" i="12" a="1"/>
  <c r="AQ143" i="12" a="1"/>
  <c r="AR142" i="12" a="1"/>
  <c r="AQ142" i="12" a="1"/>
  <c r="AR141" i="12" a="1"/>
  <c r="AQ141" i="12" a="1"/>
  <c r="AR140" i="12" a="1"/>
  <c r="AQ140" i="12" a="1"/>
  <c r="AR139" i="12" a="1"/>
  <c r="AQ139" i="12" a="1"/>
  <c r="AR138" i="12" a="1"/>
  <c r="AQ138" i="12" a="1"/>
  <c r="AR137" i="12" a="1"/>
  <c r="AQ137" i="12" a="1"/>
  <c r="AR223" i="12" a="1"/>
  <c r="AQ223" i="12" a="1"/>
  <c r="AR242" i="12" a="1"/>
  <c r="AQ242" i="12" a="1"/>
  <c r="AR222" i="12" a="1"/>
  <c r="AQ222" i="12" a="1"/>
  <c r="AR220" i="12" a="1"/>
  <c r="AQ220" i="12" a="1"/>
  <c r="AR135" i="12" a="1"/>
  <c r="AQ135" i="12" a="1"/>
  <c r="AR134" i="12" a="1"/>
  <c r="AQ134" i="12" a="1"/>
  <c r="AR131" i="12" a="1"/>
  <c r="AQ131" i="12" a="1"/>
  <c r="AR130" i="12" a="1"/>
  <c r="AQ130" i="12" a="1"/>
  <c r="AR129" i="12" a="1"/>
  <c r="AQ129" i="12" a="1"/>
  <c r="AR128" i="12" a="1"/>
  <c r="AQ128" i="12" a="1"/>
  <c r="AR127" i="12" a="1"/>
  <c r="AQ127" i="12" a="1"/>
  <c r="AR272" i="12" a="1"/>
  <c r="AQ272" i="12" a="1"/>
  <c r="AR270" i="12" a="1"/>
  <c r="AQ270" i="12" a="1"/>
  <c r="AR273" i="12" a="1"/>
  <c r="AQ273" i="12" a="1"/>
  <c r="AR274" i="12" a="1"/>
  <c r="AQ274" i="12" a="1"/>
  <c r="AR271" i="12" a="1"/>
  <c r="AQ271" i="12" a="1"/>
  <c r="AR126" i="12" a="1"/>
  <c r="AQ126" i="12" a="1"/>
  <c r="AR124" i="12" a="1"/>
  <c r="AQ124" i="12" a="1"/>
  <c r="AR123" i="12" a="1"/>
  <c r="AQ123" i="12" a="1"/>
  <c r="AR122" i="12" a="1"/>
  <c r="AQ122" i="12" a="1"/>
  <c r="AR121" i="12" a="1"/>
  <c r="AQ121" i="12" a="1"/>
  <c r="AR120" i="12" a="1"/>
  <c r="AQ120" i="12" a="1"/>
  <c r="AR119" i="12" a="1"/>
  <c r="AQ119" i="12" a="1"/>
  <c r="AR118" i="12" a="1"/>
  <c r="AQ118" i="12" a="1"/>
  <c r="AR117" i="12" a="1"/>
  <c r="AQ117" i="12" a="1"/>
  <c r="AR116" i="12" a="1"/>
  <c r="AQ116" i="12" a="1"/>
  <c r="AR115" i="12" a="1"/>
  <c r="AQ115" i="12" a="1"/>
  <c r="AR113" i="12" a="1"/>
  <c r="AQ113" i="12" a="1"/>
  <c r="AR211" i="12" a="1"/>
  <c r="AQ211" i="12" a="1"/>
  <c r="AR112" i="12" a="1"/>
  <c r="AQ112" i="12" a="1"/>
  <c r="AR269" i="12" a="1"/>
  <c r="AQ269" i="12" a="1"/>
  <c r="AR267" i="12" a="1"/>
  <c r="AQ267" i="12" a="1"/>
  <c r="AR265" i="12" a="1"/>
  <c r="AQ265" i="12" a="1"/>
  <c r="AR264" i="12" a="1"/>
  <c r="AQ264" i="12" a="1"/>
  <c r="AR263" i="12" a="1"/>
  <c r="AQ263" i="12" a="1"/>
  <c r="AR262" i="12" a="1"/>
  <c r="AQ262" i="12" a="1"/>
  <c r="AR261" i="12" a="1"/>
  <c r="AQ261" i="12" a="1"/>
  <c r="AR260" i="12" a="1"/>
  <c r="AQ260" i="12" a="1"/>
  <c r="AR259" i="12" a="1"/>
  <c r="AQ259" i="12" a="1"/>
  <c r="AR258" i="12" a="1"/>
  <c r="AQ258" i="12" a="1"/>
  <c r="AR257" i="12" a="1"/>
  <c r="AQ257" i="12" a="1"/>
  <c r="AR256" i="12" a="1"/>
  <c r="AQ256" i="12" a="1"/>
  <c r="AR210" i="12" a="1"/>
  <c r="AQ210" i="12" a="1"/>
  <c r="AR111" i="12" a="1"/>
  <c r="AQ111" i="12" a="1"/>
  <c r="AR110" i="12" a="1"/>
  <c r="AQ110" i="12" a="1"/>
  <c r="AR109" i="12" a="1"/>
  <c r="AQ109" i="12" a="1"/>
  <c r="AR108" i="12" a="1"/>
  <c r="AQ108" i="12" a="1"/>
  <c r="AR209" i="12" a="1"/>
  <c r="AQ209" i="12" a="1"/>
  <c r="AR207" i="12" a="1"/>
  <c r="AQ207" i="12" a="1"/>
  <c r="AR208" i="12" a="1"/>
  <c r="AQ208" i="12" a="1"/>
  <c r="AR206" i="12" a="1"/>
  <c r="AQ206" i="12" a="1"/>
  <c r="AR205" i="12" a="1"/>
  <c r="AQ205" i="12" a="1"/>
  <c r="AR105" i="12" a="1"/>
  <c r="AQ105" i="12" a="1"/>
  <c r="AR102" i="12" a="1"/>
  <c r="AQ102" i="12" a="1"/>
  <c r="AR99" i="12" a="1"/>
  <c r="AQ99" i="12" a="1"/>
  <c r="AR98" i="12" a="1"/>
  <c r="AQ98" i="12" a="1"/>
  <c r="AR97" i="12" a="1"/>
  <c r="AQ97" i="12" a="1"/>
  <c r="AR96" i="12" a="1"/>
  <c r="AQ96" i="12" a="1"/>
  <c r="AR95" i="12" a="1"/>
  <c r="AQ95" i="12" a="1"/>
  <c r="AR94" i="12" a="1"/>
  <c r="AQ94" i="12" a="1"/>
  <c r="AR88" i="12" a="1"/>
  <c r="AQ88" i="12" a="1"/>
  <c r="AR93" i="12" a="1"/>
  <c r="AQ93" i="12" a="1"/>
  <c r="AR87" i="12" a="1"/>
  <c r="AQ87" i="12" a="1"/>
  <c r="AR86" i="12" a="1"/>
  <c r="AQ86" i="12" a="1"/>
  <c r="AR85" i="12" a="1"/>
  <c r="AQ85" i="12" a="1"/>
  <c r="AR84" i="12" a="1"/>
  <c r="AQ84" i="12" a="1"/>
  <c r="AR83" i="12" a="1"/>
  <c r="AQ83" i="12" a="1"/>
  <c r="AR82" i="12" a="1"/>
  <c r="AQ82" i="12" a="1"/>
  <c r="AR81" i="12" a="1"/>
  <c r="AQ81" i="12" a="1"/>
  <c r="AR77" i="12" a="1"/>
  <c r="AQ77" i="12" a="1"/>
  <c r="AR78" i="12" a="1"/>
  <c r="AQ78" i="12" a="1"/>
  <c r="AR76" i="12" a="1"/>
  <c r="AQ76" i="12" a="1"/>
  <c r="AR75" i="12" a="1"/>
  <c r="AQ75" i="12" a="1"/>
  <c r="AR74" i="12" a="1"/>
  <c r="AQ74" i="12" a="1"/>
  <c r="AR73" i="12" a="1"/>
  <c r="AQ73" i="12" a="1"/>
  <c r="AR200" i="12" a="1"/>
  <c r="AQ200" i="12" a="1"/>
  <c r="AR201" i="12" a="1"/>
  <c r="AQ201" i="12" a="1"/>
  <c r="AR68" i="12" a="1"/>
  <c r="AQ68" i="12" a="1"/>
  <c r="AR67" i="12" a="1"/>
  <c r="AQ67" i="12" a="1"/>
  <c r="AR240" i="12" a="1"/>
  <c r="AQ240" i="12" a="1"/>
  <c r="AR66" i="12" a="1"/>
  <c r="AQ66" i="12" a="1"/>
  <c r="AR64" i="12" a="1"/>
  <c r="AQ64" i="12" a="1"/>
  <c r="AR58" i="12" a="1"/>
  <c r="AQ58" i="12" a="1"/>
  <c r="AR56" i="12" a="1"/>
  <c r="AQ56" i="12" a="1"/>
  <c r="AR57" i="12" a="1"/>
  <c r="AQ57" i="12" a="1"/>
  <c r="AR60" i="12" a="1"/>
  <c r="AQ60" i="12" a="1"/>
  <c r="AR62" i="12" a="1"/>
  <c r="AQ62" i="12" a="1"/>
  <c r="AR61" i="12" a="1"/>
  <c r="AQ61" i="12" a="1"/>
  <c r="AR59" i="12" a="1"/>
  <c r="AQ59" i="12" a="1"/>
  <c r="AR54" i="12" a="1"/>
  <c r="AQ54" i="12" a="1"/>
  <c r="AR50" i="12" a="1"/>
  <c r="AQ50" i="12" a="1"/>
  <c r="AR49" i="12" a="1"/>
  <c r="AQ49" i="12" a="1"/>
  <c r="AR48" i="12" a="1"/>
  <c r="AQ48" i="12" a="1"/>
  <c r="AR47" i="12" a="1"/>
  <c r="AQ47" i="12" a="1"/>
  <c r="AR52" i="12" a="1"/>
  <c r="AQ52" i="12" a="1"/>
  <c r="AR46" i="12" a="1"/>
  <c r="AQ46" i="12" a="1"/>
  <c r="AR51" i="12" a="1"/>
  <c r="AQ51" i="12" a="1"/>
  <c r="AR45" i="12" a="1"/>
  <c r="AQ45" i="12" a="1"/>
  <c r="AR44" i="12" a="1"/>
  <c r="AQ44" i="12" a="1"/>
  <c r="AR43" i="12" a="1"/>
  <c r="AQ43" i="12" a="1"/>
  <c r="AR42" i="12" a="1"/>
  <c r="AQ42" i="12" a="1"/>
  <c r="AR41" i="12" a="1"/>
  <c r="AQ41" i="12" a="1"/>
  <c r="AR40" i="12" a="1"/>
  <c r="AQ40" i="12" a="1"/>
  <c r="AR39" i="12" a="1"/>
  <c r="AQ39" i="12" a="1"/>
  <c r="AR38" i="12" a="1"/>
  <c r="AQ38" i="12" a="1"/>
  <c r="AR37" i="12" a="1"/>
  <c r="AQ37" i="12" a="1"/>
  <c r="AR36" i="12" a="1"/>
  <c r="AQ36" i="12" a="1"/>
  <c r="AR35" i="12" a="1"/>
  <c r="AQ35" i="12" a="1"/>
  <c r="AR34" i="12" a="1"/>
  <c r="AQ34" i="12" a="1"/>
  <c r="AR33" i="12" a="1"/>
  <c r="AQ33" i="12" a="1"/>
  <c r="AR125" i="12" a="1"/>
  <c r="AQ125" i="12" a="1"/>
  <c r="AR32" i="12" a="1"/>
  <c r="AQ32" i="12" a="1"/>
  <c r="AR30" i="12" a="1"/>
  <c r="AQ30" i="12" a="1"/>
  <c r="AR31" i="12" a="1"/>
  <c r="AQ31" i="12" a="1"/>
  <c r="AR28" i="12" a="1"/>
  <c r="AQ28" i="12" a="1"/>
  <c r="AR190" i="12" a="1"/>
  <c r="AQ190" i="12" a="1"/>
  <c r="AR22" i="12" a="1"/>
  <c r="AQ22" i="12" a="1"/>
  <c r="AR21" i="12" a="1"/>
  <c r="AQ21" i="12" a="1"/>
  <c r="AR24" i="12" a="1"/>
  <c r="AQ24" i="12" a="1"/>
  <c r="AR20" i="12" a="1"/>
  <c r="AQ20" i="12" a="1"/>
  <c r="AR19" i="12" a="1"/>
  <c r="AQ19" i="12" a="1"/>
  <c r="AR16" i="12" a="1"/>
  <c r="AQ16" i="12" a="1"/>
  <c r="AR15" i="12" a="1"/>
  <c r="AQ15" i="12" a="1"/>
  <c r="AR13" i="12" a="1"/>
  <c r="AQ13" i="12" a="1"/>
  <c r="AR12" i="12" a="1"/>
  <c r="AQ12" i="12" a="1"/>
  <c r="AR10" i="12" a="1"/>
  <c r="AQ10" i="12" a="1"/>
  <c r="AR9" i="12" a="1"/>
  <c r="AQ9" i="12" a="1"/>
  <c r="AR8" i="12" a="1"/>
  <c r="AQ8" i="12" a="1"/>
  <c r="AR6" i="12" a="1"/>
  <c r="AQ6" i="12" a="1"/>
  <c r="AR266" i="12" a="1"/>
  <c r="AQ266" i="12" a="1"/>
  <c r="AQ268" i="12" a="1"/>
  <c r="AR268" i="12" a="1"/>
  <c r="BL67" i="12"/>
  <c r="CH67" i="12"/>
  <c r="CV67" i="12" s="1"/>
  <c r="BL120" i="12"/>
  <c r="CH120" i="12"/>
  <c r="CV120" i="12" s="1"/>
  <c r="BL230" i="12"/>
  <c r="CH230" i="12"/>
  <c r="CV230" i="12" s="1"/>
  <c r="BL240" i="12"/>
  <c r="CH240" i="12"/>
  <c r="CV240" i="12" s="1"/>
  <c r="BL318" i="12"/>
  <c r="CH318" i="12"/>
  <c r="CV318" i="12" s="1"/>
  <c r="BL220" i="12"/>
  <c r="CH220" i="12"/>
  <c r="CV220" i="12" s="1"/>
  <c r="BL327" i="12"/>
  <c r="CH327" i="12" l="1"/>
  <c r="BN328" i="12"/>
  <c r="BO328" i="12"/>
  <c r="BM328" i="12"/>
  <c r="CV327" i="12"/>
  <c r="CI328" i="12" l="1"/>
  <c r="CK328" i="12"/>
  <c r="CQ328" i="12"/>
  <c r="CR328" i="12"/>
  <c r="CP328" i="12"/>
  <c r="CT328" i="12"/>
  <c r="CN328" i="12"/>
  <c r="CL328" i="12"/>
  <c r="CJ328" i="12"/>
  <c r="CO328" i="12"/>
  <c r="CU328" i="12"/>
  <c r="CM328" i="12"/>
  <c r="CH328" i="12"/>
  <c r="CS328" i="12"/>
  <c r="BN329" i="12"/>
  <c r="BO32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tc={5EDFD7EC-0DAA-49D4-8AF9-3C6235BABC93}</author>
    <author>tc={808D13DE-DE74-4DF0-8A86-3C23893401FA}</author>
  </authors>
  <commentList>
    <comment ref="CW230" authorId="0" shapeId="0" xr:uid="{5EDFD7EC-0DAA-49D4-8AF9-3C6235BABC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la espera de subir en función del QF</t>
      </text>
    </comment>
    <comment ref="CW232" authorId="1" shapeId="0" xr:uid="{808D13DE-DE74-4DF0-8A86-3C23893401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la espera de subir en función del QF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<sst xmlns="http://schemas.openxmlformats.org/spreadsheetml/2006/main" count="10849" uniqueCount="1381">
  <si>
    <t>ACTIVIDAD</t>
  </si>
  <si>
    <t>TOTAL</t>
  </si>
  <si>
    <t>Acumulativa</t>
  </si>
  <si>
    <t>TIPO PLAN</t>
  </si>
  <si>
    <t>CRONOGRAMA VALORADO
(Debe ser consistente con el valor del presupuesto total 2025)</t>
  </si>
  <si>
    <t>Plan Anual de Inversión</t>
  </si>
  <si>
    <t>METAS</t>
  </si>
  <si>
    <t>Prioridad 1</t>
  </si>
  <si>
    <t>Prioridad 2</t>
  </si>
  <si>
    <t>Prioridad 3</t>
  </si>
  <si>
    <t>Sector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</si>
  <si>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</si>
  <si>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</si>
  <si>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</si>
  <si>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t>PARTIDA PRESUPUESTARIA</t>
  </si>
  <si>
    <t>RECURSO MUNICIPAL DESTINO A GAP (SI/NO)</t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</si>
  <si>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</si>
  <si>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PRESUPUESTO</t>
  </si>
  <si>
    <t>PRESUPUESTO POR TIPO DE FUENTE</t>
  </si>
  <si>
    <t>PRESUPUESTO 2025 ANUAL</t>
  </si>
  <si>
    <t>RESPONSABLES</t>
  </si>
  <si>
    <t>Prioridad</t>
  </si>
  <si>
    <t>Prioridad
(1, 2 o 3)</t>
  </si>
  <si>
    <t>Vigencia</t>
  </si>
  <si>
    <t>Objetivo general</t>
  </si>
  <si>
    <t>Componentes</t>
  </si>
  <si>
    <t>Nombre</t>
  </si>
  <si>
    <t>PROYECTO  DE INVERSIÓN (sólo para PAI)</t>
  </si>
  <si>
    <t>Gestión de Talento Humano</t>
  </si>
  <si>
    <t>Gestión Administrativa</t>
  </si>
  <si>
    <t>Gestión Misional</t>
  </si>
  <si>
    <t>Tipo de proyecto</t>
  </si>
  <si>
    <t>No Aplica</t>
  </si>
  <si>
    <t>….</t>
  </si>
  <si>
    <t>Dic</t>
  </si>
  <si>
    <t>Ene</t>
  </si>
  <si>
    <t>…</t>
  </si>
  <si>
    <t>ASIGNACIÓN MUNICIPALES</t>
  </si>
  <si>
    <t>INGRESOS PROPIOS</t>
  </si>
  <si>
    <t xml:space="preserve">Número de servidores evaluados / Total servidores </t>
  </si>
  <si>
    <t>Número de procesos adjudicados / Total de procesos del PAC</t>
  </si>
  <si>
    <t>Plan Anual de Inversión (PAI)</t>
  </si>
  <si>
    <t>Unidades producidas / Unidades programadas</t>
  </si>
  <si>
    <t>Grupo de gasto 51</t>
  </si>
  <si>
    <t>Por partida presupuestaria, registrar:
 SI o NO.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</si>
  <si>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</si>
  <si>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</si>
  <si>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t>Establecer TAREAS por actividad, con fecha de inicio y fin.</t>
  </si>
  <si>
    <t>Mensualizar cada meta de manera consistente con el valor anual y con el cronograma valorado.</t>
  </si>
  <si>
    <t>Establecer 1 Meta Anual por componente</t>
  </si>
  <si>
    <t>Partida Presupuestaria</t>
  </si>
  <si>
    <t>Recurso de AM para GAP</t>
  </si>
  <si>
    <t>Presupuesto 2025 Anual</t>
  </si>
  <si>
    <t>Cronograma Valorado</t>
  </si>
  <si>
    <t>Tarea</t>
  </si>
  <si>
    <t>Actividad</t>
  </si>
  <si>
    <t>Tipo de Meta</t>
  </si>
  <si>
    <t xml:space="preserve">Fórmula de cálculo </t>
  </si>
  <si>
    <t>Calendarización de la Meta</t>
  </si>
  <si>
    <t>Establecer los años de vigencia de ejecución del proyecto</t>
  </si>
  <si>
    <t>Establecer el objetivo del proyecto</t>
  </si>
  <si>
    <t>Seleccionar uno de los Programas establecidos en el PMDOT</t>
  </si>
  <si>
    <t xml:space="preserve">Grupos de gastos 71 </t>
  </si>
  <si>
    <t>Abrir en Componentes según los objetivos específicos del proyecto</t>
  </si>
  <si>
    <t>Mensualizar la meta de manera consistente con el valor anual y con el cronograma valorado.</t>
  </si>
  <si>
    <t>Registrar el valor total de Asignación Municipal por partida presupuestaria</t>
  </si>
  <si>
    <t>Fortalecimiento Institucional</t>
  </si>
  <si>
    <t>Nombre del Proyecto
(Crear una sección por proyecto)</t>
  </si>
  <si>
    <t>No 
Aplica</t>
  </si>
  <si>
    <t>Ítems del grupo de gasto 5 y 8</t>
  </si>
  <si>
    <t>Ítems de los grupos de gastos 7 y 8</t>
  </si>
  <si>
    <t>Ítems del grupo de gasto 7y 8</t>
  </si>
  <si>
    <t>Establecer TAREAS por actividad o por Obra de ser el caso, con fecha de inicio y fin.</t>
  </si>
  <si>
    <t xml:space="preserve">Ítems del grupo de gasto 6 y 8 </t>
  </si>
  <si>
    <t>Fondos Propios</t>
  </si>
  <si>
    <t>Registrar el valor total de Fondos Propios por partida presupuestaria</t>
  </si>
  <si>
    <t>LA ACTIVIDAD EN TIPO OBRA (SI o NO)</t>
  </si>
  <si>
    <t>Fase de obras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</si>
  <si>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</si>
  <si>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t>CRONOGRAMA DE AVANCE FÍSICO DE LA OBRA
(Solo para fase de ejecución)</t>
  </si>
  <si>
    <t>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</si>
  <si>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</si>
  <si>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</si>
  <si>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NOMBRE DE LA OBRA
(Solo para Actividades tipo obra)</t>
  </si>
  <si>
    <t>Por definir</t>
  </si>
  <si>
    <t>INDICADORES Y METAS POA</t>
  </si>
  <si>
    <t>Índice de productividad</t>
  </si>
  <si>
    <t>Porcentaje de adjudicación del PAC de gasto corriente</t>
  </si>
  <si>
    <t>Establecerlos en relación de las metas propuestas</t>
  </si>
  <si>
    <t>Objetivo Operativo 
/
Objetivo de Gestión PMDOT</t>
  </si>
  <si>
    <t>Programa</t>
  </si>
  <si>
    <t>ALINEACIÓN ESTRATÉGICA</t>
  </si>
  <si>
    <t>PROYECTOS  DE INVERSIÓN</t>
  </si>
  <si>
    <t>Presupuesto por Tipo de Fuente</t>
  </si>
  <si>
    <t>Asignación Municipal (AM)</t>
  </si>
  <si>
    <t>Cronograma de Avance físico</t>
  </si>
  <si>
    <t>ACTIVIDADES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</si>
  <si>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</si>
  <si>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No
Aplica</t>
  </si>
  <si>
    <t>En Actividades tipo obra, crear una línea por cada obra y sus fases.</t>
  </si>
  <si>
    <t>Seleccionar la categorización de la intervención de acuerdo a su finalidad</t>
  </si>
  <si>
    <t>Establecer por Obra: el porcentaje de avance físico mensual acumulado.</t>
  </si>
  <si>
    <t>Tipo</t>
  </si>
  <si>
    <t>Fases</t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</si>
  <si>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</si>
  <si>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Indicador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</si>
  <si>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</si>
  <si>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</si>
  <si>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Establecer un Objetivo  Operativo por entidad. Este debe estar relacionado con la misión de la entidad.</t>
  </si>
  <si>
    <t>Escoger un Objetivo de Gestión PMDOT</t>
  </si>
  <si>
    <t xml:space="preserve">Definir la secuencia de acuerdo a las categorías establecidas. </t>
  </si>
  <si>
    <t>Gestión de Gasto Permanente 
/
Proyecto de Inversión</t>
  </si>
  <si>
    <t>Establecer las Actividades necesarias por componente</t>
  </si>
  <si>
    <t>Establecer las Actividades necesarias por gestión.</t>
  </si>
  <si>
    <t>Poner: Gestión de talento humano</t>
  </si>
  <si>
    <t>Poner: Gestión administrativa</t>
  </si>
  <si>
    <t>Meta 2025</t>
  </si>
  <si>
    <t>100% de Índice de productividad alcanzado al 2025</t>
  </si>
  <si>
    <t>Se recomienda seleccionar: Acumulativa</t>
  </si>
  <si>
    <t>Establecer la fórmula de cálculo por cada meta, se recomienda "Sumatoria"</t>
  </si>
  <si>
    <t>TIPO DE PLAN</t>
  </si>
  <si>
    <t>Valor de Meta PMDOT anualizada para 2025</t>
  </si>
  <si>
    <t>Se registra el monto total en dólares para el año por partida presupuestaria. Este debe ser igual a la sumatoria de Asignación Municipal y Fondos Propios.</t>
  </si>
  <si>
    <t>Registrar el monto total en dólares de Fondos Propios esperados por partida presupuestaria.</t>
  </si>
  <si>
    <t>Registrar el monto  total en dólares de Asignación Municipal por partida presupuestaria</t>
  </si>
  <si>
    <t>Establecer por cada partida, el monto a devengar en cada mes. Esta calendarización de presupuesto debe estar acorde de los plazos de procesos de contratación.</t>
  </si>
  <si>
    <t>Establecer Metas Misionales  relacionadas con productos finales del estatuto.</t>
  </si>
  <si>
    <t>Seleccionar la Meta PMDOT a la que aportará el proyecto, y establecer el valor esperado para el año 2025.             
Esta sección la debe registrar la Secretaria Rectora.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</si>
  <si>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</si>
  <si>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t>SI / NO
(Si la respuesta es SI, regirstrar la sección Obras)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</si>
  <si>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</si>
  <si>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</si>
  <si>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Entidad Responsable</t>
  </si>
  <si>
    <t>Entidad Ejecutora</t>
  </si>
  <si>
    <t xml:space="preserve">Objetivo Operativo 
/
Objetivo de Gestión PMDOT
</t>
  </si>
  <si>
    <t>Meta PMDOT al 2033</t>
  </si>
  <si>
    <t>Valor de la Meta PMDOT anualizada para 2025</t>
  </si>
  <si>
    <t>N/A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</si>
  <si>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</si>
  <si>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</si>
  <si>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</si>
  <si>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</si>
  <si>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</si>
  <si>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</si>
  <si>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</si>
  <si>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</si>
  <si>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</si>
  <si>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</si>
  <si>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</si>
  <si>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</si>
  <si>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Ambiente</t>
  </si>
  <si>
    <t>Comunicación</t>
  </si>
  <si>
    <t>Coordinación Territorial, Gobernabilidad y Participación</t>
  </si>
  <si>
    <t>Cultura</t>
  </si>
  <si>
    <t>Desarrollo Económico y Productivo</t>
  </si>
  <si>
    <t>Educación, Recreación y Deporte</t>
  </si>
  <si>
    <t>Gobierno Digital y TIC</t>
  </si>
  <si>
    <t>Hábitat y Ordenamiento Territorial</t>
  </si>
  <si>
    <t>Inclusión Social</t>
  </si>
  <si>
    <t>Movilidad</t>
  </si>
  <si>
    <t>Planificación</t>
  </si>
  <si>
    <t>Salud</t>
  </si>
  <si>
    <t>Seguridad Ciudadana y Gestión de Riegos</t>
  </si>
  <si>
    <t>Administración General</t>
  </si>
  <si>
    <t>Secretaría de Ambiente</t>
  </si>
  <si>
    <t>Registro de la Propiedad</t>
  </si>
  <si>
    <t>Secretaría de Comunicación</t>
  </si>
  <si>
    <t>EPMAPS</t>
  </si>
  <si>
    <t>Secretaría de Coordinación Territorial, Gobernabilidad y Participación</t>
  </si>
  <si>
    <t>EPM Aseo</t>
  </si>
  <si>
    <t>Secretaría de Cultura</t>
  </si>
  <si>
    <t>EPMGIRS</t>
  </si>
  <si>
    <t>Secretaría de Desarrollo Económico y Productivo</t>
  </si>
  <si>
    <t>Fondo Ambiental</t>
  </si>
  <si>
    <t>Secretaría de Educación, Recreación y Deporte</t>
  </si>
  <si>
    <t>Secretaría de Gobierno Digital y TIC</t>
  </si>
  <si>
    <t>Secretaría de Hábitat y Ordenamiento Territorial</t>
  </si>
  <si>
    <t>Administración Zonal Calderón</t>
  </si>
  <si>
    <t>Secretaría de Inclusión Social</t>
  </si>
  <si>
    <t>Administración Zonal del Choco Andino</t>
  </si>
  <si>
    <t>Secretaría de Movilidad</t>
  </si>
  <si>
    <t>Administración Zonal Eloy Alfaro (Sur)</t>
  </si>
  <si>
    <t>Secretaría de Salud</t>
  </si>
  <si>
    <t>Administración Zonal Equinoccial (La Delicia)</t>
  </si>
  <si>
    <t>Secretaría General de Planificación</t>
  </si>
  <si>
    <t>Administración Zonal Eugenio Espejo (Norte)</t>
  </si>
  <si>
    <t>Secretaría General de Seguridad Ciudadana y Gestión de Riesgos</t>
  </si>
  <si>
    <t>Administración Zonal La Mariscal</t>
  </si>
  <si>
    <t>Administración Zonal Manuela Sáenz (Centro)</t>
  </si>
  <si>
    <t>Administración Zonal Quitumbe</t>
  </si>
  <si>
    <t>Administración Zonal Tumbaco</t>
  </si>
  <si>
    <t>Administración Zonal Valle de los Chillos</t>
  </si>
  <si>
    <t>Fundación Museos de la Ciudad</t>
  </si>
  <si>
    <t>Fundación Teatro Nacional Sucre</t>
  </si>
  <si>
    <t>Agencia de Coordinación Distrital de Comercio</t>
  </si>
  <si>
    <t>Corporación de Promoción Económica, CONQUITO</t>
  </si>
  <si>
    <t>EPM Gestión de Destino Turístico</t>
  </si>
  <si>
    <t>EPM Mayorista</t>
  </si>
  <si>
    <t>EPM Rastro</t>
  </si>
  <si>
    <t>EPMSA</t>
  </si>
  <si>
    <t>Colegio Benalcázar</t>
  </si>
  <si>
    <t>Colegio Fernández Madrid</t>
  </si>
  <si>
    <t>Instituto de Capacitación Municipal</t>
  </si>
  <si>
    <t>Unidad Educativa Bicentenario</t>
  </si>
  <si>
    <t>Unidad Educativa Espejo</t>
  </si>
  <si>
    <t>Unidad Educativa Julio E. Moreno</t>
  </si>
  <si>
    <t>Unidad Educativa Oswaldo Lombeyda</t>
  </si>
  <si>
    <t>Unidad Educativa Quitumbe</t>
  </si>
  <si>
    <t>Unidad Educativa San Francisco de Quito</t>
  </si>
  <si>
    <t>Unidad Educativa Sucre</t>
  </si>
  <si>
    <t>Secretaría de Gobierno Digital y Tecnologías de la Información y Comunicaciones</t>
  </si>
  <si>
    <t>EPM Hábitat y Vivienda</t>
  </si>
  <si>
    <t>Instituto Metropolitano de Patrimonio</t>
  </si>
  <si>
    <t>Unidad Especial Regula tu Barrio</t>
  </si>
  <si>
    <t>Consejo de Protección de Derechos del DMQ</t>
  </si>
  <si>
    <t>Unidad Patronato Municipal San José (*)</t>
  </si>
  <si>
    <t>Agencia Metropolitana de Tránsito</t>
  </si>
  <si>
    <t>EPM Metro de Quito</t>
  </si>
  <si>
    <t>EPM Transporte de Pasajeros</t>
  </si>
  <si>
    <t>EPMMOP</t>
  </si>
  <si>
    <t>Alcaldía Metropolitana (**)</t>
  </si>
  <si>
    <t>Auditoría Interna Metropolitana (**)</t>
  </si>
  <si>
    <t>Dirección Metropolitana de Relaciones Internacionales (**)</t>
  </si>
  <si>
    <t>Instituto de Investigaciones de la Ciudad</t>
  </si>
  <si>
    <t>Procuraduría Metropolitana (**)</t>
  </si>
  <si>
    <t>Quito Honesto (**)</t>
  </si>
  <si>
    <t>Secretaría General del Concejo (**)</t>
  </si>
  <si>
    <t>Unidad de Bienestar Animal</t>
  </si>
  <si>
    <t>Unidad Municipal de Salud Centro</t>
  </si>
  <si>
    <t>Unidad Municipal de Salud Norte</t>
  </si>
  <si>
    <t>Unidad Municipal de Salud Sur</t>
  </si>
  <si>
    <t>Agencia Metropolitana de Control (***)</t>
  </si>
  <si>
    <t>Cuerpo de Agentes de Control Metropolitano</t>
  </si>
  <si>
    <t>Cuerpo de Bomberos de Quito</t>
  </si>
  <si>
    <t>EPM Seguridad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</si>
  <si>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</si>
  <si>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</si>
  <si>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</si>
  <si>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</si>
  <si>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</si>
  <si>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</si>
  <si>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</si>
  <si>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</si>
  <si>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</si>
  <si>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Reducir en 2.8 millones las emisiones de CO2 equivalente (huella de carbono) en el DMQ, al 2033.</t>
  </si>
  <si>
    <t>Articular el 100% de los servicios sociales de cuidados, protección y prevención de violencia con pertinencia territorial enmarcados en la Red Metropolitana de protección social, al 2033.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</si>
  <si>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</si>
  <si>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Incrementar al 20% los espacios públicos con agendas culturales que potencian la convivencia ciudadana en la diversidad cultural, al 2033</t>
  </si>
  <si>
    <t>Incrementar en 34% el número de estudiantes matriculados en programas de educación municipal inclusiva, al 2033, respecto de los matriculados en 2023.</t>
  </si>
  <si>
    <t>Alcanzar el 12% de la PEA del DMQ con acciones de vinculación laboral, al 2033</t>
  </si>
  <si>
    <t>Incrementar en un 100% la cantidad de operativos interinstitucionales coordinados en apoyo a la seguridad y convivencia ciudadana en el DMQ, al 2033</t>
  </si>
  <si>
    <t>Alcanzar el 80% de restauración del sistema de espacios verdes urbanos, al 2033.</t>
  </si>
  <si>
    <t>Incrementar al 35% las acciones para la atención integral de emergencias (protocolos, infraestructura, equipamiento, insumos, personal especializados en el DMQ, al 2033</t>
  </si>
  <si>
    <t>Incrementar al 80% el cumplimiento de estándares de calidad y seguridad del paciente, en  los establecimientos de salud del DMQ, al 2033</t>
  </si>
  <si>
    <t>Incrementar la conectividad activa de internet gratuito municipal a 4.300 espacios públicos del  DMQ, al 2033</t>
  </si>
  <si>
    <t>Incrementar al 85% los espacios públicos del patrimonio cultural del DMQ conservados al 2033.</t>
  </si>
  <si>
    <t>Incrementar al 10% la cobertura de tratamiento de aguas residuales en el DMQ, al 2033</t>
  </si>
  <si>
    <t>Reducir en 50% el número de personas fallecidas en siniestros viales, al 2033.</t>
  </si>
  <si>
    <t>Reducir en al menos 9 días el tiempo promedio de atención de los 5 trámites más demandados por el sector productivo del DMQ, al 2033</t>
  </si>
  <si>
    <t>Incrementar 10 mercados que fomentan las industrias creativas en el DMQ, al 2033.</t>
  </si>
  <si>
    <t>Mantener el 100% del modelo de gestión articulado con acciones intersectoriales que potencien el desarrollo rural con identidad territorial en los 33 gobiernos parroquiales rurales, al 2033.</t>
  </si>
  <si>
    <t>Financiar con capital semilla al 25% de emprendimientos registrados al 2033.</t>
  </si>
  <si>
    <t>Alcanzar que el 20% de las organizaciones de la Economía Popular y Solidaria del DMQ estén fortalecidas, al 2033</t>
  </si>
  <si>
    <t>Incrementar al 96% el número de trámites que se pueden realizar de manera automatizada en el DMQ, al 2033.</t>
  </si>
  <si>
    <t>Incrementar en 5000 ciudadanos sensibilizados que aplican enfoques integrales de manejo en las áreas protegidas del Subsistema Metropolitano de Áreas Protegidas al 2033.</t>
  </si>
  <si>
    <t>Implementar las "Escuelas de Participación ciudadana" en todas las parroquias urbanas y rurales del DMQ, al 2033.</t>
  </si>
  <si>
    <t>Incrementar a 8,70 puntos el rendimiento escolar promedio de las Instituciones Educativas Municipales en una mejora integral y que promueva la calidad educativa, al 2033</t>
  </si>
  <si>
    <t>Alcanzar que al menos el 60% de intervenciones del GAD DMQ que incorporan el enfoque de género para promover los derechos de las mujeres en todas sus diversidades al 2033</t>
  </si>
  <si>
    <t>Incrementar al 60% el aprovechamiento de residuos sólidos del DMQ, al 2033.</t>
  </si>
  <si>
    <t>Alcanzar el 3,8/5,0 en la experiencia de viaje en el transporte público, al 2033</t>
  </si>
  <si>
    <t>Alcanzar el 99% del total de la población del DMQ con cobertura de agua potable, al 2033</t>
  </si>
  <si>
    <t>Alcanzar el 98% del total de la población del DMQ con cobertura de alcantarillado, al 2033</t>
  </si>
  <si>
    <t>Alcanzar 237 KM de ciclovías en el DMQ, al 2033.</t>
  </si>
  <si>
    <t>Incrementar a 5 soluciones viales en el DMQ que mejoren las condiciones de circulación, conectividad y accesibilidad, al 2033.</t>
  </si>
  <si>
    <t>Reducir el 20% de animales de compañía en condiciones de calle dentro del DMQ, contribuyendo al bienestar animal, al 2033</t>
  </si>
  <si>
    <t>Adecuar 2.000.000 m2 de redes peatonales inclusivas que favorezcan la movilidad peatonal en el DMQ, al 2033</t>
  </si>
  <si>
    <t>Alcanzar que el 15% de emprendimientos financiados superen los 3 años de operación, al 2033.</t>
  </si>
  <si>
    <t>Incrementar al 70% la cobertura de servicios de recolección diferenciada en el DMQ, al 2033.</t>
  </si>
  <si>
    <t>Alcanzar que el 25% de los habitantes de las zonas priorizadas implementen medidas de reducción de riesgos (SAT-medidas estructurales y no estructurales de mitigación) del DMQ, al 2033</t>
  </si>
  <si>
    <t>Alcanzar 5.750 estudiantes beneficiarios por los talleres de extracurriculares (Cultura, Deportes, Tecnología y Robótica) que se implementan en las Instituciones Educativas Municipales,  al 2033</t>
  </si>
  <si>
    <t>Alcanzar el 60% de la flota de transporte público del subsistema Metrobús Q con tecnología limpia, al 2033</t>
  </si>
  <si>
    <t>Incrementar al 88% la calificación del servicio municipal, al 2033</t>
  </si>
  <si>
    <t>Incrementar al menos el 2% anual el número de  licencias de habilitación de suelo y actividades económicas emitidas en centralidades planificadas, al 2033</t>
  </si>
  <si>
    <t>Incrementar suelo urbano sin superar el 100% de las áreas previstas en el PUGS como suelo rural de expansión urbana, al 2033</t>
  </si>
  <si>
    <t xml:space="preserve">Alcanzar la certificación de "municipio saludable" para el DMQ al 2033 </t>
  </si>
  <si>
    <t>Implementar el 100% del proyecto extensión del Metro a la Ofelia, al 2033</t>
  </si>
  <si>
    <t>Incrementar al 70% las hectáreas gestionadas de manera sostenible, del Subsistema Metropolitano de Áreas Protegidas del DMQ, al 2033.</t>
  </si>
  <si>
    <t>Incrementar al 15% el número de personas del DMQ que realizan actividades deportivas y recreativas por eventos organizados por el GAD DMQ, al 2033.</t>
  </si>
  <si>
    <t>Alcanzar 1,5 millones de visitantes no residentes, al 2033</t>
  </si>
  <si>
    <t>Alcanzar el 100% de quebradas priorizadas, con intervenciones integrales, en el DMQ, al 2033.</t>
  </si>
  <si>
    <t xml:space="preserve">Alcanzar el 100% de regularización de asentamientos humanos de hecho identificados, al 2033 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</si>
  <si>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</si>
  <si>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Incrementar al 80% la programación de la Red Metropolitana de Cultura que incorpora herramientas contra la desigualdad y la discriminación, al 2033.</t>
  </si>
  <si>
    <t xml:space="preserve">Incrementar la cobertura de atención integral en salud mental al 100%, con enfoque de derechos y equidad para la población de responsabilidad municipal del DMQ, al 2033  </t>
  </si>
  <si>
    <t>Incrementar al 100% las parroquias urbanas y rurales cubiertas con actividades artístico - culturales, para el pleno ejercicio de los derechos culturales, al 2033.</t>
  </si>
  <si>
    <t>Quito ciudad verde azul</t>
  </si>
  <si>
    <t>Quito te cuida</t>
  </si>
  <si>
    <t>Quito transparente y eficiente</t>
  </si>
  <si>
    <t>Quito cultura y patrimonio</t>
  </si>
  <si>
    <t>Quito te proyecta</t>
  </si>
  <si>
    <t>Quito fomenta el trabajo</t>
  </si>
  <si>
    <t>Quito hábitat digno y seguro</t>
  </si>
  <si>
    <t>Quito participa</t>
  </si>
  <si>
    <t>Quito productivo y competitivo</t>
  </si>
  <si>
    <t>Quito espacio público y ciudadanías</t>
  </si>
  <si>
    <t xml:space="preserve">Quito con movilidad segura </t>
  </si>
  <si>
    <t>Quito de las y los emprendedores</t>
  </si>
  <si>
    <t>Quito te integra</t>
  </si>
  <si>
    <t>Quito con movilidad sostenible</t>
  </si>
  <si>
    <t>Plan Anual de Gasto Permanente</t>
  </si>
  <si>
    <t>Porcentaje de realización de evaluaciones de desempeño.</t>
  </si>
  <si>
    <t>100% de evaluaciones de desempeño realizadas al 2025.</t>
  </si>
  <si>
    <t>Número de servidores evaluados / Total servidores.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</si>
  <si>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</si>
  <si>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</si>
  <si>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</si>
  <si>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 xml:space="preserve">100% de Índice de productividad al 2025. Fórmula: Unidades producidas / Unidades programadas. </t>
  </si>
  <si>
    <t>Índice de Satisfacción del Cliente</t>
  </si>
  <si>
    <t xml:space="preserve">100% de Índice de Satisfacción del cliente, al 2025. </t>
  </si>
  <si>
    <t>Clientes satisfechos / # Clientes.</t>
  </si>
  <si>
    <t>Discreta</t>
  </si>
  <si>
    <t>No</t>
  </si>
  <si>
    <t>Si</t>
  </si>
  <si>
    <t>3.1. Brindar servicios de calidad y atender de manera eficiente las necesidades de la población.</t>
  </si>
  <si>
    <t>Arrastre.</t>
  </si>
  <si>
    <t xml:space="preserve">Vigencia extendida. </t>
  </si>
  <si>
    <t>Plurianual Preexistente</t>
  </si>
  <si>
    <t>Anual Nuevo.</t>
  </si>
  <si>
    <t>Plurianual Nuevo</t>
  </si>
  <si>
    <t>Inversión Sectorial</t>
  </si>
  <si>
    <t>Acción climática para la reducción de la huella de carbono y de la vulnerabilidad en el DMQ</t>
  </si>
  <si>
    <t>Acompañamiento especializado a familias en situación de extrema pobreza mediante visitas domiciliarias y redes de apoyo quito ciudad cuidadora</t>
  </si>
  <si>
    <t>Adecuación de la radio municipal en las instalaciones del parque bicentenario</t>
  </si>
  <si>
    <t>Administración financiera</t>
  </si>
  <si>
    <t>Adolescentes informados en sexualidad responsable</t>
  </si>
  <si>
    <t>Agenda cultural metropolitana</t>
  </si>
  <si>
    <t>Ampliación de la oferta educativa extraordinaria</t>
  </si>
  <si>
    <t>Ampliación de oportunidades de empleabilidad a través de programas de capacitación y de orientación laboral</t>
  </si>
  <si>
    <t>Apoyo logístico a las entidades del sistema integrado de seguridad</t>
  </si>
  <si>
    <t>Arbolado urbano y conformación de interconexión de los corredores de la red verde urbana</t>
  </si>
  <si>
    <t>Atención a habitantes de calle</t>
  </si>
  <si>
    <t>Atención a la primera infancia</t>
  </si>
  <si>
    <t>Atención de emergencias en el DMQ</t>
  </si>
  <si>
    <t>Atención e inclusión social de niña/os y adolescentes en situación de trabajo infantil y mendicidad</t>
  </si>
  <si>
    <t>Atención integral a sobrevivientes y víctimas de violencias – Quito ciudad libre de violencia</t>
  </si>
  <si>
    <t>Atención integral de salud</t>
  </si>
  <si>
    <t>Atención integral en adicciones</t>
  </si>
  <si>
    <t>Atención psicopedagógica integral para estudiantes con necesidades educativas especiales de instituciones educativas</t>
  </si>
  <si>
    <t>Atención, prevención y protección de violencia intrafamiliar, género, maltrato infantil y violencia sexual</t>
  </si>
  <si>
    <t>Automatización y sistematización de los procesos de la agencia metropolitana de control</t>
  </si>
  <si>
    <t>Centro de análisis y monitoreo para la agencia metropolitana de control</t>
  </si>
  <si>
    <t>Centros comunitarios somos quito</t>
  </si>
  <si>
    <t>Conectividad activa a internet gratuito</t>
  </si>
  <si>
    <t>Conservación de bienes muebles culturales del DMQ</t>
  </si>
  <si>
    <t>Conservación de edificaciones patrimoniales para equipamientos de servicios de gestión local y social en el DMQ.</t>
  </si>
  <si>
    <t>Conservación de la arquitectura religiosa en el DMQ</t>
  </si>
  <si>
    <t>Conservación del espacio público en el CHQ y las parroquias urbanas y rurales del DMQ</t>
  </si>
  <si>
    <t>Conservación integral de los bienes patrimoniales en las áreas históricas de las parroquias urbanas y rurales del DMQ</t>
  </si>
  <si>
    <t>Desarrollar el sistema de gestión de la información ambiental (SGIA) del gobierno autónomo descentralizado del distrito metropolitano de quito</t>
  </si>
  <si>
    <t>Desarrollo de capacidades del talento humano del municipio del distrito metropolitano de quito</t>
  </si>
  <si>
    <t>Desarrollo de estrategia productiva local</t>
  </si>
  <si>
    <t>Descontaminación de ríos y quebradas del DMQ</t>
  </si>
  <si>
    <t>Difusión de la gestión institucional</t>
  </si>
  <si>
    <t>Diseño e implementación del nuevo sistema de gestión catastral</t>
  </si>
  <si>
    <t>Educación ambiental para el desarrollo sostenible y buenas prácticas ambientales para el DMQ</t>
  </si>
  <si>
    <t>Espacios verdes</t>
  </si>
  <si>
    <t>Fomento de la convivencia, seguridad ciudadana y gestión de riesgos en el territorio</t>
  </si>
  <si>
    <t>Fomento de la seguridad vial y control de tránsito en el distrito metropolitano de quito</t>
  </si>
  <si>
    <t>Fomento del entorno productivo y competitivo en el DMQ</t>
  </si>
  <si>
    <t>Fomento del entorno productivo y competitivo territorial en el distrito metropolitano de quito</t>
  </si>
  <si>
    <t>Fomento y protección de la diversidad cultural</t>
  </si>
  <si>
    <t>Fortalecimiento a parroquias rurales y comunas</t>
  </si>
  <si>
    <t>Fortalecimiento de capacidades para el emprendimiento y el empleo en el DMQ</t>
  </si>
  <si>
    <t>Fortalecimiento de la generación de políticas públicas en el DMQ a través de estudios de investigación sobre la ciudad</t>
  </si>
  <si>
    <t>Fortalecimiento de la gestión catastral</t>
  </si>
  <si>
    <t>Fortalecimiento de la gestión integral del subsistema de salud en la red metropolitana de salud del distrito metropolitano de quito</t>
  </si>
  <si>
    <t>Fortalecimiento de la infraestructura física del mercado mayorista de quito</t>
  </si>
  <si>
    <t>Fortalecimiento de la infraestructura tecnológica y seguridades del GAD-DMQ-DMI</t>
  </si>
  <si>
    <t>Fortalecimiento de la infraestructura y espacio público</t>
  </si>
  <si>
    <t>Fortalecimiento de los servicios inclusivos y redes de apoyo para personas con discapacidad y sus familias</t>
  </si>
  <si>
    <t>Fortalecimiento del gobierno digital para convertir al distrito metropolitano de quito en una ciudad inteligente y sostenible</t>
  </si>
  <si>
    <t>Fortalecimiento del sistema metropolitano de áreas protegidas</t>
  </si>
  <si>
    <t>Fortalecimiento del sistema municipal de faenamiento</t>
  </si>
  <si>
    <t>Fortalecimiento e intervención integral en el espacio público de las áreas históricas en las parroquias urbanas y rurales del DMQ</t>
  </si>
  <si>
    <t>Fortalecimiento integral del sistema de participación ciudadana y control social</t>
  </si>
  <si>
    <t>Fortalecimiento para la innovación y la tecnología en el DMQ</t>
  </si>
  <si>
    <t>Fortalecimiento pedagógico</t>
  </si>
  <si>
    <t>Fortalecimiento y ampliación de los servicios de cuidados para las personas adultas mayores para promover su autonomía</t>
  </si>
  <si>
    <t>Fortalecimiento y ampliación de los servicios de desarrollo infantil integral</t>
  </si>
  <si>
    <t>Fortalecimiento y modernización integral de quito honesto para potenciar los servicios y gestión de la entidad</t>
  </si>
  <si>
    <t>Garantía de protección de derechos</t>
  </si>
  <si>
    <t>Gastos administrativos</t>
  </si>
  <si>
    <t>Gestión administrativa</t>
  </si>
  <si>
    <t>Gestión de auditoría interna metropolitana</t>
  </si>
  <si>
    <t>Gestión de la EPMSA</t>
  </si>
  <si>
    <t>Gestión de la procuraduría metropolitana</t>
  </si>
  <si>
    <t>Gestión de la seguridad del aeropuerto</t>
  </si>
  <si>
    <t>Gestión de residuos no peligrosos</t>
  </si>
  <si>
    <t>Gestión del registro, inventario, investigación y puesta en valor del patrimonio cultural del DMQ</t>
  </si>
  <si>
    <t>Gestión del talento humano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</si>
  <si>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</si>
  <si>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</si>
  <si>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</si>
  <si>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</si>
  <si>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</si>
  <si>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</si>
  <si>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</si>
  <si>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</si>
  <si>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</si>
  <si>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</si>
  <si>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</si>
  <si>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comunitaria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</si>
  <si>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</si>
  <si>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</si>
  <si>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</si>
  <si>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</si>
  <si>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</si>
  <si>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</si>
  <si>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</si>
  <si>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</si>
  <si>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</si>
  <si>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</si>
  <si>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</si>
  <si>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</si>
  <si>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</si>
  <si>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</si>
  <si>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</si>
  <si>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</si>
  <si>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</si>
  <si>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</si>
  <si>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</si>
  <si>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</si>
  <si>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</si>
  <si>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</si>
  <si>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</si>
  <si>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</si>
  <si>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</si>
  <si>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</si>
  <si>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</si>
  <si>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</si>
  <si>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</si>
  <si>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</si>
  <si>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</si>
  <si>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</si>
  <si>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</si>
  <si>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</si>
  <si>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</si>
  <si>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</si>
  <si>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</si>
  <si>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</si>
  <si>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</si>
  <si>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</si>
  <si>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</si>
  <si>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</si>
  <si>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</si>
  <si>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</si>
  <si>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</si>
  <si>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</si>
  <si>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</si>
  <si>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</si>
  <si>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</si>
  <si>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</si>
  <si>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</si>
  <si>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</si>
  <si>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</si>
  <si>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</si>
  <si>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</si>
  <si>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</si>
  <si>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</si>
  <si>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</si>
  <si>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</si>
  <si>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</si>
  <si>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</si>
  <si>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</si>
  <si>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</si>
  <si>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</si>
  <si>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</si>
  <si>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</si>
  <si>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Tipo de obra</t>
  </si>
  <si>
    <t>Vivienda</t>
  </si>
  <si>
    <t>Agua potable</t>
  </si>
  <si>
    <t>Espacio público</t>
  </si>
  <si>
    <t>Metro de Quito</t>
  </si>
  <si>
    <t>Movilidad y transporte</t>
  </si>
  <si>
    <t>Otras intervenciones institucionales</t>
  </si>
  <si>
    <t>Residuos y desechos</t>
  </si>
  <si>
    <t>Saneamiento</t>
  </si>
  <si>
    <t>1. Elaboración de diseños y estudios</t>
  </si>
  <si>
    <t>2. Contratación en el portal de compras públicas</t>
  </si>
  <si>
    <t>3. Expropiaciones</t>
  </si>
  <si>
    <t>4. Ejecución de la obra física</t>
  </si>
  <si>
    <t>5. Acta entrega recepción provisional</t>
  </si>
  <si>
    <t>6. Obra para inauguración</t>
  </si>
  <si>
    <t>Plan Anual de Gasto Permanente (PGP)</t>
  </si>
  <si>
    <t>Porcentaje de evaluaciones de desempeño</t>
  </si>
  <si>
    <t>Realizar el 100% de evaluaciones de desempeño al 2025</t>
  </si>
  <si>
    <t>Adjudicar el 100% de procesos del PAC de gasto corriente adjudicados al 2025</t>
  </si>
  <si>
    <t>Adjudicar el 100% de procesos del PAC de gasto corriente al 2025.</t>
  </si>
  <si>
    <t>ESTRUCTURA GENERAL DE LA MATRIZ POA</t>
  </si>
  <si>
    <t>PROYECTOS DE INVERSIÓN</t>
  </si>
  <si>
    <t xml:space="preserve">¿La actividad es tipo obra?
(SI o NO) </t>
  </si>
  <si>
    <t>Nombre de la Actividad</t>
  </si>
  <si>
    <t>Alcaldía Metropolitana y Secretaría de Concejo</t>
  </si>
  <si>
    <t>Alcanzar 280.000 personas capacitadas  en competencias digitales para la población del DMQ, al 2033.</t>
  </si>
  <si>
    <t>Alcanzar el 100% de acciones intersectoriales implementadas de desarrollo rural con identidad territorial en los 33 gobiernos parroquiales rurales, al 2033.</t>
  </si>
  <si>
    <t>Alcanzar el 100% de administraciones zonales con sistemas de cuidado implementados, al 2033</t>
  </si>
  <si>
    <t>Alcanzar el 100% de la construcción del complejo ambiental en el DMQ, al 2033.</t>
  </si>
  <si>
    <t>Alcanzar el 100% del cierre técnico del Relleno Sanitario del DMQ, al 2033.</t>
  </si>
  <si>
    <t xml:space="preserve">Alcanzar el 32% de las zonas de interés hídrico del DMQ, con acciones de protección y conservación, en el DMQ, al 2033. </t>
  </si>
  <si>
    <t>Incrementar al 25% los habitantes del DMQ que se involucren activamente en procesos de participación y formación ciudadana en el marco de equidad e inclusión social, al 2033</t>
  </si>
  <si>
    <t>Incrementar anualmente en 5% el índice de eficiencia de la gestión municipal al 2033</t>
  </si>
  <si>
    <t>Incrementar en 10% las personas del DMQ que se involucran en acciones de promoción de derechos en el marco del sistema de protección integral respecto al total de personas involucradas, al 2033</t>
  </si>
  <si>
    <t>Incrementar hasta el 40%  la relación entre ingresos tributarios por impuestos  y el total de ingresos del GADDMQ, al 2033</t>
  </si>
  <si>
    <t>Incrementar la inversión en el predio del Aeropuerto Internacional Mariscal Sucre (AIMS) en 50 millones de dólares, al 2033.</t>
  </si>
  <si>
    <t>No aplica</t>
  </si>
  <si>
    <t>OBJETIVOS DE GESTION PMDOT</t>
  </si>
  <si>
    <t>Tipo de Plan</t>
  </si>
  <si>
    <t>Temporalidad</t>
  </si>
  <si>
    <t>Meta 2026</t>
  </si>
  <si>
    <t>Fecha de Inicio</t>
  </si>
  <si>
    <t>Fecha Fin</t>
  </si>
  <si>
    <t>Nombre de la Tarea</t>
  </si>
  <si>
    <t>TAREA</t>
  </si>
  <si>
    <t>Fuente de Financiamiento</t>
  </si>
  <si>
    <t>Presupuesto 2026 Anual</t>
  </si>
  <si>
    <t>MATRIZ POA 2026</t>
  </si>
  <si>
    <t>Composición del Gasto</t>
  </si>
  <si>
    <t>Objetivo Operativo /
Objetivo de Gestión PMDOT</t>
  </si>
  <si>
    <t>Gestión de Gasto Permanente /
Proyecto de Inversión</t>
  </si>
  <si>
    <t>Quito Destino Turístico Inteligente</t>
  </si>
  <si>
    <t>Nuevo</t>
  </si>
  <si>
    <t>Plurianual</t>
  </si>
  <si>
    <t>Gestión de Producción</t>
  </si>
  <si>
    <t>Provisión de Bienes y servicios para la correcta operatividad de la Empresa</t>
  </si>
  <si>
    <t>Ejecución de actividades que permitan el desarrollo del turismo sostenible y la conversión del DMQ en destino turístico inteligente.</t>
  </si>
  <si>
    <t>Aseguramiento del cumplimiento de las actividades y servicios institucionales mediante la gestión del talento humano</t>
  </si>
  <si>
    <t>Implementación de acciones participativas con la industria turística y de eventos de gran impacto para la promoción y posicionamiento de Quito como Destino Turístico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</si>
  <si>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</si>
  <si>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</si>
  <si>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NO</t>
  </si>
  <si>
    <t>Adquisición de bienes y servicios para la operatividad, gestión financiera e infraestructura tecnológica de la empresa</t>
  </si>
  <si>
    <t>Gestión de servicios y provisión de recursos estratégicos para fortalecer la operación institucional y la sostenibilidad turística del Distrito Metropolitano de Quito</t>
  </si>
  <si>
    <t>Gestión de la nómina de la Empresa</t>
  </si>
  <si>
    <t>Acciones de promoción para el posicionamiento del DMQ como destino turístico de negocios y atracción de grandes eventos</t>
  </si>
  <si>
    <t>Gestión, asesoría y asistencia para el fortalecimiento de capacidades e intercambios de experiencias para gestores turísticos del territorio</t>
  </si>
  <si>
    <t>Desarrollo y Mercadeo del Destino, clusters  y Productos Turísticos</t>
  </si>
  <si>
    <t>Programa de ferias eventos, congresos, reuniones, ruedas de negocios y otros para la colocación del Destino, clusters  y Productos Turísticos</t>
  </si>
  <si>
    <t>Estudios, investigaciones, información, datos y propuestas técnicas sobre la gestión del destino</t>
  </si>
  <si>
    <t>Planificación, diseño e implementación de estructuras y facilidades turísticas</t>
  </si>
  <si>
    <t>-</t>
  </si>
  <si>
    <t>Impulsar el desarrollo del turismo sostenible en el Distrito Metropolitano de Quito con la oferta de productos y servicios de calidad, innovadores y accesibles para residentes y y visitantes nacionales e internacionales.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</si>
  <si>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</si>
  <si>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726.313 visitantes no residentes al 2026</t>
  </si>
  <si>
    <t>Índice mensual de satisfacción del visitante no residente en el DMQ</t>
  </si>
  <si>
    <t xml:space="preserve">Incrementar al menos en 10,52% anual el monto de ventas del sector turisticos en eventos hitos </t>
  </si>
  <si>
    <t>Porcentaje de incremento en monto de ventas del sector turístico</t>
  </si>
  <si>
    <t>Sumatoria de las calificaciones de las preguntas de percepción realizadas a visitantes en los puntos de información turistica  / Total máximo de calificacióna alcanzar en la encuesta de satisfacción</t>
  </si>
  <si>
    <t>Número de servidores evaluados / Total de servidores</t>
  </si>
  <si>
    <t xml:space="preserve"> (Ventas 2026 - Ventas 2025)/Ventas 2025</t>
  </si>
  <si>
    <t>2024-2027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</si>
  <si>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</si>
  <si>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</si>
  <si>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Implementar y mantener las facilidades turísticas e infraestructura para la provisión de servicios turísticos accesibles a visitantes locales, nacionales y extranjeros (Accesibilidad)</t>
  </si>
  <si>
    <t>Desarrollo y mejoramiento de productos turísticos para la oferta y bienestar turístico del destino</t>
  </si>
  <si>
    <t>Coordinación y promoción  de acciones para la captación de grandes eventos nacionales e internacionales para el DMQ</t>
  </si>
  <si>
    <t>Desarrollo de Productos Turísticos</t>
  </si>
  <si>
    <t>Promoción de Quito como Destino Turistico en el ambito local, nacional e internacional</t>
  </si>
  <si>
    <t>Desarrollo del plan de promoción del destino en los mercados local, nacional e internacional vinculando a actores de la industria turistica.</t>
  </si>
  <si>
    <t>Gestión de Turismo de negocios y atracción de grandes eventos al destino Quito</t>
  </si>
  <si>
    <t>Gestión del registro turístico, profesionalización de los actores del sector y servicios de calidad turistica</t>
  </si>
  <si>
    <t>Acciones para  implementación del programa de calidad Turística a establecimiento turisticos adaptados a DTI</t>
  </si>
  <si>
    <t>Administración de unidades de negocio, infraestructura y alianzas relacionadas con la actividad turistica de la ciudad</t>
  </si>
  <si>
    <t>Administración de unidades de negocio, auspicios, alizanzas e infraestructura relacionadas con la actividad turistica de la ciudad</t>
  </si>
  <si>
    <t xml:space="preserve">Realizar el proceso administrativo para adquisición de tarjetas TCA </t>
  </si>
  <si>
    <t>Contratación del servicio de mantenimiento preventivo y correctivo de cámaras de seguridad con vigencia técnologica de la tienda Quito La Mariscal</t>
  </si>
  <si>
    <t>Servicio de rastreo satelital para los vehículos y motocicleta de la EPMGDT</t>
  </si>
  <si>
    <t>Actualización de licencia de un sistema jurídico de consulta.</t>
  </si>
  <si>
    <t>Contratación del Estudio Actuarial para Quito Turismo correspondiente al ejercicio fiscal 2025</t>
  </si>
  <si>
    <t>Adquisición de repuestos y accesorios para vehículos de la EPMGDT</t>
  </si>
  <si>
    <t>Contratación del servicio de mantenimiento preventivo y correctivo de los extintores de las instalaciones de la EPMGDT y sus dependencias</t>
  </si>
  <si>
    <t>Adquisición de ropa de trabajo para el personal de Código de Trabajo de la EPMGDT</t>
  </si>
  <si>
    <t>Servicio de provisión de combustible para el generador institucional de la EPMGDT - IVA</t>
  </si>
  <si>
    <t>Contratación del servicio de mantenimiento preventivo de cisterna y bombas de agua de las instalaciones de la EPMGDT</t>
  </si>
  <si>
    <t>Contratación del servicio de mantenimiento preventivo y correctivo de cámaras de seguridad de la EPMGDT y sus dependencias</t>
  </si>
  <si>
    <t>Contratación del servicio de mantenimiento preventivo y correctivo del transformador de las instalaciones de la EPMGDT</t>
  </si>
  <si>
    <t>Material de construcción</t>
  </si>
  <si>
    <t>Servicio de mantenimiento de control de accesos a la EPMGDT</t>
  </si>
  <si>
    <t>Servicio de mantenimiento preventivo y correctivo del sistema eléctrico del generador</t>
  </si>
  <si>
    <t>Servicio de conexión de datos Datalink.</t>
  </si>
  <si>
    <t xml:space="preserve">Adquisición de garantías y soporte del NAS y mantenimiento </t>
  </si>
  <si>
    <t>Mantenimiento de tablets con vigencia tecnológica</t>
  </si>
  <si>
    <t>Servicio de mantenimiento preventivo de computadores con vigencia tecnológica Asus</t>
  </si>
  <si>
    <t>Servicio de mantenimiento preventivo de computadores con vigencia tecnológica Lenovo</t>
  </si>
  <si>
    <t>Servicio de mantenimiento preventivo de computadores con vigencia tecnológica MAC</t>
  </si>
  <si>
    <t>Servicio de mantenimiento preventivo de impresoras con vigencia tecnológica</t>
  </si>
  <si>
    <t>Servicio Monitoreo de Medios de Comunicación para Determinar el Impacto de la Información Generada por Quito Servicio de Monitoreo de Información Televisión, Radio, Prensa Turismo 2025 – 2026</t>
  </si>
  <si>
    <t>Servicio de mantenimiento preventivo de computadores con vigencia tecnológica SpeedMind</t>
  </si>
  <si>
    <t>Adquisición de garantías y soporte para la central telefónica. Mantenimiento preventivo y correctivo de las central telefónica</t>
  </si>
  <si>
    <t>Revisión vehicular y matriculación del parque automotor de la EPMGDT / Peaje</t>
  </si>
  <si>
    <t>Servicio de flete y movilización</t>
  </si>
  <si>
    <t>Mantenimiento de scanner de alto rendimiento</t>
  </si>
  <si>
    <t>Mantenimiento preventivo de la solución de respaldos</t>
  </si>
  <si>
    <t>Renovación de la suscripción de la licencias de Business Inteligent</t>
  </si>
  <si>
    <t>Servicio de mantenimiento preventivo de computadores con vigencia tecnológica HP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</si>
  <si>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</si>
  <si>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</si>
  <si>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Contratación del servicio de agencias de viajes para la provisión de pasajes aéreos nacionales e internacionales para los servidores de la EPMGDT</t>
  </si>
  <si>
    <t>Gastos bancarios por comisiones de ventas realizadas con tarjetas de crédito en las Unidades de Negocio.</t>
  </si>
  <si>
    <t xml:space="preserve">Gestionar la contratación para el mantenimiento de equipos para producción audiovisual </t>
  </si>
  <si>
    <t>Adquisición de PDU para rack autocontenido</t>
  </si>
  <si>
    <t>Mantenimiento preventivo de equipos interactivos multimedia y equipos electronicos para el registro de informacion estadistica</t>
  </si>
  <si>
    <t>Adquisición de herramientas y accesorios tecnológicos</t>
  </si>
  <si>
    <t>Servicio Monitoreo de Medios de Comunicación para Determinar el Impacto de la Información Generada por Quito Servicio de Monitoreo de Información Televisión, Radio, Prensa Turismo 2026 - 2027</t>
  </si>
  <si>
    <t>Mantenimiento preventivo de equipos de la solución de networking</t>
  </si>
  <si>
    <t>Generar la nómina de la EPMGDT (alimentación)</t>
  </si>
  <si>
    <t>Servicio de impresión de blocks de formularios aplicados para actividades administrativas desarrolladas por la EPMGDT–Quito Turismo</t>
  </si>
  <si>
    <t>Generar la nómina de la EPMGDT (Compensación por Vacaciones No Gozadas por Cesación de Funciones)</t>
  </si>
  <si>
    <t>Generar la nómina de la EPMGDT (Horas Extraordinarias y Suplementarias)</t>
  </si>
  <si>
    <t>Adquisición de partes, piezas y/o repuestos de impresoras</t>
  </si>
  <si>
    <t>Generar la nómina de la EPMGDT (Décimo Cuarto Sueldo)</t>
  </si>
  <si>
    <t>Pago de Gastos Bancarios (Fideval)</t>
  </si>
  <si>
    <t>Contratación del servicio de mantenimiento preventivo y correctivo del ascensor de las instalaciones de la EPMGDT</t>
  </si>
  <si>
    <t>Pago de servicios básicos (agua potable)</t>
  </si>
  <si>
    <t>Pago de servicios básicos (telefonía fija)</t>
  </si>
  <si>
    <t>Servicio de provisión de combustible para el generador institucional de la EPMGDT</t>
  </si>
  <si>
    <t>Contratación del servicio de fumigación y desratización de las instalaciones de la EPMGDT  y sus dependencias</t>
  </si>
  <si>
    <t>Contratación del servicio de mantenimiento del mobiliario perteneciente a la EPMGDT</t>
  </si>
  <si>
    <t>Contratación del servicio de mantenimiento del sistema contraincendios de las instalaciones de la EPMGDT</t>
  </si>
  <si>
    <t>Contratación del servicio de mantenimiento preventivo y correctivo del sistema de aire acondicionado para las instalaciones de la EPMGDT</t>
  </si>
  <si>
    <t>Servicio de provisión de combustible para los vehículos de la EPMGDT</t>
  </si>
  <si>
    <t>Servicio de Auditoría CCMQ</t>
  </si>
  <si>
    <t>Renovación de hosting</t>
  </si>
  <si>
    <t>Renovación de la suscripción de las licencias de diseño asistido por computadoras (cad) diseño gráfico modelado en 3D</t>
  </si>
  <si>
    <t>Renovación de licencia de uso del programa geográfica GIS</t>
  </si>
  <si>
    <t>Renovar y actualizar licencias antivirus</t>
  </si>
  <si>
    <t>Renovación de la suscripción de las licencias de edición de video y diseño gráfico</t>
  </si>
  <si>
    <t>Beneficio de Guardería</t>
  </si>
  <si>
    <t>Renovación de la suscripción de licencia de la herramienta de envió masivo de correos electrónico</t>
  </si>
  <si>
    <t>Suscripción de herramientas de seguridad informática para el análisis y diseño de la seguridad de la información para la implementación del EGSI</t>
  </si>
  <si>
    <t>Generar la nómina de la EPMGDT (Fondos de Reserva)</t>
  </si>
  <si>
    <t>Generar la nómina de la EPMGDT (Décimo Tercer Sueldo)</t>
  </si>
  <si>
    <t>Adquisición suministros de oficina para la EPMGDT</t>
  </si>
  <si>
    <t>Contratación del servicio de mantenimiento preventivo y correctivo para el parque automotor de la EPMGDT</t>
  </si>
  <si>
    <t>Servicio de Agencia de Marketing Tradicional para el mercado local y nacional</t>
  </si>
  <si>
    <t>Adquisición de monitores</t>
  </si>
  <si>
    <t xml:space="preserve">Evaluación y preparación para la certificación de la seguridad de la información de un servicio de Quito Turismo </t>
  </si>
  <si>
    <t>Servicio de mantenimiento preventivo y correctivo de equipos informáticos y tecnológicos (computadores, escaners, proyectores impresoras, y otros)</t>
  </si>
  <si>
    <t>Generar la nómina de la EPMGDT (Encargos)</t>
  </si>
  <si>
    <t>Generar la nómina de la EPMGDT (Subrogación)</t>
  </si>
  <si>
    <t>Servicio de impresión de material POP para la estrategia de comunicación externa e interna.</t>
  </si>
  <si>
    <t>Contratación de Servicios Profesionales Médico Ocupacional</t>
  </si>
  <si>
    <t>Generar la nómina de la EPMGDT (Aporte Patronal)</t>
  </si>
  <si>
    <t>Contratación del servicio de inspección, identificación y funcionamiento de los circuitos de los tableros eléctricos de la EPMGDT</t>
  </si>
  <si>
    <t xml:space="preserve">Adquisición de UPS </t>
  </si>
  <si>
    <t>Contratación del servicio de arrendamiento de un espacio físico destinado para la tienda Quito – La Mariscal</t>
  </si>
  <si>
    <t>Servicio de agencia de marketing digital para la promoción y posicionamiento del Distrito Metropolitano de Quito</t>
  </si>
  <si>
    <t>Adquisición de suministros de impresión (toners) para la EPMGDT</t>
  </si>
  <si>
    <t>Pago de tasa de limpieza EMASEO</t>
  </si>
  <si>
    <t>Generar la nómina de la EPMGDT (Compensación por Desahucio)</t>
  </si>
  <si>
    <t>SERVICIOS DE CONSULTORÍA PARA IMPLEMENTACIÓN DE LA NORMA ISO 37001:2016 SISTEMAS DE GESTIÓN ANTISOBORNO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</si>
  <si>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</si>
  <si>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Pago de servicios básicos (energía eléctrica)</t>
  </si>
  <si>
    <t>Contribución 5 x mil</t>
  </si>
  <si>
    <t>Pago de impuestos (predial, contribuciones y tasas) de bienes inmuebles propiedad de la EPMGDT</t>
  </si>
  <si>
    <t>Renovación de la suscripción de herramientas ofimáticas colaborativas con correo electrónico</t>
  </si>
  <si>
    <t>Generar la nómina de la EPMGDT (Salarios Unificados)</t>
  </si>
  <si>
    <t>Contratación de póliza de seguro para los bienes muebles e inmuebles pertenecientes a la Empresa Pública Metropolitana de Gestión de Destino Turístico</t>
  </si>
  <si>
    <t>Mantenimiento de sistema contra incendios de la EPMDGT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</si>
  <si>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</si>
  <si>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Servicio de agencia de Publicidad especializada en pauta para difundir las acciones de Quito Turismo a nivel nacional, local e internacional 2025 - 2026</t>
  </si>
  <si>
    <t>Soporte y garantías técnicas solución ERP Olympo</t>
  </si>
  <si>
    <t>Servicio de capacitación turística para el sector turístico del Distrito Metropolitano de Quito</t>
  </si>
  <si>
    <t>Mantenimiento de edificios de la EPMGDT (fase 2)</t>
  </si>
  <si>
    <t>Realizar el proceso administrativo para la implementación y gestión de los puntos de Distribución de Contenidos en el DMQ.</t>
  </si>
  <si>
    <t>CONTRATACIÓN DEL SERVICIO DE ACTIVACIONES TURÍSTICAS PARA PROMOCIÓN DESTINO QUITO EN EL MERCADO LOCAL Y NACIONAL</t>
  </si>
  <si>
    <t>Servicio de Mantenimiento de facilidades turísticas en el DMQ</t>
  </si>
  <si>
    <t>Servicio de capacitación turística para el sector turístico del Distrito Metropolitano de Quito 2026-2027</t>
  </si>
  <si>
    <t>Servicio de Agencia de Marketing Tradicional para el mercado local y nacional 2026 - 2027</t>
  </si>
  <si>
    <t>Mantenimiento del sistema hidrosanitario (fase 1)</t>
  </si>
  <si>
    <t>Servicio de seguridad y vigilancia para las instalaciones de Quito Turismo y sus Dependencias 2025 - 2026</t>
  </si>
  <si>
    <t>Servicio de agencia de marketing digital para la promoción y posicionamiento del Distrito Metropolitano de Quito 2026-2027</t>
  </si>
  <si>
    <t>Generar la nómina de la EPMGDT (Servicios Personales por Contrato)</t>
  </si>
  <si>
    <t>Servicio de agencia de Publicidad especializada en pauta para difundir las acciones de Quito Turismo a nivel nacional, local e internacional 2026 - 2027</t>
  </si>
  <si>
    <t>Servicio de implementación de facilidades turísticas en el DMQ</t>
  </si>
  <si>
    <t>Suscripción al servicio de provisión de datos en línea para la gestión de servicios de inteligencia turística</t>
  </si>
  <si>
    <t>Promoción y posicionamiento turístico de Quito en la exposición internacional Casa Warner</t>
  </si>
  <si>
    <t>SERVICIO DE PAUTA DE CAMPAÑA PROMOCIONAL DEL DESTINO QUITO</t>
  </si>
  <si>
    <t>Generar la nómina de la EPMGDT (Remuneraciones Unificadas)</t>
  </si>
  <si>
    <t>Servicio de movilización de los informadores turísticos que laboran en el Aeropuerto Mariscal Sucre de la Ciudad de Quito durante el periodo del 2025 al 2028</t>
  </si>
  <si>
    <t>DAF / Jefatura de Talento Humano</t>
  </si>
  <si>
    <t>DAF / Jefatura Administrativa</t>
  </si>
  <si>
    <t>DPEI / Jefatura de TICS</t>
  </si>
  <si>
    <t>Dirección de Desarrollo de Productos Sostenibles</t>
  </si>
  <si>
    <t>Dirección de Turismo de Negocios y Atracción de Eventos</t>
  </si>
  <si>
    <t>Dirección de Comunicación</t>
  </si>
  <si>
    <t>Dirección de Promoción de Destino Turístico</t>
  </si>
  <si>
    <t>DAF / Jefatura Financiera</t>
  </si>
  <si>
    <t>Dirección de Servicios para la Industria Turística</t>
  </si>
  <si>
    <t>Dirección de Asesoría Jurídica</t>
  </si>
  <si>
    <t>Dirección de Comercialización</t>
  </si>
  <si>
    <t>SubTarea</t>
  </si>
  <si>
    <t>Dirección</t>
  </si>
  <si>
    <t>Misional</t>
  </si>
  <si>
    <t>Asignación Municipal</t>
  </si>
  <si>
    <t>Servicio de seguridad y vigilancia para las instalaciones de Quito Turismo y sus Dependencias 2026 - 2027</t>
  </si>
  <si>
    <t>Readecuaciones, mobiliario y equipamiento del predio 203140 correspondiente al Mirador de Guápulo</t>
  </si>
  <si>
    <t>Servicio de asesoría y asistencia técnica, para la obtención de la certificaciones internacionales en la gestión de turismo sostenible y calidad del destino</t>
  </si>
  <si>
    <t>Servicio de transporte para verificadores</t>
  </si>
  <si>
    <t>Consultoría para la verificación de recaudación de Tasa de Facilidades y Servicios Turísticos 2025.</t>
  </si>
  <si>
    <t>Adjudicar el 100% de procesos del PAC de gasto corriente al 2026</t>
  </si>
  <si>
    <t>Alcanzar el 95% de Satisfacción del usuario al 2026</t>
  </si>
  <si>
    <t>Realizar el 100% de evaluaciones de desempeño en el 2026</t>
  </si>
  <si>
    <t>Servicio de aseo y limpieza para las instalaciones bajo la administración y custodia de Quito Turismo - limpieza de interiores y exteriores tipo III para el año 2026</t>
  </si>
  <si>
    <t>Contratación de Servicios Profesionales, Desarrollador de software</t>
  </si>
  <si>
    <t>Elaboración de estudios para el desarrollo de una Arena de Eventos en el DMQ</t>
  </si>
  <si>
    <t>Desarrollar nuevos servicios y productos tecnológicos e innovadores para mejorar el acceso y disfrute del destino turistico  (Innovación/Tecnología)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</si>
  <si>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</si>
  <si>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</si>
  <si>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Promoción y Posicionamiento turístico del destino Quito en el marco de la producción de un evento gastronomico</t>
  </si>
  <si>
    <t>Adquisición de Material POP</t>
  </si>
  <si>
    <t>La actividad ¿contribuye al enfoque de género? (SI o NO)</t>
  </si>
  <si>
    <t>Contratación de los servicios profesionales de un ingeniero civil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</si>
  <si>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</si>
  <si>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Servicios profesionales especializados para el diseño técnico y ejecución del plan de atracción de marcas potentes para el destino Quito</t>
  </si>
  <si>
    <t>Caja Chica Gerencia General</t>
  </si>
  <si>
    <t>Caja Chica Jefatura Administrativa</t>
  </si>
  <si>
    <t>Código Olympo</t>
  </si>
  <si>
    <t>02.01.001.035.730605.000.002</t>
  </si>
  <si>
    <t>02.01.001.034.730207.000.002</t>
  </si>
  <si>
    <t>02.01.001.023.730207.000.002</t>
  </si>
  <si>
    <t>01.01.002.015.630207.000.009</t>
  </si>
  <si>
    <t>01.01.002.020.630207.000.009</t>
  </si>
  <si>
    <t>01.01.002.010.530613.000.009</t>
  </si>
  <si>
    <t>01.01.002.014.630207.000.009</t>
  </si>
  <si>
    <t>01.01.002.008.530207.000.009</t>
  </si>
  <si>
    <t>01.01.002.019.530207.000.009</t>
  </si>
  <si>
    <t>01.01.002.002.630602.000.009</t>
  </si>
  <si>
    <t>01.01.002.006.630204.000.009</t>
  </si>
  <si>
    <t>01.01.001.024.530502.000.009</t>
  </si>
  <si>
    <t>01.01.001.048.530105.000.009</t>
  </si>
  <si>
    <t>01.01.001.115.530208.000.009</t>
  </si>
  <si>
    <t>01.01.001.079.530207.000.009</t>
  </si>
  <si>
    <t>01.01.001.051.530241.000.009</t>
  </si>
  <si>
    <t>01.01.001.073.530701.000.009</t>
  </si>
  <si>
    <t>01.01.001.073.840107.000.009</t>
  </si>
  <si>
    <t>01.01.001.073.530702.000.009</t>
  </si>
  <si>
    <t>01.01.001.124.530606.000.009</t>
  </si>
  <si>
    <t>Servicio de datos móviles 2026-2027</t>
  </si>
  <si>
    <t>01.01.001.084.530105.000.009</t>
  </si>
  <si>
    <t>Servicio de datos móviles 2025-2026</t>
  </si>
  <si>
    <t>Servicio de Internet y Enlace de Datos 2025-2026</t>
  </si>
  <si>
    <t>Servicio de Internet y Enlace de Datos 2026-2027</t>
  </si>
  <si>
    <t>01.01.001.135.530606.000.009</t>
  </si>
  <si>
    <t>01.01.001.036.530404.000.009</t>
  </si>
  <si>
    <t>01.01.001.037.530404.000.009</t>
  </si>
  <si>
    <t>01.01.001.049.580101.000.009</t>
  </si>
  <si>
    <t>01.01.001.058.530404.000.009</t>
  </si>
  <si>
    <t>01.01.001.074.530702.000.009</t>
  </si>
  <si>
    <t>01.01.001.075.530702.000.009</t>
  </si>
  <si>
    <t>01.01.001.076.530702.000.009</t>
  </si>
  <si>
    <t>01.01.001.086.530105.000.009</t>
  </si>
  <si>
    <t>01.01.001.088.530704.000.009</t>
  </si>
  <si>
    <t>01.01.001.089.530704.000.009</t>
  </si>
  <si>
    <t>Tasa de propuestas técnicas elaboradas para la gestión del destino turístico</t>
  </si>
  <si>
    <t>Alcanzar al menos el 85% de propuestas técnicas elaboradas para la gestión del destino turístico con respecto a las propuestas planificadas, en el 2026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</si>
  <si>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</si>
  <si>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Tasa de incremento de reservas de vuelos al destino Quito</t>
  </si>
  <si>
    <t>Incrementar al menos un 5% el número de reservas de vuelos al destino Quito con respecto al año anterior, en el 2026</t>
  </si>
  <si>
    <t>(Reservas de vuelos al destino Quito en el trimestre t 2026 - Reservas de vuelos al destino Quito en el trimestre t 2025)/(Reservas de vuelos al destino Quito en el trimestre t 2025)</t>
  </si>
  <si>
    <t>Indice de gestion de infraestructura turística</t>
  </si>
  <si>
    <t>Alcanzar el 100% de ejecución en la gestión de infraestructura turística, en el 2026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</si>
  <si>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</si>
  <si>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(P) Provisión de Bienes y servicios para la correcta operatividad de la Empresa</t>
  </si>
  <si>
    <t>(P) Ejecución de actividades que permitan el desarrollo del turismo sostenible y la conversión del DMQ en destino turístico inteligente.</t>
  </si>
  <si>
    <t>(P) Implementación de acciones para fortalecer el posicionamiento de Quito como Destino Turístico</t>
  </si>
  <si>
    <t>Publicidad y marketing digital para la promocion y posicionamiento del DMQ como destino turístico</t>
  </si>
  <si>
    <t>Consultoría contratación directa servicio de auditoría externa para los estados financieros del periodo cerrado al 31 de diciembre de 2025</t>
  </si>
  <si>
    <t>Pago de Gastos Bancarios (Quito Turismo)</t>
  </si>
  <si>
    <t>Viáticos y subsistencias en el interior y exterior</t>
  </si>
  <si>
    <t>Generar la nómina de la EPMGDT (Compensación por transporte)</t>
  </si>
  <si>
    <t>Contratación de empresa verificadora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</si>
  <si>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</si>
  <si>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</si>
  <si>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Provisión de bienes y servicios para la correcta operatividad de las unidades de negocio, CEB, tiendas Quito (Adquisición de Mercadería a consignación)</t>
  </si>
  <si>
    <t>Adquisición de una solución de infraestructura tecnológica híbrida 2026 - 2027</t>
  </si>
  <si>
    <t>Adquisición de almacenamiento NAS tipo torre</t>
  </si>
  <si>
    <t>Adquisición de computadores portátiles</t>
  </si>
  <si>
    <t>Adquisición de una solución de infraestructura tecnológica híbrida 2025-2026</t>
  </si>
  <si>
    <t>Arrastre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</si>
  <si>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</si>
  <si>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</si>
  <si>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</si>
  <si>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</si>
  <si>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</si>
  <si>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</si>
  <si>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Comprobación</t>
  </si>
  <si>
    <t>01.01.001.002.530702.000.009</t>
  </si>
  <si>
    <t>01.01.001.004.531406.000.009</t>
  </si>
  <si>
    <t>01.01.001.006.530255.000.009</t>
  </si>
  <si>
    <t>01.01.001.004.531407.000.009</t>
  </si>
  <si>
    <t>01.01.001.008.530243.000.009</t>
  </si>
  <si>
    <t>01.01.001.008.530704.000.009</t>
  </si>
  <si>
    <t>01.01.001.009.530243.000.009</t>
  </si>
  <si>
    <t>01.01.001.009.530404.000.009</t>
  </si>
  <si>
    <t>01.01.001.013.530813.000.009</t>
  </si>
  <si>
    <t>01.01.001.014.530802.000.009</t>
  </si>
  <si>
    <t>01.01.001.016.530807.000.009</t>
  </si>
  <si>
    <t>01.01.001.017.530702.000.009</t>
  </si>
  <si>
    <t>01.01.001.021.530807.000.009</t>
  </si>
  <si>
    <t>01.01.001.026.570201.000.009</t>
  </si>
  <si>
    <t>01.01.001.027.530606.000.009</t>
  </si>
  <si>
    <t>01.01.001.028.530606.000.009</t>
  </si>
  <si>
    <t>01.01.001.029.530301.000.009</t>
  </si>
  <si>
    <t>01.01.001.029.530302.000.009</t>
  </si>
  <si>
    <t>01.01.001.031.530209.000.009</t>
  </si>
  <si>
    <t>01.01.001.033.530811.000.009</t>
  </si>
  <si>
    <t>01.01.001.035.530403.000.009</t>
  </si>
  <si>
    <t>01.01.001.039.530404.000.009</t>
  </si>
  <si>
    <t>01.01.001.040.530203.000.009</t>
  </si>
  <si>
    <t>01.01.001.041.530404.000.009</t>
  </si>
  <si>
    <t>01.01.001.042.530404.000.009</t>
  </si>
  <si>
    <t>01.01.001.043.530404.000.009</t>
  </si>
  <si>
    <t>01.01.001.044.530404.000.009</t>
  </si>
  <si>
    <t>01.01.001.045.530405.000.009</t>
  </si>
  <si>
    <t>01.01.001.046.530405.000.009</t>
  </si>
  <si>
    <t>01.01.001.047.530405.000.009</t>
  </si>
  <si>
    <t>01.01.001.050.530106.000.009</t>
  </si>
  <si>
    <t>01.01.001.050.530204.000.009</t>
  </si>
  <si>
    <t>01.01.001.050.530502.000.009</t>
  </si>
  <si>
    <t>01.01.001.050.530801.000.009</t>
  </si>
  <si>
    <t>01.01.001.050.530804.000.009</t>
  </si>
  <si>
    <t>01.01.001.050.530805.000.009</t>
  </si>
  <si>
    <t>01.01.001.050.530822.000.009</t>
  </si>
  <si>
    <t>01.01.001.052.530404.000.009</t>
  </si>
  <si>
    <t>01.01.001.055.530702.000.009</t>
  </si>
  <si>
    <t>01.01.001.057.530402.000.009</t>
  </si>
  <si>
    <t>01.01.001.059.530404.000.009</t>
  </si>
  <si>
    <t>01.01.001.061.530404.000.009</t>
  </si>
  <si>
    <t>01.01.001.064.530811.000.009</t>
  </si>
  <si>
    <t>01.01.001.068.530101.000.009</t>
  </si>
  <si>
    <t>01.01.001.069.530104.000.009</t>
  </si>
  <si>
    <t>01.01.001.070.530105.000.009</t>
  </si>
  <si>
    <t>01.01.001.072.530702.000.009</t>
  </si>
  <si>
    <t>01.01.001.077.570102.000.009</t>
  </si>
  <si>
    <t>01.01.001.080.530602.000.009</t>
  </si>
  <si>
    <t>01.01.001.092.530702.000.009</t>
  </si>
  <si>
    <t>01.01.001.092.530702.001.009</t>
  </si>
  <si>
    <t>01.01.001.096.530702.000.009</t>
  </si>
  <si>
    <t>01.01.001.103.530404.000.009</t>
  </si>
  <si>
    <t>01.01.001.105.530704.000.009</t>
  </si>
  <si>
    <t>01.01.001.106.530704.000.009</t>
  </si>
  <si>
    <t>01.01.001.111.530255.000.009</t>
  </si>
  <si>
    <t>01.01.001.111.570199.000.009</t>
  </si>
  <si>
    <t>01.01.001.112.570102.000.009</t>
  </si>
  <si>
    <t>01.01.001.114.530202.000.009</t>
  </si>
  <si>
    <t>01.01.001.122.530813.000.009</t>
  </si>
  <si>
    <t>01.01.001.122.530813.001.009</t>
  </si>
  <si>
    <t>01.01.001.123.530702.000.009</t>
  </si>
  <si>
    <t>01.01.001.126.530210.000.009</t>
  </si>
  <si>
    <t>01.01.001.140.530704.000.009</t>
  </si>
  <si>
    <t>01.01.001.143.530204.000.009</t>
  </si>
  <si>
    <t>01.01.001.143.530405.000.009</t>
  </si>
  <si>
    <t>01.01.001.143.530804.000.009</t>
  </si>
  <si>
    <t>01.01.001.143.530805.000.009</t>
  </si>
  <si>
    <t>01.01.001.143.530811.000.009</t>
  </si>
  <si>
    <t>01.01.001.143.530813.000.009</t>
  </si>
  <si>
    <t>01.01.001.145.530209.000.009</t>
  </si>
  <si>
    <t>01.01.001.150.530404.000.009</t>
  </si>
  <si>
    <t>01.01.001.151.530404.000.009</t>
  </si>
  <si>
    <t>01.01.001.152.530404.000.009</t>
  </si>
  <si>
    <t>01.01.001.153.570102.000.009</t>
  </si>
  <si>
    <t>01.01.001.154.530208.000.009</t>
  </si>
  <si>
    <t>01.01.001.155.530303.000.009</t>
  </si>
  <si>
    <t>01.01.001.155.530304.000.009</t>
  </si>
  <si>
    <t>01.01.001.156.530601.000.009</t>
  </si>
  <si>
    <t>01.01.001.157.570203.000.009</t>
  </si>
  <si>
    <t>01.01.001.158.570203.000.009</t>
  </si>
  <si>
    <t>01.01.001.159.530207.000.009</t>
  </si>
  <si>
    <t>01.01.001.160.530404.000.009</t>
  </si>
  <si>
    <t>01.01.001.161.530241.000.009</t>
  </si>
  <si>
    <t>01.01.001.162.840107.000.009</t>
  </si>
  <si>
    <t>01.01.001.163.840107.000.009</t>
  </si>
  <si>
    <t>01.01.001.164.530702.000.009</t>
  </si>
  <si>
    <t>01.01.001.164.840107.000.009</t>
  </si>
  <si>
    <t>01.01.001.165.840107.000.009</t>
  </si>
  <si>
    <t>01.01.001.166.840107.000.009</t>
  </si>
  <si>
    <t>01.01.001.167.530601.000.009</t>
  </si>
  <si>
    <t>01.01.001.168.530404.000.009</t>
  </si>
  <si>
    <t>01.01.001.169.530404.000.009</t>
  </si>
  <si>
    <t>01.01.001.170.530105.000.009</t>
  </si>
  <si>
    <t>01.01.001.171.530105.000.009</t>
  </si>
  <si>
    <t>01.01.001.172.530704.000.009</t>
  </si>
  <si>
    <t>01.01.001.173.530704.000.009</t>
  </si>
  <si>
    <t>01.01.001.174.530701.000.009</t>
  </si>
  <si>
    <t>01.01.001.175.840107.000.009</t>
  </si>
  <si>
    <t>01.01.002.003.670204.000.009</t>
  </si>
  <si>
    <t>01.01.002.005.631203.000.009</t>
  </si>
  <si>
    <t>01.01.002.009.630601.000.009</t>
  </si>
  <si>
    <t>01.01.002.011.630105.000.009</t>
  </si>
  <si>
    <t>01.01.002.012.630204.000.009</t>
  </si>
  <si>
    <t>01.01.002.023.630502.000.009</t>
  </si>
  <si>
    <t>01.01.002.027.530606.000.009</t>
  </si>
  <si>
    <t>01.01.002.043.530606.000.009</t>
  </si>
  <si>
    <t>01.01.002.044.530201.000.009</t>
  </si>
  <si>
    <t>01.01.002.045.630207.000.009</t>
  </si>
  <si>
    <t>01.01.002.045.630207.001.009</t>
  </si>
  <si>
    <t>01.01.002.046.630207.000.009</t>
  </si>
  <si>
    <t>01.01.002.046.630207.001.009</t>
  </si>
  <si>
    <t>01.01.002.047.630207.000.009</t>
  </si>
  <si>
    <t>01.01.002.047.630207.001.009</t>
  </si>
  <si>
    <t>01.01.002.048.630207.000.009</t>
  </si>
  <si>
    <t>01.01.002.049.530613.000.009</t>
  </si>
  <si>
    <t>01.01.002.050.630601.000.009</t>
  </si>
  <si>
    <t>01.01.002.051.630601.000.009</t>
  </si>
  <si>
    <t>01.01.002.052.630201.000.009</t>
  </si>
  <si>
    <t>01.01.002.053.530207.000.009</t>
  </si>
  <si>
    <t>01.01.002.054.630207.000.009</t>
  </si>
  <si>
    <t>01.01.002.055.630207.000.009</t>
  </si>
  <si>
    <t>01.01.002.055.630207.002.009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</si>
  <si>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</si>
  <si>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</si>
  <si>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</si>
  <si>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</si>
  <si>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</si>
  <si>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</si>
  <si>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</si>
  <si>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</si>
  <si>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</si>
  <si>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</si>
  <si>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</si>
  <si>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</si>
  <si>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</si>
  <si>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01.01.003.015.510704.000.009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</si>
  <si>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</si>
  <si>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</si>
  <si>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</si>
  <si>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</si>
  <si>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</si>
  <si>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02.01.001.013.710510.000.002</t>
  </si>
  <si>
    <t>02.01.001.015.730425.000.002</t>
  </si>
  <si>
    <t>02.01.001.016.730207.000.002</t>
  </si>
  <si>
    <t>02.01.001.017.730425.000.002</t>
  </si>
  <si>
    <t>02.01.001.021.730207.000.002</t>
  </si>
  <si>
    <t>02.01.001.024.710509.000.002</t>
  </si>
  <si>
    <t>02.01.001.031.730702.000.002</t>
  </si>
  <si>
    <t>02.01.001.043.730249.000.002</t>
  </si>
  <si>
    <t>02.01.001.043.730249.001.002</t>
  </si>
  <si>
    <t>02.01.001.043.730249.002.002</t>
  </si>
  <si>
    <t>02.01.001.044.730601.000.002</t>
  </si>
  <si>
    <t>02.01.001.045.730207.000.002</t>
  </si>
  <si>
    <t>02.01.001.045.730207.001.002</t>
  </si>
  <si>
    <t>02.01.001.046.730207.000.002</t>
  </si>
  <si>
    <t>02.01.001.047.730249.000.002</t>
  </si>
  <si>
    <t>02.01.001.048.730249.000.002</t>
  </si>
  <si>
    <t>Reforma 1</t>
  </si>
  <si>
    <t>Presupuesto con Reformas</t>
  </si>
  <si>
    <t>Reformas</t>
  </si>
  <si>
    <t>Reprogramación</t>
  </si>
  <si>
    <t>01.01.001.050.531601.000.009</t>
  </si>
  <si>
    <t>01.01.001.143.531601.000.009</t>
  </si>
  <si>
    <t>Suscripción de herramientas de IA para desarrollo de software y gestión del código fuente</t>
  </si>
  <si>
    <t>01.01.001.176.530702.000.009</t>
  </si>
  <si>
    <t>Mantenimiento del ERP Olympo y soporte especializado</t>
  </si>
  <si>
    <t>01.01.001.177.530701.000.009</t>
  </si>
  <si>
    <t>Adquisición de central telefónica para Oficina Matriz Quito Turismo</t>
  </si>
  <si>
    <t>01.01.001.178.840107.000.009</t>
  </si>
  <si>
    <t>01.01.001.180.530704.000.009</t>
  </si>
  <si>
    <t>01.01.001.179.530813.000.009</t>
  </si>
  <si>
    <t>01.01.001.181.530702.000.009</t>
  </si>
  <si>
    <t>Suscripción de herramientas de ofimática colaborativas con correo electrónico, inteligencia de negocios y servicios Cloud</t>
  </si>
  <si>
    <t>01.01.001.182.530702.000.009</t>
  </si>
  <si>
    <t>Adquisición de infraestructura tecnológica y suscripción de herramientas de respaldos y virtualización</t>
  </si>
  <si>
    <t>01.01.001.183.840107.000.009</t>
  </si>
  <si>
    <t>01.01.001.183.530702.000.009</t>
  </si>
  <si>
    <t>01.01.001.183.530402.000.009</t>
  </si>
  <si>
    <t>Mantenimiento preventivo de pantallas digitales e interactivos</t>
  </si>
  <si>
    <t>01.01.001.184.530704.000.009</t>
  </si>
  <si>
    <t>Servicio de soporte y mantenimiento del NAS</t>
  </si>
  <si>
    <t>01.01.001.185.530704.000.009</t>
  </si>
  <si>
    <t>Contratación del Estudio Actuarial para Quito Turismo correspondiente al ejercicio fiscal 2026</t>
  </si>
  <si>
    <t>01.01.001.186.530606.000.009</t>
  </si>
  <si>
    <t>Inclusión en la póliza de seguro para los bienes muebles de la EPMGDT</t>
  </si>
  <si>
    <t>01.01.001.187.570201.000.009</t>
  </si>
  <si>
    <t>Adquisición de suministros de impresión toners para la EPMGDT no catalogado (arrastre)</t>
  </si>
  <si>
    <t>01.01.001.188.530807.000.009</t>
  </si>
  <si>
    <t>Contratación del servicio de mantenimiento preventivo y correctivo de cámaras de seguridad con vigencia tecnológica de la tienda Quito La Mariscal (arrastre)</t>
  </si>
  <si>
    <t>01.01.001.189.840104.000.009</t>
  </si>
  <si>
    <t>01.01.001.189.531407.000.009</t>
  </si>
  <si>
    <t>Estudio para la obtención del plano Hidrosanitario de las instalaciones de la EPMGDT (arrastre)</t>
  </si>
  <si>
    <t>01.01.001.190.530605.000.009</t>
  </si>
  <si>
    <t>Convalidación de la Certificación Presupuestaria N° 000451 del periodo fiscal 2025 – Contratación de los servicios profesionales de un ingeniero civil</t>
  </si>
  <si>
    <t>01.01.001.191.530606.000.009</t>
  </si>
  <si>
    <t>01.01.002.027.530801.000.009</t>
  </si>
  <si>
    <t>Servicio de capacitación turística para el sector turístico del Distrito Metropolitano de Quito 2025 – 2026 (arrastre)</t>
  </si>
  <si>
    <t>01.01.002.056.530613.000.009</t>
  </si>
  <si>
    <t>Impulso y Atracción especializada MICE para la Captación de Eventos de Gran Formato en el destino Quito 01</t>
  </si>
  <si>
    <t>01.01.002.057.530207.000.009</t>
  </si>
  <si>
    <t>02.01.001.043.730249.003.002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</si>
  <si>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</si>
  <si>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02.01.001.049.730207.000.002</t>
  </si>
  <si>
    <t>02.01.001.050.730606.000.002</t>
  </si>
  <si>
    <t>Servicios Profesionales Especialista en Desarrollo Territorial Para el Diseño de Intervenciones en Barrios con Vocación Turística en el Distrito Metropolitano de Quito</t>
  </si>
  <si>
    <t>Impulso y Atracción especializada MICE para la Captación de Eventos de Gran Formato en el destino Quito 02</t>
  </si>
  <si>
    <t>02.01.001.051.730207.000.002</t>
  </si>
  <si>
    <t>Mantenimiento servidores NAS (arrastre)</t>
  </si>
  <si>
    <t>Adquisición de partes, piezas y/o repuestos de impresoras (arrastre)</t>
  </si>
  <si>
    <t>Contratación de Estudios técnicos para la Implementación de la Plaza de Espectáculos de Quito, en el Parque Bicentenario</t>
  </si>
  <si>
    <t>Suscripción de herramientas de seguridad informática para el aseguramiento de los activos de información</t>
  </si>
  <si>
    <t>EJERCICIO COOTAD</t>
  </si>
  <si>
    <t>SI</t>
  </si>
  <si>
    <t>Fondo de Promoción</t>
  </si>
  <si>
    <t>Promoción</t>
  </si>
  <si>
    <t>MICE</t>
  </si>
  <si>
    <t>Desarrollo</t>
  </si>
  <si>
    <t>Capacitación</t>
  </si>
  <si>
    <t>Reforma 2</t>
  </si>
  <si>
    <t>Servicio de botón de pagos</t>
  </si>
  <si>
    <t>01.01.002.066.630105.000.009</t>
  </si>
  <si>
    <t>Consultoría de oferta y demanda turística</t>
  </si>
  <si>
    <t>Compra de equipos de audio, video e insonorización</t>
  </si>
  <si>
    <t>Adquisición de maquinaria e insumos para la creación de material propio para comercialización</t>
  </si>
  <si>
    <t>Organización de eventos a clientes externos</t>
  </si>
  <si>
    <t>Servicio de pauta de campaña promocional del destino Quito</t>
  </si>
  <si>
    <t>Contratación de servicios profesionales especializados para asistencia técnica en la elaboración de instrumentos metodológicos y documentales para la estructuración de proyectos turísticos estratégicos del DMQ</t>
  </si>
  <si>
    <t>Pago de tasa por otros servicios de aseo (EMASEO)</t>
  </si>
  <si>
    <t>01.01.002.058.630601.000.009</t>
  </si>
  <si>
    <t>01.01.002.059.840104.000.009</t>
  </si>
  <si>
    <t>01.01.002.060.840104.000.009</t>
  </si>
  <si>
    <t>01.01.002.061.530249.000.009</t>
  </si>
  <si>
    <t>01.01.002.062.630207.000.009</t>
  </si>
  <si>
    <t>01.01.002.063.630207.000.009</t>
  </si>
  <si>
    <t>01.01.002.064.630207.000.009</t>
  </si>
  <si>
    <t>01.01.002.065.530249.000.009</t>
  </si>
  <si>
    <t>01.01.002.067.530606.000.009</t>
  </si>
  <si>
    <t>01.01.002.068.570199.000.009</t>
  </si>
  <si>
    <t>Reforma 3</t>
  </si>
  <si>
    <t>01.01.001.050.530820.000.009</t>
  </si>
  <si>
    <t>01.01.001.192.530606.000.009</t>
  </si>
  <si>
    <t>Contratación de Servicios Profesionales de un Experto en mejora de clima Laboral</t>
  </si>
  <si>
    <t>01.01.001.193.530606.000.009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</si>
  <si>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</si>
  <si>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</si>
  <si>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</si>
  <si>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</si>
  <si>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Pagos deducibles póliza de seguros</t>
  </si>
  <si>
    <t>01.01.001.196.570201.000.009</t>
  </si>
  <si>
    <t>Contratación del servicio de agencias de viajes para la provisión de pasajes aéreos nacionales e internacionales para los servidores de la EPMGDT (2026-2027)</t>
  </si>
  <si>
    <t>01.01.001.197.530301.000.009</t>
  </si>
  <si>
    <t>01.01.001.197.530302.000.009</t>
  </si>
  <si>
    <t>Adquisición de Mobiliario para la Empresa Publica Metropolitana de Gestión de Destino Turístico</t>
  </si>
  <si>
    <t>01.01.001.198.840103.000.009</t>
  </si>
  <si>
    <t>Servicio de mantenimiento de la caja de condensación de la EPMGDT</t>
  </si>
  <si>
    <t>01.01.001.199.530404.000.009</t>
  </si>
  <si>
    <t>Mantenimiento correctivo menor y mejora de imagen en los predios administrados por Quito Turismo</t>
  </si>
  <si>
    <t>01.01.001.200.530402.000.009</t>
  </si>
  <si>
    <t>Servicio de provisión de combustible para los vehículos de la EPMGDT - IVA</t>
  </si>
  <si>
    <t>01.01.001.201.570199.000.009</t>
  </si>
  <si>
    <t>Consultoría para el servicio de auditoría externa a los estados financieros del periodo cerrado al 31 de diciembre de 2025 de EPMGDT</t>
  </si>
  <si>
    <t>01.01.001.202.530602.000.009</t>
  </si>
  <si>
    <t>Suscripción de licencias para herramientas para la Gestión de la Calidad Gastronómica y Central de Reservas Turísticas</t>
  </si>
  <si>
    <t>01.01.001.203.530701.000.009</t>
  </si>
  <si>
    <t>01.01.001.203.530702.000.009</t>
  </si>
  <si>
    <t>Impulso y Atracción especializada MICE para la Captación de Eventos de Gran Formato en el destino Quito 03</t>
  </si>
  <si>
    <t>01.01.002.069.630207.000.009</t>
  </si>
  <si>
    <t>Impulso y Atracción especializada MICE para la Captación de Eventos Deportivos en el destino Quito 01</t>
  </si>
  <si>
    <t>01.01.002.070.630207.000.009</t>
  </si>
  <si>
    <t>Adquisición de máquinas de estampar o similares</t>
  </si>
  <si>
    <t>01.01.002.071.840104.000.009</t>
  </si>
  <si>
    <t>Adquisición de suministros para máquinas de impresión por sublimación</t>
  </si>
  <si>
    <t>01.01.002.072.530804.000.009</t>
  </si>
  <si>
    <t>Adquisición de prendas textiles destinadas a procesos de sublimación para su comercialización a través de las unidades de negocio institucionales.</t>
  </si>
  <si>
    <t>01.01.002.073.631203.000.009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</si>
  <si>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</si>
  <si>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01.01.002.074.631203.000.009</t>
  </si>
  <si>
    <t>Contratación de Servicios Profesionales para el “Análisis Económico Documental de Oferta y Demanda de Espectáculos en el Distrito Metropolitano de Quito”</t>
  </si>
  <si>
    <t>01.01.002.077.530606.000.009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</si>
  <si>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</si>
  <si>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</si>
  <si>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</si>
  <si>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</si>
  <si>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Contratación del servicio para la intervención y mejoramiento de espacios públicos con valor turístico en el sector de Guápulo, mediante la adecuación de áreas de estancia, miradores y elementos de integración urbana.</t>
  </si>
  <si>
    <t>02.01.001.056.730425.000.002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</si>
  <si>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</si>
  <si>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</si>
  <si>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Contratación del servicio para el mantenimiento preventivo y correctivo de facilidades turísticas en el Distrito Metropolitano de Quito, incluyendo señalética, mobiliario y otros elementos de infraestructura turística.</t>
  </si>
  <si>
    <t>02.01.001.058.730425.000.002</t>
  </si>
  <si>
    <t>Adquisición de vallas metálicas modulares para delimitación, control de accesos y seguridad en espacios públicos para la EPMGDT</t>
  </si>
  <si>
    <t>02.01.001.059.840103.000.002</t>
  </si>
  <si>
    <t>02.01.001.060.730402.000.002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</si>
  <si>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</si>
  <si>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02.01.001.062.730402.000.002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</si>
  <si>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</si>
  <si>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02.01.001.063.730604.000.002</t>
  </si>
  <si>
    <t>02.01.001.064.840107.000.002</t>
  </si>
  <si>
    <t>Adquisición de UPS</t>
  </si>
  <si>
    <t>02.01.001.066.840107.000.002</t>
  </si>
  <si>
    <t xml:space="preserve">02.01.001.065.840107.000.002 </t>
  </si>
  <si>
    <t>Adquisición e implementación de equipamiento audiovisual y acústico para los salones de Quito Turismo</t>
  </si>
  <si>
    <t xml:space="preserve">01.01.002.078.840104.000.009 </t>
  </si>
  <si>
    <t xml:space="preserve">01.01.002.078.530402.000.009 </t>
  </si>
  <si>
    <t>Contratación de Servicios Profesionales de un Profesional en Talento Humano</t>
  </si>
  <si>
    <t>OBSERVACIONES</t>
  </si>
  <si>
    <t>Servicio de contratación de talleres y materiales para el proceso de certificación en Competencia Laborales</t>
  </si>
  <si>
    <t>Reforma 4</t>
  </si>
  <si>
    <t>Instalación de pantallas didácticas en las paradas del Metro de Quito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</si>
  <si>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</si>
  <si>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Contratación de la Implementación del Centro de Interpretación Turística Tulipe mediante adecuación de infraestructura existente y optimización de espacios para uso turístico</t>
  </si>
  <si>
    <t>Contratación de estudios técnicos para la implementación del Centro de Interpretación Turística en Tulipe</t>
  </si>
  <si>
    <t>Contratación de estudios técnicos para la implementación de Aula Gastronómica en predio administrado por Quito Turismo</t>
  </si>
  <si>
    <t>Alquiler de instalaciones para las evaluaciones prácticas de la Certificación en Competencias Laborales del sector turístico del Distrito Metropolitano de Quito, que incluya: mobiliario, equipos e insumos.</t>
  </si>
  <si>
    <t>01.01.001.047.530803.000.009</t>
  </si>
  <si>
    <t>01.01.001.046.530813.000.009</t>
  </si>
  <si>
    <t>01.01.001.046.530803.000.009</t>
  </si>
  <si>
    <t>01.01.001.204.530403.000.009</t>
  </si>
  <si>
    <t>01.01.001.143.530402.000.009</t>
  </si>
  <si>
    <t>01.01.001.045.530803.000.009</t>
  </si>
  <si>
    <t>01.01.001.045.530813.000.009</t>
  </si>
  <si>
    <t>01.01.001.047.530813.000.009</t>
  </si>
  <si>
    <t>01.01.002.079.630207.000.009</t>
  </si>
  <si>
    <t>02.01.001.068.730425.000.002</t>
  </si>
  <si>
    <t>02.01.001.069.730605.000.002</t>
  </si>
  <si>
    <t>02.01.001.070.730605.000.002</t>
  </si>
  <si>
    <t>Contratación de servicios profesionales especializados de Ingeniería Civil para elaborar insumos técnicos de costos, presupuestos y planificación</t>
  </si>
  <si>
    <t>02.01.001.071.730606.000.002</t>
  </si>
  <si>
    <t>02.01.001.067.730207.000.002</t>
  </si>
  <si>
    <t>Reforma 5</t>
  </si>
  <si>
    <t>Reforma 6</t>
  </si>
  <si>
    <t>02.01.001.043.730249.006.009</t>
  </si>
  <si>
    <t>02.01.001.043.730249.007.009</t>
  </si>
  <si>
    <t>02.01.001.043.730249.005.009</t>
  </si>
  <si>
    <t>02.01.001.043.730249.004.009</t>
  </si>
  <si>
    <t>01.01.002.055.630207.003.009</t>
  </si>
  <si>
    <t>Impulso y Atracción especializada MICE para la Captación de Eventos de Gran Formato en el destino Quito 06</t>
  </si>
  <si>
    <t>Impulso y Atracción especializada MICE para la Captación de Eventos de Gran Formato en el destino Quito 04</t>
  </si>
  <si>
    <t>Impulso y Atracción especializada MICE para la Captación de Eventos de Gran Formato en el destino Quito 05</t>
  </si>
  <si>
    <t>01.01.002.082.630207.000.009</t>
  </si>
  <si>
    <t>01.01.002.084.630207.000.009</t>
  </si>
  <si>
    <t>01.01.002.083.630207.000.009</t>
  </si>
  <si>
    <t>Servicio de provisión de datos en línea para la gestión de servicios de inteligencia turística para el DMQ</t>
  </si>
  <si>
    <t>01.01.001.205.530702.000.009</t>
  </si>
  <si>
    <t>DPEI / Jefatura de Estadística</t>
  </si>
  <si>
    <t>Adquisición de infraestructura tecnológica de servidores y almacenamiento</t>
  </si>
  <si>
    <t>Contratación de Servicios Profesionales de un Profesional para el diseño del modelo de gestión de la plaza de espectáculos</t>
  </si>
  <si>
    <t>Adquisición de uniformes</t>
  </si>
  <si>
    <t>Posicionamiento de marca turística en Festival Musical</t>
  </si>
  <si>
    <t>Servicios de carga y descarga de mercancías no trasladadas en contenedores</t>
  </si>
  <si>
    <t>Reembolso de pasajes aéreos nacionales e internacionales para los servidores de la EPMGDT</t>
  </si>
  <si>
    <t>02.01.001.073.730606.000.002</t>
  </si>
  <si>
    <t>02.01.001.072.730702.000.002</t>
  </si>
  <si>
    <t>02.01.001.072.730701.000.002</t>
  </si>
  <si>
    <t>01.01.001.206.530802.000.009</t>
  </si>
  <si>
    <t>02.01.001.074.840107.000.002</t>
  </si>
  <si>
    <t>01.01.001.207.530402.000.009</t>
  </si>
  <si>
    <t>01.01.001.208.530301.000.009</t>
  </si>
  <si>
    <t>01.01.001.208.530302.000.009</t>
  </si>
  <si>
    <t>02.01.001.076.730202.000.002</t>
  </si>
  <si>
    <t>02.01.001.075.730207.000.002</t>
  </si>
  <si>
    <t>Servicio de organización de eventos de promoción turística del destino Quito en el mercado local y nacional para la realización de eventos turísticos y gastronómicos 2026-2027</t>
  </si>
  <si>
    <t>Total general</t>
  </si>
  <si>
    <t>Suma de Presupuesto con Reformas</t>
  </si>
  <si>
    <t>Adquisición de máquinas estampadoras sublimadoras, suministros e insumos complementarios para procesos de sublimación o similares.</t>
  </si>
  <si>
    <t>01.01.002.085.840104.000.009</t>
  </si>
  <si>
    <t>01.01.002.085.630804.000.009</t>
  </si>
  <si>
    <t>Adquisición de equipamiento audiovisual e interactivo, así como la fabricación de mobiliario especializado de soporte, para la implementación del Centro de Interpretación Turístico Itinerante CIT-Q</t>
  </si>
  <si>
    <t>02.01.001.077.840107.000.002</t>
  </si>
  <si>
    <t>02.01.001.077.730404.000.002</t>
  </si>
  <si>
    <t>02.01.001.077.840103.000.002</t>
  </si>
  <si>
    <t>Servicio de rastreo satelital para los vehículos y motocicleta de la EPMGDT 2026 - 2027</t>
  </si>
  <si>
    <t>Adquisición de neumáticos para el parque automotor de la EPMGDT</t>
  </si>
  <si>
    <t>01.01.001.209.530105.000.009</t>
  </si>
  <si>
    <t>01.01.001.210.530813.000.009</t>
  </si>
  <si>
    <t>01.01.001.210.530813.001.009</t>
  </si>
  <si>
    <t>01.01.001.210.530813.002.009</t>
  </si>
  <si>
    <t>Reforma 7</t>
  </si>
  <si>
    <t>Contratación servicios profesionales para la estructuración del modelo de gestión asociativo de la Plaza de espectáculos Bicentenario</t>
  </si>
  <si>
    <t>01.01.002.086.530606.000.009</t>
  </si>
  <si>
    <t>Reforma 8</t>
  </si>
  <si>
    <t>Suma de Saldo Disponible</t>
  </si>
  <si>
    <t>Suma de Diciembre4</t>
  </si>
  <si>
    <t>Suma de Noviembre4</t>
  </si>
  <si>
    <t>Suma de Octubre4</t>
  </si>
  <si>
    <t>Suma de Septiembre4</t>
  </si>
  <si>
    <t>Suma de Agosto4</t>
  </si>
  <si>
    <t>Suma de Julio4</t>
  </si>
  <si>
    <t>Suma de Junio4</t>
  </si>
  <si>
    <t>Suma de Mayo4</t>
  </si>
  <si>
    <t>Suma de Abril4</t>
  </si>
  <si>
    <t>Suma de Marzo4</t>
  </si>
  <si>
    <t>Suma de Febrero4</t>
  </si>
  <si>
    <t>Suma de Enero4</t>
  </si>
  <si>
    <t>(Todas)</t>
  </si>
  <si>
    <t>Etiquetas de fila</t>
  </si>
  <si>
    <t>Suma de Devengo Total</t>
  </si>
  <si>
    <t>Suma de Compromiso Total</t>
  </si>
  <si>
    <t>Suma de Certificado Junio</t>
  </si>
  <si>
    <t>Enero R</t>
  </si>
  <si>
    <t>Febrero R</t>
  </si>
  <si>
    <t>Marzo R</t>
  </si>
  <si>
    <t>Abril R</t>
  </si>
  <si>
    <t>Mayo R</t>
  </si>
  <si>
    <t>Junio R</t>
  </si>
  <si>
    <t>Julio R</t>
  </si>
  <si>
    <t>Agosto R</t>
  </si>
  <si>
    <t>Septiembre R</t>
  </si>
  <si>
    <t>Octubre R</t>
  </si>
  <si>
    <t>Noviembre R</t>
  </si>
  <si>
    <t>Diciembre R</t>
  </si>
  <si>
    <t>Saldo Disponible R</t>
  </si>
  <si>
    <t>Escenario optimista</t>
  </si>
  <si>
    <t>Escenario 2 (sercop)</t>
  </si>
  <si>
    <t xml:space="preserve">01.01.002.078.840103.000.009 </t>
  </si>
  <si>
    <t>Pago de energía eléctrica del local Tienda Quito La Mariscal</t>
  </si>
  <si>
    <t>Pago de servicio de agua potable del local Tienda Quito La Mariscal.</t>
  </si>
  <si>
    <t>01.01.001.215.530104.000.009</t>
  </si>
  <si>
    <t>01.01.001.216.530101.000.009</t>
  </si>
  <si>
    <t>Mantenimiento, soporte especializado y provisión de continuidad operativa de ERP Olympo</t>
  </si>
  <si>
    <t>01.01.001.211.530701.000.009</t>
  </si>
  <si>
    <t>01.01.001.211.530702.000.009</t>
  </si>
  <si>
    <t>Contratación de servicios profesionales para el análisis y definición de la figura jurídica aplicable para la implementación de la plaza de espectáculos Bicentenario</t>
  </si>
  <si>
    <t>01.01.001.212.530606.000.009</t>
  </si>
  <si>
    <t>Contrato Complementario del Servicio de Agencia de Marketing Digital para la Promoción y Posicionamiento Del Distrito Metropolitano De Quito</t>
  </si>
  <si>
    <t>02.01.001.078.730207.000.002</t>
  </si>
  <si>
    <t>Impulso y Atracción especializada MICE para la Captación de Eventos en el destino Quito 07</t>
  </si>
  <si>
    <t>01.01.002.087.630207.000.009</t>
  </si>
  <si>
    <t>Reforma 9</t>
  </si>
  <si>
    <t>PLAZOS</t>
  </si>
  <si>
    <t>ULTIMO MES DE EJECUCIÓN</t>
  </si>
  <si>
    <t>21-07-2026-Declaración de suspensión por SERCOP</t>
  </si>
  <si>
    <t>21-07-2026 Publicación de la Necesidad en SERCOP
27-07-2026 Entrega de Proformas
30/07/2026 Estudio de Mercado
31/07/2026 certificaciones
5/08/2026 Directorio
11/08/2026 aprobación QH
17/08/2026 Publicación proceso
11/09/2026 Entrega Ofertas
22/09/2026 convalidación 
25/09/2026 calificación ofertas 
01/10/2026 adjudicación</t>
  </si>
  <si>
    <t>ADJUDICADO</t>
  </si>
  <si>
    <t>Mesa técnica de revisión de la etapa preparatoria
* 06/07/2026 Reforma POA
* 8-10/07/2026 Publicación de necesidad en el portal
* 13/07/2026 Estudio de mercado
* 14-15/07/2026 Certificaciones POA, CATE, presupuestaria
* 17/07/2026 Publicación del proceso en el portal
* 17/08/2026 Adjudicación</t>
  </si>
  <si>
    <t>EN EJECUCION</t>
  </si>
  <si>
    <t>Declaración de suspensión por SERCOP</t>
  </si>
  <si>
    <t>SEGUIMIENTO 
22/07/2026 y
23/07/2026</t>
  </si>
  <si>
    <t xml:space="preserve">23/07/2026 Mesa Técnica
Certfificaciones OK 
28/07/2026 Autorización 
29/07/2026 Publicación Necesidad 
3/08/2026 Recepción proformas y Estudio Mercado
7/08/2026 Publicación Proceso Portal </t>
  </si>
  <si>
    <t xml:space="preserve">EN EJECUCION </t>
  </si>
  <si>
    <t>EJECUTADO</t>
  </si>
  <si>
    <t xml:space="preserve">EJECUTADO EN PROCESO DE PAGO </t>
  </si>
  <si>
    <t>28/07/2026 Autorizacion Necesidad
29/07/2026  Publicación de la Necesidad
03/08/2026 Estudio de Mercado
05/08/2026 Certificacion Presupuestaria 
7/08/2026 Publicación Proceso
07/09/2026: Adjudicación</t>
  </si>
  <si>
    <t xml:space="preserve">
22/07/2026: Reforma lista
24/08/2026 Autorización Necesidad 
27/07/2026: Publicación Necesidad
3/08/2026: Estudio de mercado
04/08/2026: Certificaciones
06/08/2026: Publicacion Proceso Portal
07/09/2026:Adjudicación
</t>
  </si>
  <si>
    <t xml:space="preserve">28/07/2026 Autorizacion Necesidad
29/07/2026  Publicación de la Necesidad
03/08/2026 Estudio de Mercado
05/08/2026 Certificacion Presupuestaria 
7/08/2026 Publicación Proceso
07/09/2026: Adjudicación
</t>
  </si>
  <si>
    <t xml:space="preserve">24/07/2026 Autorizacion Necesidad
27/07/2026  Publicación de la Necesidad
31/07/2026 Estudio de Mercado
03/08/2026 Certificacion Presupuestaria 
5/08/2026 Publicación Proceso
05/09/2026: Adjudicación
</t>
  </si>
  <si>
    <t>REFORMAR</t>
  </si>
  <si>
    <t>EN EN EJECUCION</t>
  </si>
  <si>
    <t xml:space="preserve">Proformas muy altas
se modifican especificaciones técnicas y se reducen items (2 módulos y 1 pantalla) 
 24/07/2026 Pronunciamiento TICS  
24/07/2026 Nuevos términos 
24/07/2026 Certificaciones 
24/07/2026 Autorización Necesidad
27/07/2026 Publicación en el portal
29/07/2026 Recepción Proformas
29/07/2026 Estudio de Mercado y solicitud de reformas
03/08/2026 reforma
04/08/2026 solicitud certificaciones
06/08/2026 solicitud de inicio
11/08/2026 publicación en el portal
09/09/2026 adjudicación
16/12/2026 Implementación de equipamiento y mobiliario en Tulipe </t>
  </si>
  <si>
    <t>SEGUIMIENTO
05-08-2026</t>
  </si>
  <si>
    <t>6/8/2026 TDRS actualizados
Mesa Técnica 
Estudio de Mercado 
6/7/2026 Publicacion Proceso 
16/07/2026 Preguntas y Respuestas 
24/07/2026  Calificación
31/07/2026 Adjudicación 
Ejecución: AGO - SEP - OCT-NOV-DIC</t>
  </si>
  <si>
    <t xml:space="preserve">Respuesta SERCOP 
</t>
  </si>
  <si>
    <t xml:space="preserve">05/08/2026 Actualiz
 24/07/2026 Pronunciamiento TICS  
24/07/2026 Nuevos términos 
24/07/2026 Certificaciones 
24/07/2026 Autorización Necesidad
27/07/2026 Publicación en el portal
29/07/2026 Recepción Proformas
29/07/2026 Estudio de Mercado y solicitud de reformas
03/08/2026 reforma
04/08/2026 solicitud certificaciones
06/08/2026 solicitud de inicio
11/08/2026 publicación en el portal
09/09/2026 adjudicación
16/12/2026 Implementación de equipamiento y mobiliario en Tulipe </t>
  </si>
  <si>
    <t xml:space="preserve">05/08/2026 Actualizados documentos nuevos 
06/08/2026 Mesa Técnica 
 </t>
  </si>
  <si>
    <t xml:space="preserve">06/08/2026 Actualizados documentos nuevos 
06/08/2026 Mesa Técnica 
 </t>
  </si>
  <si>
    <t>Noviembre (200.000)
Publicacion de necesidad urgente</t>
  </si>
  <si>
    <t xml:space="preserve">06/08/2026 Actualización de nuevos formatos 
07/08/2026 Revisión de compras 
Autorizacion Necesidad
27/07/2026  Publicación de la Necesidad
31/07/2026 Estudio de Mercado
03/08/2026 Certificacion Presupuestaria 
5/08/2026 Publicación Proceso
05/09/2026: Adjudicación
</t>
  </si>
  <si>
    <t xml:space="preserve">07/08/2026 Actualización de nuevos formatos 
13/08/2026 Revisión de compras 
Autorizacion Necesidad
27/07/2026  Publicación de la Necesidad
31/07/2026 Estudio de Mercado
03/08/2026 Certificacion Presupuestaria 
5/08/2026 Publicación Proceso
05/09/2026: Adjudicación
</t>
  </si>
  <si>
    <t>05/08/2026 Entrega el formato de documento
06/08/2026 Actualización dedocumentos 
07/08/2026 autorizacion de necesidad 
 21-07-2026 Publicación de la Necesidad en SERCOP
27-07-2026 Entrega de Proformas
30/07/2026 Estudio de Mercado
31/07/2026 certificaciones
5/08/2026 Directorio
11/08/2026 aprobación QH
17/08/2026 Publicación proceso
11/09/2026 Entrega Ofertas
22/09/2026 convalidación 
25/09/2026 calificación ofertas 
01/10/2026 adjudicación</t>
  </si>
  <si>
    <t>SEGUIMIENTO
06-08-2026</t>
  </si>
  <si>
    <t>6/8/2026 TDRS actualizados
Mesa Técnica 
Estudio de Mercado (van a volver hacer)
Publicacion Proceso (depende de mesa técnica) 
Preguntas y Respuestas (depende de mesa técnica) 
Calificación (depende de mesa técnica) 
Adjudicación  (depende de mesa técnica) 
Ejecución: SEP - OCT-NOV-DIC</t>
  </si>
  <si>
    <t>TDRS actualizados
Mesa Técnica 
Estudio de Mercado (van a volver hacer)
Publicacion Proceso (depende de mesa técnica)
Preguntas y Respuestas 
Calificación
Adjudicación 
Ejecución: SEP - OCT-NOV-DIC</t>
  </si>
  <si>
    <t>07/08/2026 Información de Necesidad Técnico y TDR para revisión con nuevos formatos</t>
  </si>
  <si>
    <t>12/8/2026 Informe de Necesidad y TDRS  actualizados
12/08/2026 Mesa Técnica (Actualización de formatos)
17/08/2026 Publicación de proceso
21/8/2026 Estudio de Mercado 
21/08/2026  Calificación
01/09/2026 Adjudicación 
Ejecución: AGO - SEP - OCT-NOV-DIC</t>
  </si>
  <si>
    <t>21-07-2026 Publicación de la Necesidad en SERCOP (Formalización de nuevos formatos)
 Entrega de Proformas
 Estudio de Mercado
 certificaciones
 Directorio
 aprobación QH
 Publicación proceso
Entrega Ofertas
convalidación 
calificación ofertas 
 adjudicación</t>
  </si>
  <si>
    <t>17/08/2026 Publicación de la Necesidad en SERCOP (Formalización de nuevos formatos)
21/08/2026 Entrega de Proformas
25/08/2026 Estudio de Mercado
26/08/2026 certificaciones
31/08/2026 Publicación proceso
03/09/2026 adjudicación</t>
  </si>
  <si>
    <t>En espera de actualización de formatos de SIE</t>
  </si>
  <si>
    <t>20/08/2026 Por devengar $14000 
20/12/2026 Por devengar $ 25000</t>
  </si>
  <si>
    <t>20/05/2026 Pago $2016,000
30/10/2026 Pago $194,000
20/12/2026 Pago monto x confirmar</t>
  </si>
  <si>
    <t xml:space="preserve">31/08/2026 Pago final $20,000
</t>
  </si>
  <si>
    <t xml:space="preserve">04/08/2026 Contrato firmado
25/09/2026 1er pago </t>
  </si>
  <si>
    <t xml:space="preserve">18/08/2026 Pendiente de la suscripción de nuevo contrato, en espera de apostilla y la garantía
23/10/2026 1er Pago
</t>
  </si>
  <si>
    <t>12/08/2026 Cronograma de Ejecución
25/09/2026 1er pago, según cronograma de ejecución</t>
  </si>
  <si>
    <t>1´099,682,40
21-07-2026 Publicación de la Necesidad en SERCOP
27-07-2026 Entrega de Proformas
30/07/2026 Estudio de Mercado
31/07/2026 certificaciones
04/08/2026 entrega de TDR
11/08/2026 Aprobación de Directorio (Estudios de Mercado e Informe Técnico de Directorio)
11/08/2026 aprobación QH
17/08/2026 Publicación proceso
11/09/2026 Entrega Ofertas
22/09/2026 convalidación 
25/09/2026 calificación ofertas 
01/10/2026 adjudicación</t>
  </si>
  <si>
    <t>Complementario de Marketing Digital</t>
  </si>
  <si>
    <t>SEGUIMIENTO 
11-08-2026</t>
  </si>
  <si>
    <r>
      <t xml:space="preserve">1´099,682,40
21-07-2026 Publicación de la Necesidad en SERCOP
27-07-2026 Entrega de Proformas
30/07/2026 Estudio de Mercado
31/07/2026 certificaciones
04/08/2026 entrega de TDR
</t>
    </r>
    <r>
      <rPr>
        <sz val="9"/>
        <color rgb="FFFF0000"/>
        <rFont val="Montserrat"/>
      </rPr>
      <t>11/08/2026 Aprobación de Directorio (Estudios de Mercado e Informe Técnico de Directorio)</t>
    </r>
    <r>
      <rPr>
        <sz val="9"/>
        <color theme="1"/>
        <rFont val="Montserrat"/>
      </rPr>
      <t xml:space="preserve">
11/08/2026 aprobación QH
17/08/2026 Publicación proceso
11/09/2026 Entrega Ofertas
22/09/2026 convalidación 
25/09/2026 calificación ofertas 
01/10/2026 adjudicación</t>
    </r>
  </si>
  <si>
    <r>
      <t xml:space="preserve">21-07-2026 Publicación de la Necesidad en SERCOP
27-07-2026 Entrega de Proformas
30/07/2026 Estudio de Mercado
31/07/2026 certificaciones
5/08/2026 Directorio
</t>
    </r>
    <r>
      <rPr>
        <sz val="9"/>
        <color rgb="FFFF0000"/>
        <rFont val="Montserrat"/>
      </rPr>
      <t>11/08/2026 aprobación QH</t>
    </r>
    <r>
      <rPr>
        <sz val="9"/>
        <color theme="1"/>
        <rFont val="Montserrat"/>
      </rPr>
      <t xml:space="preserve">
17/08/2026 Publicación proceso
11/09/2026 Entrega Ofertas
22/09/2026 convalidación 
25/09/2026 calificación ofertas 
01/10/2026 adjudicación</t>
    </r>
  </si>
  <si>
    <t>20/05/2026 Pago $2016,000
30/10/2026 Pago $194,000
20/12/2026 Pago por confirmar</t>
  </si>
  <si>
    <t xml:space="preserve">07/08/2026 Actualizacion nuevos formatos 
11/08/2026 revision 
12/08/2026 publicacion de necesidad </t>
  </si>
  <si>
    <t xml:space="preserve">
25/09/2026 1er pago </t>
  </si>
  <si>
    <r>
      <rPr>
        <sz val="11"/>
        <color rgb="FFFF0000"/>
        <rFont val="Calibri"/>
        <family val="2"/>
        <scheme val="minor"/>
      </rPr>
      <t>12/08/2026 Cronograma de Ejecución</t>
    </r>
    <r>
      <rPr>
        <sz val="11"/>
        <color theme="1"/>
        <rFont val="Calibri"/>
        <family val="2"/>
        <scheme val="minor"/>
      </rPr>
      <t xml:space="preserve">
25/09/2026 1er pago, según cronograma de ejecución</t>
    </r>
  </si>
  <si>
    <r>
      <rPr>
        <sz val="11"/>
        <color rgb="FFFF0000"/>
        <rFont val="Montserrat"/>
      </rPr>
      <t>6/8/2026 TDRS actualizados</t>
    </r>
    <r>
      <rPr>
        <sz val="11"/>
        <color theme="1"/>
        <rFont val="Montserrat"/>
      </rPr>
      <t xml:space="preserve">
Mesa Técnica 
Estudio de Mercado 
6/7/2026 Publicacion Proceso 
16/07/2026 Preguntas y Respuestas 
24/07/2026  Calificación
31/07/2026 Adjudicación 
Ejecución: AGO - SEP - OCT-NOV-DIC</t>
    </r>
  </si>
  <si>
    <r>
      <rPr>
        <sz val="11"/>
        <color rgb="FFFF0000"/>
        <rFont val="Montserrat"/>
      </rPr>
      <t>12/8/2026 Informe de Necesidad y TDRS  actualizados</t>
    </r>
    <r>
      <rPr>
        <sz val="11"/>
        <color theme="1"/>
        <rFont val="Montserrat"/>
      </rPr>
      <t xml:space="preserve">
12/08/2026 Mesa Técnica (Actualización de formatos)
17/08/2026 Publicación de proceso
21/8/2026 Estudio de Mercado 
21/08/2026  Calificación
01/09/2026 Adjudicación 
Ejecución: AGO - SEP - OCT-NOV-DIC</t>
    </r>
  </si>
  <si>
    <r>
      <t xml:space="preserve">1´099,682,40
21-07-2026 Publicación de la Necesidad en SERCOP
27-07-2026 Entrega de Proformas
30/07/2026 Estudio de Mercado
31/07/2026 certificaciones
04/08/2026 entrega de TDR
</t>
    </r>
    <r>
      <rPr>
        <sz val="9"/>
        <color rgb="FFFF0000"/>
        <rFont val="Montserrat"/>
      </rPr>
      <t xml:space="preserve">11/08/2026 Aprobación de Directorio (Estudios de Mercado e Informe Técnico de Directorio)
</t>
    </r>
    <r>
      <rPr>
        <sz val="9"/>
        <color theme="1"/>
        <rFont val="Montserrat"/>
      </rPr>
      <t>11/08/2026 aprobación QH
17/08/2026 Publicación proceso
11/09/2026 Entrega Ofertas
22/09/2026 convalidación 
25/09/2026 calificación ofertas 
01/10/2026 adjudicación</t>
    </r>
  </si>
  <si>
    <r>
      <t xml:space="preserve">21-07-2026 Publicación de la Necesidad en SERCOP
27-07-2026 Entrega de Proformas
30/07/2026 Estudio de Mercado
31/07/2026 certificaciones
5/08/2026 Directorio
</t>
    </r>
    <r>
      <rPr>
        <sz val="9"/>
        <color rgb="FFFF0000"/>
        <rFont val="Montserrat"/>
      </rPr>
      <t xml:space="preserve">11/08/2026 aprobación QH
</t>
    </r>
    <r>
      <rPr>
        <sz val="9"/>
        <color theme="1"/>
        <rFont val="Montserrat"/>
      </rPr>
      <t>17/08/2026 Publicación proceso
11/09/2026 Entrega Ofertas
22/09/2026 convalidación 
25/09/2026 calificación ofertas 
01/10/2026 adjudicación</t>
    </r>
  </si>
  <si>
    <t>TICS</t>
  </si>
  <si>
    <t>13/08/2026 FORMATOS ACTUALIZADOS</t>
  </si>
  <si>
    <t>7/08/2026 PRIMER PAGO</t>
  </si>
  <si>
    <t>7/08/2026 INGRESO DEL PAGO DE AGOSTO</t>
  </si>
  <si>
    <t>SALDO LIBERADO</t>
  </si>
  <si>
    <r>
      <rPr>
        <sz val="9"/>
        <color rgb="FFFF0000"/>
        <rFont val="Montserrat"/>
      </rPr>
      <t xml:space="preserve">13/08/2026 Actualizados documentos nuevos 
14/08/2026 Mesa Técnica 
</t>
    </r>
    <r>
      <rPr>
        <sz val="9"/>
        <color theme="1"/>
        <rFont val="Montserrat"/>
      </rPr>
      <t xml:space="preserve">
 </t>
    </r>
  </si>
  <si>
    <r>
      <rPr>
        <b/>
        <sz val="9"/>
        <color theme="1"/>
        <rFont val="Montserrat"/>
      </rPr>
      <t xml:space="preserve">13/08/2026 Actualizados documentos nuevos 
14/08/2026 Mesa Técnica 
</t>
    </r>
    <r>
      <rPr>
        <sz val="9"/>
        <color theme="1"/>
        <rFont val="Montserrat"/>
      </rPr>
      <t xml:space="preserve">
 </t>
    </r>
  </si>
  <si>
    <t>13/08/2026 Información de Necesidad Técnico y TDR para revisión con nuevos formatos</t>
  </si>
  <si>
    <t>DESFINANCIADO</t>
  </si>
  <si>
    <t>13/08/2026 Entrega el formato de documento
14/08/2026 autorizacion de necesidad 
 17-08-2026 Publicación de la Necesidad en SERCOP
20-08-2026 Entrega de Proformas
21/08/2026 Estudio de Mercado
25/08/2026 certificaciones
31/08/2026 Publicación proceso
4/09/2026 Entrega Ofertas
22/09/2026 convalidación 
25/09/2026 calificación ofertas 
01/10/2026 adjudicación</t>
  </si>
  <si>
    <t>Fase preparatorio - Acuerdo comercial 17/08/2026</t>
  </si>
  <si>
    <t>30.000 PARA SEPTIEMBRE Y LOS 70. 000 A COMERCIALIZACION</t>
  </si>
  <si>
    <t>20/08/2026 PAGO ARCANGEL</t>
  </si>
  <si>
    <t>UN SOLO PAGO EL 30/07/2026</t>
  </si>
  <si>
    <t>SUSPENSION SERCOP</t>
  </si>
  <si>
    <t>13/08/2026 TDRS actualizados
17/08/2026 Mesa Técnica 
25/08/2026 Estudio de Mercado 
18/08/2026 Publicacion Proceso 
24/08/2026 Preguntas y Respuestas 
26/08/2026 Calificación
1/09/2026 Adjudicación 
Ejecución: SEP - OCT-NOV-DIC</t>
  </si>
  <si>
    <t xml:space="preserve">13/08/2026 Actualizacion nuevos formatos 
14/08/2026 revision 
01/09/2026 publicacion de necesidad </t>
  </si>
  <si>
    <t xml:space="preserve">20/08/2026 Pendiente de la suscripción de nuevo contrato, en espera de apostilla y la garantía
23/10/2026 1er Pago
</t>
  </si>
  <si>
    <t>30-06-2026 pago concluido</t>
  </si>
  <si>
    <r>
      <rPr>
        <sz val="11"/>
        <color rgb="FFFF0000"/>
        <rFont val="Montserrat"/>
      </rPr>
      <t>6/8/2026 TDRS actualizados</t>
    </r>
    <r>
      <rPr>
        <sz val="11"/>
        <color theme="1"/>
        <rFont val="Montserrat"/>
      </rPr>
      <t xml:space="preserve">
11/08/2026 Mesa Técnica 
Estudio de Mercado (van a volver hacer)
Publicacion Proceso (depende de mesa técnica) 
Preguntas y Respuestas (depende de mesa técnica) 
Calificación (depende de mesa técnica) 
Adjudicación  (depende de mesa técnica) 
Ejecución: SEP - OCT-NOV-DIC</t>
    </r>
  </si>
  <si>
    <r>
      <t xml:space="preserve">07/08/2026 Actualización de nuevos formatos 
</t>
    </r>
    <r>
      <rPr>
        <sz val="9"/>
        <color rgb="FFFF0000"/>
        <rFont val="Montserrat"/>
      </rPr>
      <t xml:space="preserve">13/08/2026 Revisión de compras </t>
    </r>
    <r>
      <rPr>
        <sz val="9"/>
        <color theme="1"/>
        <rFont val="Montserrat"/>
      </rPr>
      <t xml:space="preserve">
Autorizacion Necesidad
27/07/2026  Publicación de la Necesidad
31/07/2026 Estudio de Mercado
03/08/2026 Certificacion Presupuestaria 
5/08/2026 Publicación Proceso
05/09/2026: Adjudicación
</t>
    </r>
  </si>
  <si>
    <r>
      <rPr>
        <sz val="9"/>
        <color rgb="FFFF0000"/>
        <rFont val="Montserrat"/>
      </rPr>
      <t xml:space="preserve">06/08/2026 Actualización de nuevos formatos </t>
    </r>
    <r>
      <rPr>
        <sz val="9"/>
        <color theme="1"/>
        <rFont val="Montserrat"/>
      </rPr>
      <t xml:space="preserve">
07/08/2026 Revisión de compras 
Autorizacion Necesidad
27/07/2026  Publicación de la Necesidad
31/07/2026 Estudio de Mercado
03/08/2026 Certificacion Presupuestaria 
5/08/2026 Publicación Proceso
05/09/2026: Adjudicación
</t>
    </r>
  </si>
  <si>
    <t>encabeza Promoción</t>
  </si>
  <si>
    <t>11/08/2026 en Negociación</t>
  </si>
  <si>
    <t xml:space="preserve">11/08/2026 En espera de instrucciones </t>
  </si>
  <si>
    <t xml:space="preserve">20/08/2026 Por devengar $14000 
20/12/2026 Por devengar $ 25000 </t>
  </si>
  <si>
    <t>Revisar suspención Sercop</t>
  </si>
  <si>
    <t>11/8/2026 Saldo liberado</t>
  </si>
  <si>
    <t>07-08-2026 Enviado aclaración a Sercop</t>
  </si>
  <si>
    <t>30/09/2026 Pago Final</t>
  </si>
  <si>
    <t>En ejecución</t>
  </si>
  <si>
    <t xml:space="preserve">01/9/2026 Respuesta Sercop 
19/08/2026 TDRS actualizados nuevo forma
02/09/2026 Mesa Técnica 
03/09/2026 Autorización Necesidad 
04/09/2026 Publicacion de Necesidad
07/09/2026 Recepcion de Proformas
09/09/2026 Estudio de Mercado 
14/09/2026 Publicacion Proceso 
14/10/2026 Recepcion Ofertas
16/10/2026 Convalidación
21/10/2026 Calificación
26/10/2026 Adjudicación 
</t>
  </si>
  <si>
    <t xml:space="preserve">No hay respuesta de SERCOP si se alarga la respuesta, no se podría ejecutar. 
Cambio de objeto de contrato
reforma PAC Y reforma POA </t>
  </si>
  <si>
    <t>Una semana adicional para ejecución de contrato por entrega de anticipo</t>
  </si>
  <si>
    <t>Pago noviembre 
Pago diciembre</t>
  </si>
  <si>
    <t xml:space="preserve">18/08/2026 TDRS actualizados nuevo formato 
19/08/2026 Mesa Técnica 
20/08/2026 Revisión Mesa Técnica 
20/08/2026 Autorización Necesidad 
21/08/2026 Publicacion de Necesidad
26/08/2026 Recepcion de Proformas
28/08/2026 Estudio de Mercado 
31/08/2026 Certificaciones
3/09/2026 Inicio y Pliegos  
7/09/2026 Publicacion Proceso 
24/09/2026 Recepcion Ofertas
28/09/2026 Convalidación
02/10/2026 Calificación
06/10/2026 Adjudicación 
12/10/2026 Firma de Contrato </t>
  </si>
  <si>
    <t xml:space="preserve">18/08/2026 TDRS actualizados nuevo formato 
19/08/2026 Mesa Técnica 
20/08/2026 Revisión Mesa Técnica 
20/08/2026 Autorización Necesidad 
21/08/2026 Publicacion de Necesidad
26/08/2026 Recepcion de Proformas
27/08/2026 Estudio de Mercado 
02/09/2026 Certificaciones
03/09/2026 Inicio 
7/09/2026 Firma de Orden de compra </t>
  </si>
  <si>
    <t>Actualización de esquemas de competencias laborales desde el Min. Trabajo,</t>
  </si>
  <si>
    <t>Ejecución desde el 10 de septiembre 10 de diciembre 
Plazo: al 31 de diciembre</t>
  </si>
  <si>
    <t>Ejecución Noviembre al 15 diciembre 
Plazo: bianual / diciembre 2027</t>
  </si>
  <si>
    <t>Ejecución del 21 de octubre al 15 diciembre 
Plazo: bianual - mayo /2027</t>
  </si>
  <si>
    <t xml:space="preserve">18/08/2026 TDRS actualizados nuevo formato 
19/08/2026 Mesa Técnica 
21/08/2026 Revisión Mesa Técnica 
25/08/2026 Autorización Necesidad 
26/08/2026 Publicacion de Necesidad
28/09/2026 Recepcion de Proformas
02/09/2026 Estudio de Mercado 
04/09/2026 Certificaciones
07/09/2026 Inicio 
10/09/2026 Firma de Orden de compra </t>
  </si>
  <si>
    <t>Plazo: 30 septiembre/2026</t>
  </si>
  <si>
    <t xml:space="preserve">Pago en octubre </t>
  </si>
  <si>
    <t xml:space="preserve">Pago noviembre 
pago diciembre </t>
  </si>
  <si>
    <t>Posible liberación de recurso $10.000 mediados de septiembre</t>
  </si>
  <si>
    <t>Plazo: 5 septiembre/2026</t>
  </si>
  <si>
    <t xml:space="preserve">Pago octubre </t>
  </si>
  <si>
    <t>Evento 1: noviembre /2026 
Evento 2: diciembre /2026 
Presupuesto DSIT: $58.072,00</t>
  </si>
  <si>
    <t>SEGUIMIENTO 
18-08-2026</t>
  </si>
  <si>
    <t xml:space="preserve">18/08/2026 TDRS actualizados nuevo formato 
19/08/2026 Mesa Técnica 
20/08/2026 Revisión Mesa Técnica 
21/08/2026 Autorización Necesidad 
24/08/2026 Publicacion de Necesidad
26/08/2026 Recepcion de Proformas
31/08/2026 Estudio de Mercado 
02/09/2026 Certificaciones
04/09/2026 Inicio y Pliegos  
8/09/2026 Publicacion Proceso 
25/09/2026 Recepcion Ofertas
30/09/2026 Convalidación
02/10/2026 Calificación
12/10/2026 Adjudicación 
20/10/2026 Firma de Contrato </t>
  </si>
  <si>
    <t xml:space="preserve">No se alcanza al 30 de diciembre
se debe bajar 15 dias, hay riesgo de que no haya oferentes, debe ser un contrato plurianual </t>
  </si>
  <si>
    <t xml:space="preserve">Ejecución 20 de diciembre al 20 enero 
Plazo: 90 días </t>
  </si>
  <si>
    <t>Servicio especializado para el diseño, implementación y posicionamiento del producto turístico gastronómico “Quito gastronómico”, orientado al fortalecimiento, diversificación y dinamización de la oferta turística del DMQ.</t>
  </si>
  <si>
    <t xml:space="preserve">21/08/2026 REFORMA POA / PAC
21/08/2026 TDRS actualizados nuevo formato 
24/08/2026 Mesa Técnica 
25/08/2026 Revisión Mesa Técnica 
26/08/2026 Autorización Necesidad 
31/08/2026 Publicacion de Necesidad
03/09/2026 Recepcion de Proformas
04/09/2026 Estudio de Mercado 
07/09/2026 Certificaciones
09/09/2026 Inicio y Pliegos  
10/09/2026 Publicacion Proceso 
25/09/2026 Recepcion Ofertas
28/09/2026 Convalidación
01/10/2026 Calificación
08/10/2026 Adjudicación 
15/10/2026 Firma de Contrato </t>
  </si>
  <si>
    <t xml:space="preserve">Mantenimiento </t>
  </si>
  <si>
    <t>Diciemnbre</t>
  </si>
  <si>
    <t xml:space="preserve">se generarían 6 eventos gastronómicos </t>
  </si>
  <si>
    <t xml:space="preserve">Evento 1: 3 diciembre
Evento 2: 4 diciembre
Evento 3: 5 diciembre
Plazo: al 20 de diciembre </t>
  </si>
  <si>
    <t xml:space="preserve">19/08/2026 Mesa Técnica </t>
  </si>
  <si>
    <t xml:space="preserve">20/08/2026 Autorización Necesidad </t>
  </si>
  <si>
    <t>21/08/2026 Publicacion de Necesidad</t>
  </si>
  <si>
    <t>26/08/2026 Recepcion de Proformas</t>
  </si>
  <si>
    <t xml:space="preserve">28/08/2026 Estudio de Mercado </t>
  </si>
  <si>
    <t>31/08/2026 Certificaciones</t>
  </si>
  <si>
    <t xml:space="preserve">3/09/2026 Inicio y Pliegos  </t>
  </si>
  <si>
    <t xml:space="preserve">7/09/2026 Publicacion Proceso </t>
  </si>
  <si>
    <t>24/09/2026 Recepcion Ofertas</t>
  </si>
  <si>
    <t>28/09/2026 Convalidación</t>
  </si>
  <si>
    <t>02/10/2026 Calificación</t>
  </si>
  <si>
    <t xml:space="preserve">06/10/2026 Adjudicación </t>
  </si>
  <si>
    <t xml:space="preserve">12/10/2026 Firma de Contrato </t>
  </si>
  <si>
    <t xml:space="preserve">18/08/2026 Informe motivación DESIERTO
19/08/2026 Resolución de DESIERTO
21/08/2026 TDRS actualizados nuevo formato 
25/08/2026 Mesa Técnica 
26/08/2026 Revisión Mesa Técnica 
28/08/2026 Autorización Necesidad 
31/08/2026 Publicacion de Necesidad
04/09/2026 Recepcion de Proformas
09/09/2026 Estudio de Mercado 
14/09/2026 Certificaciones
16/09/2026 Inicio y Pliegos  
21/09/2026 Publicacion Proceso 
23/10/2026 Recepcion Ofertas
28/10/2026 Convalidación
30/10/2026 Calificación
6/11/2026 Adjudicación 
12/11/2026 Firma de Contrato </t>
  </si>
  <si>
    <t>Activa cambio de objeto de contrato 
Se Activa reforma }</t>
  </si>
  <si>
    <t xml:space="preserve">REFORMA </t>
  </si>
  <si>
    <t xml:space="preserve">18/08/2026 Certificacion POA Y CATE 
19/08/2026 TDRS actualizados nuevo formato 
20/08/2026 Mesa Técnica 
21/08/2026 Revisión Mesa Técnica 
25/08/2026 Autorización Necesidad 
26/08/2026 Publicacion de Necesidad
31/08/2026 Recepcion de Proformas
03/09/2026 Estudio de Mercado 
7/09/2026 Certificaciones
09/09/2026 Inicio y Pliegos  
15/09/2026 Publicacion Proceso 
29/09/2026 Recepcion Ofertas
05/10/2026 Convalidación
12/10/2026 Calificación
15/10/2026 Adjudicación 
21/10/2026 Firma de Contrato </t>
  </si>
  <si>
    <t xml:space="preserve">Ejecución noviembre / diciembre </t>
  </si>
  <si>
    <t xml:space="preserve">21 octubre a junio 2027 </t>
  </si>
  <si>
    <t>pago noviembre 
pago diciembre</t>
  </si>
  <si>
    <t xml:space="preserve">ADJUDICADO </t>
  </si>
  <si>
    <t xml:space="preserve">FIRMADO CONTRATO </t>
  </si>
  <si>
    <t xml:space="preserve">19/08/2026 TDRS actualizados nuevo formato 
20/08/2026 Mesa Técnica 
21/08/2026 Revisión Mesa Técnica 
24/08/2026 Autorización Necesidad 
25/08/2026 Publicacion de Necesidad
28/08/2026 Recepcion de Proformas
02/09/2026 Estudio de Mercado 
04/09/2026 Certificaciones
8/09/2026 Inicio y Pliegos  
10/09/2026 Publicacion Proceso 
25/09/2026 Recepcion Ofertas
30/09/2026 Convalidación
02/10/2026 Calificación
06/10/2026 Adjudicación 
12/10/2026 Firma de Contrato </t>
  </si>
  <si>
    <t>Plazo: octubre/2027</t>
  </si>
  <si>
    <t>Pago Noviembre</t>
  </si>
  <si>
    <t xml:space="preserve">EJECUCION </t>
  </si>
  <si>
    <t xml:space="preserve">24/08/2026 TDRS actualizados nuevo formato 
24/08/2026 Mesa Técnica
25/09/2026 Certificacion POA / CATE  
26/08/2026 Revisión Mesa Técnica 
28/08/2026 Autorización Necesidad 
31/08/2026 Publicacion de Necesidad
03/9/2026 Recepcion de Proformas
04/09/2026 Estudio de Mercado 
8/09/2026 Certificaciones
9/09/2026 Inicio Proceso
12/09/2026 Firma de orden de proceso </t>
  </si>
  <si>
    <t xml:space="preserve">18/08/2026 TDRS actualizados nuevo formato 
20/08/2026 Revisión Mesa Técnica 
21/08/2026 Autorización Necesidad 
24/08/2026 Publicacion de Necesidad
27/08/2026 Recepcion de Proformas
28/08/2026 Estudio de Mercado 
31/08/2026 Certificaciones
3/09/2026 Inicio y Pliegos  
07/09/2026 Publicacion Proceso 
21/09/2026 Recepcion Ofertas
28/09/2026 Convalidación
30/09/2026 Calificación
05/10/2026 Adjudicación 
08/10/2026 Firma de Contrato </t>
  </si>
  <si>
    <t xml:space="preserve">Plazo: 21 días 
Ejecución octubre </t>
  </si>
  <si>
    <t>Pago Noviembre (un solo pago)</t>
  </si>
  <si>
    <t xml:space="preserve">20/08/2026 Certificaciones POA - CATE 
20/08/2026 TDRS actualizados nuevo formato 
20/08/2026 Revisión Mesa Técnica 
24/08/2026 Publicacion de Necesidad
27/08/2026 Recepcion de Proformas
28/08/2026 Estudio de Mercado 
31/08/2026 Certificaciones
3/09/2026 Inicio y Pliegos  
07/09/2026 Publicacion Proceso 
21/09/2026 Recepcion Ofertas
28/09/2026 Convalidación
30/09/2026 Calificación
05/10/2026 Adjudicación 
08/10/2026 Firma de Contrato </t>
  </si>
  <si>
    <t xml:space="preserve">07/09/2026 Certificacion POA - CATE  
16/09/2026 TDRS actualizados nuevo formato 
17/09/2026 Autorización Necesidad 
18/09/2026 Publicacion de Necesidad
28/09/2026 Recepcion de Proformas
29/08/2026 Estudio de Mercado 
30/09/2026 Certificaciones
02/10/2026 Inicio 
7/10/2026 Firma de Orden de compra </t>
  </si>
  <si>
    <t>Plazo: 21 días 
Ejecución octubre - noviembre</t>
  </si>
  <si>
    <t>02/12/2026	Fin de ejecución contractual (con plazo de 60 días)</t>
  </si>
  <si>
    <t>20/8/2026	TDRS actualizados nuevo formato 
24/8/2026	Mesa Técnica 
25/8/2026	Revisión Mesa Técnica 
26/8/2026	Autorización Necesidad 
27/8/2026	Publicacion de Necesidad
31/8/2026	Recepcion de Proformas
7/9/2026	Estudio de Mercado 
9/9/2026	Certificaciones
11/9/2026	Inicio y Pliegos  
14/9/2026	Publicacion Proceso 
17/9/2026	Recepcion Ofertas
22/9/2026	Convalidación
24/9/2026	Calificación
25/9/2026	Adjudicación 
2/10/2026	Firma de Contrato</t>
  </si>
  <si>
    <t xml:space="preserve">17/08/2026 Publicacion de Necesidad
21/08/2026 Recepcion de Proformas
25/08/2026 Estudio de Mercado 
26/08/2026 Certificaciones
27/08/2026 Actualizacion Informes Directorio 
28/08/2026 Directorio Extraordinario
31/08/2026 Solicitud de Acompañamiento Quito Honesto
04/09/2026 Informe Quito Honesto
07/09/2026 Autorizacion de Inicion 
07/09/2026 Pliegos  
09/09/2026 Resolución de Inicio 
09/09/2026 Publicacion Proceso 
08/10/2026 Recepcion Ofertas
14/10/2026 Solicitud de convalidaciones 
29/10/2026 Convalidación
21/10/2026 Calificación
26/10/2026 Adjudicación 
30/10/2026 Firma de Contrato </t>
  </si>
  <si>
    <t>POSIBLE SUSPENSION SERCOP</t>
  </si>
  <si>
    <t>Contratado</t>
  </si>
  <si>
    <t>Agregar al sistema con la suma</t>
  </si>
  <si>
    <t>Agregar como no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</si>
</sst>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dd/mm/yyyy;@"/>
    <numFmt numFmtId="166" formatCode="0.0%"/>
  </numFmts>
  <fonts count="4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BFBFB"/>
      <name val="Calibri"/>
      <family val="2"/>
      <scheme val="minor"/>
    </font>
    <font>
      <b/>
      <sz val="10"/>
      <name val="Montserrat"/>
    </font>
    <font>
      <sz val="11"/>
      <color theme="1"/>
      <name val="Montserrat"/>
    </font>
    <font>
      <b/>
      <sz val="9"/>
      <color theme="4" tint="-0.499984740745262"/>
      <name val="Calibri"/>
      <family val="2"/>
      <scheme val="minor"/>
    </font>
    <font>
      <sz val="9"/>
      <color theme="1"/>
      <name val="Montserrat"/>
    </font>
    <font>
      <sz val="9"/>
      <color rgb="FFFF0000"/>
      <name val="Montserrat"/>
    </font>
    <font>
      <sz val="11"/>
      <color rgb="FFFF0000"/>
      <name val="Montserrat"/>
    </font>
    <font>
      <b/>
      <sz val="9"/>
      <color theme="1"/>
      <name val="Montserrat"/>
    </font>
    <font>
      <sz val="11"/>
      <color rgb="FF92D050"/>
      <name val="Calibri"/>
      <family val="2"/>
      <scheme val="minor"/>
    </font>
    <font>
      <sz val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24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1" fillId="0" borderId="0" xfId="0" applyFont="1" applyAlignment="1">
      <alignment horizontal="center"/>
    </xf>
    <xf numFmtId="0" fontId="3" fillId="15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29" fillId="1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43" fontId="0" fillId="0" borderId="6" xfId="1" applyFont="1" applyFill="1" applyBorder="1" applyAlignment="1">
      <alignment vertical="center"/>
    </xf>
    <xf numFmtId="43" fontId="0" fillId="0" borderId="0" xfId="0" applyNumberFormat="1"/>
    <xf numFmtId="0" fontId="3" fillId="19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0" fontId="0" fillId="0" borderId="0" xfId="0" applyNumberFormat="1"/>
    <xf numFmtId="4" fontId="0" fillId="0" borderId="1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vertical="center"/>
    </xf>
    <xf numFmtId="0" fontId="0" fillId="0" borderId="0" xfId="0" pivotButton="1"/>
    <xf numFmtId="4" fontId="0" fillId="0" borderId="0" xfId="0" applyNumberFormat="1"/>
    <xf numFmtId="0" fontId="33" fillId="14" borderId="8" xfId="0" applyFont="1" applyFill="1" applyBorder="1" applyAlignment="1">
      <alignment vertical="center"/>
    </xf>
    <xf numFmtId="43" fontId="0" fillId="0" borderId="0" xfId="1" applyFont="1"/>
    <xf numFmtId="4" fontId="32" fillId="0" borderId="1" xfId="0" applyNumberFormat="1" applyFont="1" applyBorder="1" applyAlignment="1">
      <alignment vertical="center"/>
    </xf>
    <xf numFmtId="43" fontId="32" fillId="0" borderId="1" xfId="1" applyFont="1" applyFill="1" applyBorder="1" applyAlignment="1">
      <alignment vertical="center"/>
    </xf>
    <xf numFmtId="43" fontId="28" fillId="0" borderId="1" xfId="1" applyFont="1" applyFill="1" applyBorder="1" applyAlignment="1">
      <alignment vertical="center"/>
    </xf>
    <xf numFmtId="43" fontId="28" fillId="0" borderId="1" xfId="1" applyFont="1" applyBorder="1" applyAlignment="1">
      <alignment vertical="center"/>
    </xf>
    <xf numFmtId="4" fontId="28" fillId="0" borderId="1" xfId="0" applyNumberFormat="1" applyFont="1" applyBorder="1" applyAlignment="1">
      <alignment vertical="center"/>
    </xf>
    <xf numFmtId="4" fontId="28" fillId="0" borderId="1" xfId="1" applyNumberFormat="1" applyFont="1" applyFill="1" applyBorder="1" applyAlignment="1">
      <alignment vertical="center"/>
    </xf>
    <xf numFmtId="0" fontId="0" fillId="18" borderId="0" xfId="0" applyFill="1"/>
    <xf numFmtId="43" fontId="3" fillId="0" borderId="0" xfId="1" applyFont="1" applyAlignment="1">
      <alignment horizontal="center"/>
    </xf>
    <xf numFmtId="166" fontId="0" fillId="0" borderId="0" xfId="2" applyNumberFormat="1" applyFont="1"/>
    <xf numFmtId="0" fontId="32" fillId="0" borderId="1" xfId="0" applyFont="1" applyBorder="1" applyAlignment="1">
      <alignment vertical="center"/>
    </xf>
    <xf numFmtId="4" fontId="32" fillId="0" borderId="1" xfId="1" applyNumberFormat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2" fillId="0" borderId="1" xfId="1" applyFont="1" applyBorder="1" applyAlignment="1">
      <alignment vertical="center"/>
    </xf>
    <xf numFmtId="0" fontId="0" fillId="0" borderId="1" xfId="0" applyBorder="1"/>
    <xf numFmtId="14" fontId="35" fillId="0" borderId="1" xfId="0" applyNumberFormat="1" applyFont="1" applyBorder="1" applyAlignment="1">
      <alignment vertical="center" wrapText="1"/>
    </xf>
    <xf numFmtId="0" fontId="36" fillId="0" borderId="0" xfId="0" applyFont="1" applyAlignment="1">
      <alignment horizontal="center"/>
    </xf>
    <xf numFmtId="0" fontId="5" fillId="0" borderId="0" xfId="0" applyFont="1"/>
    <xf numFmtId="0" fontId="37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/>
    </xf>
    <xf numFmtId="14" fontId="37" fillId="0" borderId="1" xfId="0" applyNumberFormat="1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35" fillId="11" borderId="1" xfId="0" applyFont="1" applyFill="1" applyBorder="1" applyAlignment="1">
      <alignment wrapText="1"/>
    </xf>
    <xf numFmtId="0" fontId="35" fillId="11" borderId="1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horizontal="center" vertical="center" wrapText="1"/>
    </xf>
    <xf numFmtId="0" fontId="29" fillId="1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3" fillId="17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vertical="center" wrapText="1"/>
    </xf>
    <xf numFmtId="43" fontId="0" fillId="12" borderId="1" xfId="1" applyFont="1" applyFill="1" applyBorder="1" applyAlignment="1">
      <alignment vertical="center"/>
    </xf>
    <xf numFmtId="0" fontId="37" fillId="22" borderId="1" xfId="0" applyFont="1" applyFill="1" applyBorder="1" applyAlignment="1">
      <alignment horizontal="left" vertical="center" wrapText="1"/>
    </xf>
    <xf numFmtId="43" fontId="0" fillId="8" borderId="1" xfId="1" applyFont="1" applyFill="1" applyBorder="1" applyAlignment="1">
      <alignment vertical="center"/>
    </xf>
    <xf numFmtId="4" fontId="0" fillId="8" borderId="1" xfId="0" applyNumberFormat="1" applyFill="1" applyBorder="1" applyAlignment="1">
      <alignment vertical="center"/>
    </xf>
    <xf numFmtId="0" fontId="35" fillId="23" borderId="1" xfId="0" applyFont="1" applyFill="1" applyBorder="1" applyAlignment="1">
      <alignment vertical="center" wrapText="1"/>
    </xf>
    <xf numFmtId="0" fontId="0" fillId="23" borderId="1" xfId="0" applyFill="1" applyBorder="1" applyAlignment="1">
      <alignment vertical="center"/>
    </xf>
    <xf numFmtId="16" fontId="0" fillId="0" borderId="1" xfId="0" applyNumberFormat="1" applyBorder="1" applyAlignment="1">
      <alignment vertical="center" wrapText="1"/>
    </xf>
    <xf numFmtId="0" fontId="4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7" fillId="23" borderId="1" xfId="0" applyFont="1" applyFill="1" applyBorder="1" applyAlignment="1">
      <alignment vertical="center" wrapText="1"/>
    </xf>
    <xf numFmtId="0" fontId="3" fillId="24" borderId="8" xfId="0" applyFont="1" applyFill="1" applyBorder="1" applyAlignment="1">
      <alignment horizontal="center" wrapText="1"/>
    </xf>
    <xf numFmtId="0" fontId="3" fillId="18" borderId="1" xfId="0" applyFont="1" applyFill="1" applyBorder="1" applyAlignment="1">
      <alignment horizontal="center" wrapText="1"/>
    </xf>
    <xf numFmtId="0" fontId="0" fillId="25" borderId="1" xfId="0" applyFill="1" applyBorder="1" applyAlignment="1">
      <alignment vertical="center"/>
    </xf>
    <xf numFmtId="0" fontId="0" fillId="25" borderId="1" xfId="0" applyFill="1" applyBorder="1" applyAlignment="1">
      <alignment vertical="center" wrapText="1"/>
    </xf>
    <xf numFmtId="43" fontId="0" fillId="25" borderId="1" xfId="1" applyFont="1" applyFill="1" applyBorder="1" applyAlignment="1">
      <alignment vertical="center"/>
    </xf>
    <xf numFmtId="0" fontId="0" fillId="25" borderId="0" xfId="0" applyFill="1" applyAlignment="1">
      <alignment vertical="center"/>
    </xf>
    <xf numFmtId="0" fontId="42" fillId="0" borderId="1" xfId="0" applyFont="1" applyBorder="1" applyAlignment="1">
      <alignment vertical="center" wrapText="1"/>
    </xf>
    <xf numFmtId="14" fontId="35" fillId="25" borderId="1" xfId="0" applyNumberFormat="1" applyFont="1" applyFill="1" applyBorder="1" applyAlignment="1">
      <alignment vertical="center" wrapText="1"/>
    </xf>
    <xf numFmtId="16" fontId="0" fillId="25" borderId="1" xfId="0" applyNumberFormat="1" applyFill="1" applyBorder="1" applyAlignment="1">
      <alignment vertical="center" wrapText="1"/>
    </xf>
    <xf numFmtId="0" fontId="37" fillId="0" borderId="1" xfId="0" applyFont="1" applyBorder="1" applyAlignment="1">
      <alignment horizontal="left" vertical="center" wrapText="1"/>
    </xf>
    <xf numFmtId="0" fontId="0" fillId="11" borderId="1" xfId="0" applyFill="1" applyBorder="1" applyAlignment="1">
      <alignment vertical="center"/>
    </xf>
    <xf numFmtId="43" fontId="0" fillId="11" borderId="1" xfId="1" applyFont="1" applyFill="1" applyBorder="1" applyAlignment="1">
      <alignment vertical="center"/>
    </xf>
    <xf numFmtId="0" fontId="0" fillId="26" borderId="1" xfId="0" applyFill="1" applyBorder="1" applyAlignment="1">
      <alignment vertical="center" wrapText="1"/>
    </xf>
    <xf numFmtId="43" fontId="0" fillId="26" borderId="1" xfId="1" applyFont="1" applyFill="1" applyBorder="1" applyAlignment="1">
      <alignment vertical="center"/>
    </xf>
    <xf numFmtId="0" fontId="0" fillId="26" borderId="1" xfId="0" applyFill="1" applyBorder="1" applyAlignment="1">
      <alignment wrapText="1"/>
    </xf>
    <xf numFmtId="0" fontId="0" fillId="27" borderId="1" xfId="0" applyFill="1" applyBorder="1" applyAlignment="1">
      <alignment vertical="center"/>
    </xf>
    <xf numFmtId="43" fontId="0" fillId="27" borderId="1" xfId="1" applyFont="1" applyFill="1" applyBorder="1" applyAlignment="1">
      <alignment vertical="center"/>
    </xf>
    <xf numFmtId="0" fontId="0" fillId="27" borderId="0" xfId="0" applyFill="1" applyAlignment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" fillId="6" borderId="6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wrapText="1"/>
    </xf>
    <xf numFmtId="0" fontId="3" fillId="20" borderId="8" xfId="0" applyFont="1" applyFill="1" applyBorder="1" applyAlignment="1">
      <alignment horizontal="center" wrapText="1"/>
    </xf>
    <xf numFmtId="0" fontId="34" fillId="21" borderId="1" xfId="0" applyFont="1" applyFill="1" applyBorder="1" applyAlignment="1">
      <alignment horizontal="center" vertical="center"/>
    </xf>
    <xf numFmtId="0" fontId="34" fillId="21" borderId="8" xfId="0" applyFont="1" applyFill="1" applyBorder="1" applyAlignment="1">
      <alignment horizontal="center" vertical="center"/>
    </xf>
    <xf numFmtId="0" fontId="34" fillId="21" borderId="1" xfId="0" applyFont="1" applyFill="1" applyBorder="1" applyAlignment="1">
      <alignment horizontal="center" vertical="center" wrapText="1"/>
    </xf>
    <xf numFmtId="0" fontId="34" fillId="21" borderId="8" xfId="0" applyFont="1" applyFill="1" applyBorder="1" applyAlignment="1">
      <alignment horizontal="center" vertical="center" wrapText="1"/>
    </xf>
    <xf numFmtId="0" fontId="1" fillId="19" borderId="8" xfId="0" applyFont="1" applyFill="1" applyBorder="1" applyAlignment="1">
      <alignment horizontal="center" vertical="center" wrapText="1"/>
    </xf>
    <xf numFmtId="0" fontId="1" fillId="19" borderId="1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wrapText="1"/>
    </xf>
    <xf numFmtId="0" fontId="3" fillId="24" borderId="8" xfId="0" applyFont="1" applyFill="1" applyBorder="1" applyAlignment="1">
      <alignment horizont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9" fontId="0" fillId="4" borderId="1" xfId="2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43" fontId="0" fillId="4" borderId="1" xfId="0" applyNumberFormat="1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0" fillId="4" borderId="1" xfId="1" applyNumberFormat="1" applyFont="1" applyFill="1" applyBorder="1" applyAlignment="1">
      <alignment vertical="center"/>
    </xf>
    <xf numFmtId="43" fontId="0" fillId="4" borderId="1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43" fontId="0" fillId="16" borderId="1" xfId="0" applyNumberFormat="1" applyFill="1" applyBorder="1" applyAlignment="1">
      <alignment vertical="center"/>
    </xf>
    <xf numFmtId="0" fontId="0" fillId="16" borderId="0" xfId="0" applyFill="1" applyAlignment="1">
      <alignment vertical="center"/>
    </xf>
    <xf numFmtId="43" fontId="0" fillId="16" borderId="1" xfId="1" applyFont="1" applyFill="1" applyBorder="1" applyAlignment="1">
      <alignment vertical="center"/>
    </xf>
    <xf numFmtId="4" fontId="0" fillId="16" borderId="1" xfId="0" applyNumberFormat="1" applyFill="1" applyBorder="1" applyAlignment="1">
      <alignment vertical="center"/>
    </xf>
    <xf numFmtId="4" fontId="0" fillId="16" borderId="1" xfId="1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3" fontId="0" fillId="5" borderId="1" xfId="1" applyFont="1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24" borderId="1" xfId="0" applyFill="1" applyBorder="1" applyAlignment="1">
      <alignment vertical="center"/>
    </xf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left" vertical="center"/>
    </xf>
    <xf numFmtId="43" fontId="0" fillId="24" borderId="1" xfId="1" applyFont="1" applyFill="1" applyBorder="1" applyAlignment="1">
      <alignment vertical="center"/>
    </xf>
    <xf numFmtId="4" fontId="0" fillId="24" borderId="1" xfId="0" applyNumberFormat="1" applyFill="1" applyBorder="1" applyAlignment="1">
      <alignment vertical="center"/>
    </xf>
    <xf numFmtId="0" fontId="0" fillId="24" borderId="0" xfId="0" applyFill="1" applyAlignment="1">
      <alignment vertical="center"/>
    </xf>
    <xf numFmtId="0" fontId="0" fillId="28" borderId="1" xfId="0" applyFill="1" applyBorder="1" applyAlignment="1">
      <alignment vertical="center"/>
    </xf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left" vertical="center"/>
    </xf>
    <xf numFmtId="43" fontId="0" fillId="28" borderId="1" xfId="1" applyFont="1" applyFill="1" applyBorder="1" applyAlignment="1">
      <alignment vertical="center"/>
    </xf>
    <xf numFmtId="4" fontId="0" fillId="28" borderId="1" xfId="0" applyNumberFormat="1" applyFill="1" applyBorder="1" applyAlignment="1">
      <alignment vertical="center"/>
    </xf>
    <xf numFmtId="0" fontId="0" fillId="28" borderId="0" xfId="0" applyFill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101</xdr:col>
      <xdr:colOff>605804</xdr:colOff>
      <xdr:row>2</xdr:row>
      <xdr:rowOff>135088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Ximena Alexandra Ulloa loza" id="{7BC94731-7DEC-4103-89D3-F0457FE923EB}" userId="S::xulloa@quito-turismo.gob.ec::41707713-2762-46a8-809d-fc6807722ee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204.560033912036" createdVersion="8" refreshedVersion="8" minRefreshableVersion="3" recordCount="313" xr:uid="{61912469-F86E-46D3-BCAC-EC34CEA7C1D6}">
  <cacheSource type="worksheet">
    <worksheetSource ref="A5:CV326" sheet="Matriz POA 2026"/>
  </cacheSource>
  <cacheFields count="99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Quito Destino Turístico Inteligente"/>
        <s v="Gestión de Producción"/>
        <s v="Gestión de Talento Humano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Implementación de acciones participativas con la industria turística y de eventos de gran impacto para la promoción y posicionamiento de Quito como Destino Turístico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(P) Implementación de acciones para fortalecer el posicionamiento de Quito como Destino Turístico"/>
        <s v="Instalación y mantenimiento de facilidades turísticas en sitios del DMQ con potencialidad turística."/>
        <s v="Aseguramiento del cumplimiento de las actividades y servicios institucionales mediante la gestión del talento humano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  <s v="Implementación de estrategias innovadoras y uso de tecnología para la promoción y posicionamiento del DMQ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5">
      <sharedItems containsSemiMixedTypes="0" containsNonDate="0" containsDate="1" containsString="0" minDate="2026-01-01T00:00:00" maxDate="2026-12-02T00:00:00"/>
    </cacheField>
    <cacheField name="Fecha Fin_x000a_(Tarea)" numFmtId="165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Programa de ferias eventos, congresos, reuniones, ruedas de negocios y otros para la colocación del Destino, clusters  y Productos Turísticos"/>
        <s v="Acciones de promoción para el posicionamiento del DMQ como destino turístico de negocios y atracción de grandes eventos"/>
        <s v="Elaboración de estudios para el desarrollo de una Arena de Eventos en el DMQ"/>
        <s v="Publicidad y marketing digital para la promocion y posicionamiento del DMQ como destino turístico"/>
        <s v="Planificación, diseño e implementación de estructuras y facilidades turísticas"/>
        <s v="Gestión de servicios y provisión de recursos estratégicos para fortalecer la operación institucional y la sostenibilidad turística del Distrito Metropolitano de Quito"/>
        <s v="Gestión de la nómina de la Empresa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  <s v="Desarrollo y Mercadeo del Destino, clusters  y Productos Turísticos"/>
        <s v="Estudios, investigaciones, información, datos y propuestas técnicas sobre la gestión del destino"/>
        <s v="Gestión, asesoría y asistencia para el fortalecimiento de capacidades e intercambios de experiencias para gestores turísticos del territorio"/>
      </sharedItems>
    </cacheField>
    <cacheField name="Fecha de Inicio2" numFmtId="165">
      <sharedItems containsDate="1" containsMixedTypes="1" minDate="2026-01-01T00:00:00" maxDate="2026-12-02T00:00:00"/>
    </cacheField>
    <cacheField name="Fecha Fin2" numFmtId="165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8">
        <n v="530702"/>
        <n v="840107"/>
        <n v="530243"/>
        <n v="530704"/>
        <n v="530802"/>
        <n v="530404"/>
        <n v="530301"/>
        <n v="530302"/>
        <n v="531406"/>
        <n v="531407"/>
        <n v="530402"/>
        <n v="840103"/>
        <n v="730249"/>
        <n v="730207"/>
        <n v="530813"/>
        <n v="530807"/>
        <n v="530701"/>
        <n v="530210"/>
        <n v="530204"/>
        <n v="530801"/>
        <n v="530804"/>
        <n v="530805"/>
        <n v="530822"/>
        <n v="530106"/>
        <n v="530502"/>
        <n v="530820"/>
        <n v="531601"/>
        <n v="530403"/>
        <n v="530811"/>
        <n v="530405"/>
        <n v="530602"/>
        <n v="530601"/>
        <n v="530606"/>
        <n v="570201"/>
        <n v="530209"/>
        <n v="530105"/>
        <n v="840104"/>
        <n v="530203"/>
        <n v="530803"/>
        <n v="580101"/>
        <n v="530605"/>
        <n v="570203"/>
        <n v="570102"/>
        <n v="530101"/>
        <n v="530104"/>
        <n v="530207"/>
        <n v="530202"/>
        <n v="530255"/>
        <n v="570199"/>
        <n v="530208"/>
        <n v="530241"/>
        <n v="530304"/>
        <n v="530303"/>
        <n v="631203"/>
        <n v="630804"/>
        <n v="630601"/>
        <n v="630207"/>
        <n v="670204"/>
        <n v="530249"/>
        <n v="630502"/>
        <n v="730605"/>
        <n v="730425"/>
        <n v="630204"/>
        <n v="630602"/>
        <n v="630105"/>
        <n v="530613"/>
        <n v="530201"/>
        <n v="630201"/>
        <n v="510306"/>
        <n v="510601"/>
        <n v="510704"/>
        <n v="510304"/>
        <n v="510707"/>
        <n v="510204"/>
        <n v="510203"/>
        <n v="510513"/>
        <n v="510602"/>
        <n v="510509"/>
        <n v="510105"/>
        <n v="510106"/>
        <n v="510510"/>
        <n v="510512"/>
        <s v="N/A"/>
        <n v="730606"/>
        <n v="730402"/>
        <n v="730604"/>
        <n v="730702"/>
        <n v="710510"/>
        <n v="730404"/>
        <n v="730701"/>
        <n v="730601"/>
        <n v="730202"/>
        <n v="710203"/>
        <n v="710602"/>
        <n v="710204"/>
        <n v="710601"/>
        <n v="710509"/>
        <n v="710707"/>
      </sharedItems>
    </cacheField>
    <cacheField name="Fuente de Financiamiento" numFmtId="0">
      <sharedItems count="3">
        <s v="Fondos Propios"/>
        <s v="Asignación Municipal"/>
        <s v="-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Reforma 4" numFmtId="0">
      <sharedItems containsString="0" containsBlank="1" containsNumber="1" minValue="-276504.40999999997" maxValue="326900"/>
    </cacheField>
    <cacheField name="Reforma 5" numFmtId="0">
      <sharedItems containsString="0" containsBlank="1" containsNumber="1" containsInteger="1" minValue="20000" maxValue="303760"/>
    </cacheField>
    <cacheField name="Reforma 6" numFmtId="0">
      <sharedItems containsString="0" containsBlank="1" containsNumber="1" minValue="-596851.76" maxValue="1079831.02"/>
    </cacheField>
    <cacheField name="Reforma 7" numFmtId="0">
      <sharedItems containsString="0" containsBlank="1" containsNumber="1" containsInteger="1" minValue="-146000" maxValue="80000"/>
    </cacheField>
    <cacheField name="Reforma 8" numFmtId="0">
      <sharedItems containsString="0" containsBlank="1" containsNumber="1" containsInteger="1" minValue="-12500" maxValue="12500"/>
    </cacheField>
    <cacheField name="Presupuesto con Reformas" numFmtId="43">
      <sharedItems containsSemiMixedTypes="0" containsString="0" containsNumber="1" minValue="-7.2759576141834259E-12" maxValue="1079831.02"/>
    </cacheField>
    <cacheField name="Enero4" numFmtId="0">
      <sharedItems containsString="0" containsBlank="1" containsNumber="1" minValue="39" maxValue="64055.03"/>
    </cacheField>
    <cacheField name="Febrero4" numFmtId="0">
      <sharedItems containsString="0" containsBlank="1" containsNumber="1" minValue="0" maxValue="72600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68602.73"/>
    </cacheField>
    <cacheField name="Mayo4" numFmtId="0">
      <sharedItems containsBlank="1" containsMixedTypes="1" containsNumber="1" minValue="0" maxValue="68787.570000000007"/>
    </cacheField>
    <cacheField name="Junio4" numFmtId="0">
      <sharedItems containsBlank="1" containsMixedTypes="1" containsNumber="1" minValue="0" maxValue="92400"/>
    </cacheField>
    <cacheField name="Julio4" numFmtId="0">
      <sharedItems containsBlank="1" containsMixedTypes="1" containsNumber="1" minValue="0" maxValue="80074.210000000006"/>
    </cacheField>
    <cacheField name="Agosto4" numFmtId="0">
      <sharedItems containsBlank="1" containsMixedTypes="1" containsNumber="1" minValue="0" maxValue="169400"/>
    </cacheField>
    <cacheField name="Septiembre4" numFmtId="0">
      <sharedItems containsBlank="1" containsMixedTypes="1" containsNumber="1" minValue="0" maxValue="300000"/>
    </cacheField>
    <cacheField name="Octubre4" numFmtId="0">
      <sharedItems containsBlank="1" containsMixedTypes="1" containsNumber="1" minValue="0" maxValue="100000"/>
    </cacheField>
    <cacheField name="Noviembre4" numFmtId="0">
      <sharedItems containsBlank="1" containsMixedTypes="1" containsNumber="1" minValue="0" maxValue="136240"/>
    </cacheField>
    <cacheField name="Diciembre4" numFmtId="0">
      <sharedItems containsBlank="1" containsMixedTypes="1" containsNumber="1" minValue="0" maxValue="1079831.02"/>
    </cacheField>
    <cacheField name="Saldo Disponible" numFmtId="0">
      <sharedItems containsString="0" containsBlank="1" containsNumber="1" containsInteger="1" minValue="90" maxValue="150000"/>
    </cacheField>
    <cacheField name="Comprobación" numFmtId="4">
      <sharedItems containsSemiMixedTypes="0" containsString="0" containsNumber="1" minValue="-7.2759576141834259E-1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205.426227083335" createdVersion="8" refreshedVersion="8" minRefreshableVersion="3" recordCount="313" xr:uid="{0A789B9B-8EE1-4F6B-86DC-5C28852E8410}">
  <cacheSource type="worksheet">
    <worksheetSource ref="A5:CV326" sheet="Matriz POA 2026"/>
  </cacheSource>
  <cacheFields count="129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Arrastre"/>
        <s v="Plurianual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5">
      <sharedItems containsSemiMixedTypes="0" containsNonDate="0" containsDate="1" containsString="0" minDate="2026-01-01T00:00:00" maxDate="2026-12-02T00:00:00"/>
    </cacheField>
    <cacheField name="Fecha Fin_x000a_(Tarea)" numFmtId="165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5">
      <sharedItems containsDate="1" containsMixedTypes="1" minDate="2026-01-01T00:00:00" maxDate="2026-12-02T00:00:00"/>
    </cacheField>
    <cacheField name="Fecha Fin2" numFmtId="165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 count="3">
        <s v="Fondos Propios"/>
        <s v="Asignación Municipal"/>
        <s v="-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Reforma 4" numFmtId="0">
      <sharedItems containsString="0" containsBlank="1" containsNumber="1" minValue="-276504.40999999997" maxValue="326900"/>
    </cacheField>
    <cacheField name="Reforma 5" numFmtId="0">
      <sharedItems containsString="0" containsBlank="1" containsNumber="1" containsInteger="1" minValue="20000" maxValue="303760"/>
    </cacheField>
    <cacheField name="Reforma 6" numFmtId="0">
      <sharedItems containsString="0" containsBlank="1" containsNumber="1" minValue="-596851.76" maxValue="1079831.02"/>
    </cacheField>
    <cacheField name="Reforma 7" numFmtId="0">
      <sharedItems containsString="0" containsBlank="1" containsNumber="1" containsInteger="1" minValue="-146000" maxValue="80000"/>
    </cacheField>
    <cacheField name="Reforma 8" numFmtId="0">
      <sharedItems containsString="0" containsBlank="1" containsNumber="1" containsInteger="1" minValue="-12500" maxValue="12500"/>
    </cacheField>
    <cacheField name="Presupuesto con Reformas" numFmtId="43">
      <sharedItems containsSemiMixedTypes="0" containsString="0" containsNumber="1" minValue="-7.2759576141834259E-12" maxValue="1079831.02"/>
    </cacheField>
    <cacheField name="Enero4" numFmtId="0">
      <sharedItems containsString="0" containsBlank="1" containsNumber="1" minValue="39" maxValue="64055.03"/>
    </cacheField>
    <cacheField name="Febrero4" numFmtId="0">
      <sharedItems containsString="0" containsBlank="1" containsNumber="1" minValue="0" maxValue="72600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68602.73"/>
    </cacheField>
    <cacheField name="Mayo4" numFmtId="0">
      <sharedItems containsBlank="1" containsMixedTypes="1" containsNumber="1" minValue="0" maxValue="68787.570000000007"/>
    </cacheField>
    <cacheField name="Junio4" numFmtId="0">
      <sharedItems containsBlank="1" containsMixedTypes="1" containsNumber="1" minValue="0" maxValue="92400"/>
    </cacheField>
    <cacheField name="Julio4" numFmtId="0">
      <sharedItems containsBlank="1" containsMixedTypes="1" containsNumber="1" minValue="0" maxValue="80074.210000000006"/>
    </cacheField>
    <cacheField name="Agosto4" numFmtId="0">
      <sharedItems containsBlank="1" containsMixedTypes="1" containsNumber="1" minValue="0" maxValue="169400"/>
    </cacheField>
    <cacheField name="Septiembre4" numFmtId="0">
      <sharedItems containsBlank="1" containsMixedTypes="1" containsNumber="1" minValue="0" maxValue="300000"/>
    </cacheField>
    <cacheField name="Octubre4" numFmtId="0">
      <sharedItems containsBlank="1" containsMixedTypes="1" containsNumber="1" minValue="0" maxValue="100000"/>
    </cacheField>
    <cacheField name="Noviembre4" numFmtId="0">
      <sharedItems containsBlank="1" containsMixedTypes="1" containsNumber="1" minValue="0" maxValue="136240"/>
    </cacheField>
    <cacheField name="Diciembre4" numFmtId="0">
      <sharedItems containsBlank="1" containsMixedTypes="1" containsNumber="1" minValue="0" maxValue="1079831.02"/>
    </cacheField>
    <cacheField name="Saldo Disponible" numFmtId="0">
      <sharedItems containsString="0" containsBlank="1" containsNumber="1" containsInteger="1" minValue="90" maxValue="150000"/>
    </cacheField>
    <cacheField name="Comprobación" numFmtId="4">
      <sharedItems containsSemiMixedTypes="0" containsString="0" containsNumber="1" minValue="-7.2759576141834259E-12" maxValue="0"/>
    </cacheField>
    <cacheField name="Planificación Acumulada" numFmtId="4">
      <sharedItems containsSemiMixedTypes="0" containsString="0" containsNumber="1" minValue="0" maxValue="326455.03000000003"/>
    </cacheField>
    <cacheField name="Diferencia" numFmtId="4">
      <sharedItems containsString="0" containsBlank="1" containsNumber="1" minValue="-36390.120000000003" maxValue="9240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tring="0" containsBlank="1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Devengo Febrero Ajustado 2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tring="0" containsBlank="1" containsNumber="1" minValue="0" maxValue="63723.33"/>
    </cacheField>
    <cacheField name="Devengo Marzo Ajustado 2" numFmtId="43">
      <sharedItems containsString="0" containsBlank="1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Compromiso Marzo Ajustado 1" numFmtId="43">
      <sharedItems containsString="0" containsBlank="1" containsNumber="1" minValue="0" maxValue="63723.33"/>
    </cacheField>
    <cacheField name="Devengo Abril" numFmtId="43">
      <sharedItems containsString="0" containsBlank="1" containsNumber="1" minValue="0" maxValue="68602.73"/>
    </cacheField>
    <cacheField name="Certificado Abril" numFmtId="43">
      <sharedItems containsString="0" containsBlank="1" containsNumber="1" minValue="0" maxValue="617249.97"/>
    </cacheField>
    <cacheField name="Compromiso Abril" numFmtId="43">
      <sharedItems containsString="0" containsBlank="1" containsNumber="1" minValue="0" maxValue="135000"/>
    </cacheField>
    <cacheField name="Devengo Mayo" numFmtId="43">
      <sharedItems containsString="0" containsBlank="1" containsNumber="1" minValue="0" maxValue="92400"/>
    </cacheField>
    <cacheField name="Certificado Mayo" numFmtId="43">
      <sharedItems containsString="0" containsBlank="1" containsNumber="1" minValue="0" maxValue="548462.4"/>
    </cacheField>
    <cacheField name="Compromiso Mayo" numFmtId="43">
      <sharedItems containsString="0" containsBlank="1" containsNumber="1" minValue="0" maxValue="234800"/>
    </cacheField>
    <cacheField name="Compromiso Mayo Ajustado 1" numFmtId="43">
      <sharedItems containsSemiMixedTypes="0" containsString="0" containsNumber="1" minValue="0" maxValue="234800"/>
    </cacheField>
    <cacheField name="Devengo Junio" numFmtId="43">
      <sharedItems containsSemiMixedTypes="0" containsString="0" containsNumber="1" minValue="0" maxValue="84700"/>
    </cacheField>
    <cacheField name="Certificado Junio" numFmtId="43">
      <sharedItems containsSemiMixedTypes="0" containsString="0" containsNumber="1" minValue="0" maxValue="495000"/>
    </cacheField>
    <cacheField name="Compromiso Junio" numFmtId="43">
      <sharedItems containsSemiMixedTypes="0" containsString="0" containsNumber="1" minValue="0" maxValue="70775.399999999994"/>
    </cacheField>
    <cacheField name="Devengo Total" numFmtId="43">
      <sharedItems containsSemiMixedTypes="0" containsString="0" containsNumber="1" minValue="0" maxValue="397230.43000000005"/>
    </cacheField>
    <cacheField name="Compromiso Total" numFmtId="43">
      <sharedItems containsSemiMixedTypes="0" containsString="0" containsNumber="1" minValue="0" maxValue="397230.43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0"/>
    <x v="0"/>
    <n v="300"/>
    <n v="0"/>
    <n v="0"/>
    <n v="0"/>
    <n v="0"/>
    <n v="300"/>
    <n v="0"/>
    <n v="0"/>
    <n v="0"/>
    <n v="0"/>
    <n v="0"/>
    <n v="0"/>
    <n v="0"/>
    <m/>
    <m/>
    <m/>
    <m/>
    <m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1"/>
    <x v="0"/>
    <n v="10000"/>
    <n v="0"/>
    <n v="0"/>
    <n v="0"/>
    <n v="0"/>
    <n v="0"/>
    <n v="0"/>
    <n v="0"/>
    <n v="0"/>
    <n v="0"/>
    <n v="10000"/>
    <n v="0"/>
    <n v="0"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1"/>
    <x v="0"/>
    <n v="0"/>
    <m/>
    <m/>
    <m/>
    <m/>
    <m/>
    <m/>
    <m/>
    <m/>
    <m/>
    <m/>
    <m/>
    <m/>
    <n v="3000"/>
    <n v="-3000"/>
    <m/>
    <m/>
    <m/>
    <m/>
    <m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1"/>
    <x v="0"/>
    <n v="15000"/>
    <n v="0"/>
    <n v="0"/>
    <n v="0"/>
    <n v="0"/>
    <n v="0"/>
    <n v="0"/>
    <n v="0"/>
    <n v="15000"/>
    <n v="0"/>
    <n v="0"/>
    <n v="0"/>
    <n v="0"/>
    <n v="-1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Estad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Servicio de provisión de datos en línea para la gestión de servicios de inteligencia turística para el DMQ"/>
    <m/>
    <s v="01.01.001.205.530702.000.009"/>
    <s v="N/A"/>
    <x v="0"/>
    <x v="0"/>
    <m/>
    <m/>
    <m/>
    <m/>
    <m/>
    <m/>
    <m/>
    <m/>
    <m/>
    <m/>
    <m/>
    <m/>
    <m/>
    <m/>
    <m/>
    <m/>
    <m/>
    <n v="136240"/>
    <m/>
    <m/>
    <m/>
    <n v="136240"/>
    <m/>
    <m/>
    <m/>
    <m/>
    <m/>
    <m/>
    <m/>
    <m/>
    <m/>
    <m/>
    <n v="13624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"/>
    <x v="0"/>
    <n v="3500"/>
    <n v="0"/>
    <n v="0"/>
    <n v="0"/>
    <n v="0"/>
    <n v="3500"/>
    <n v="0"/>
    <n v="0"/>
    <n v="0"/>
    <n v="0"/>
    <n v="0"/>
    <n v="0"/>
    <n v="0"/>
    <n v="-35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3"/>
    <x v="0"/>
    <n v="1000"/>
    <n v="0"/>
    <n v="0"/>
    <n v="0"/>
    <n v="0"/>
    <n v="0"/>
    <n v="1000"/>
    <n v="0"/>
    <n v="0"/>
    <n v="0"/>
    <n v="0"/>
    <n v="0"/>
    <n v="0"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Adquisición de uniformes"/>
    <m/>
    <s v="01.01.001.206.530802.000.009"/>
    <s v="N/A"/>
    <x v="4"/>
    <x v="0"/>
    <m/>
    <m/>
    <m/>
    <m/>
    <m/>
    <m/>
    <m/>
    <m/>
    <m/>
    <m/>
    <m/>
    <m/>
    <m/>
    <m/>
    <m/>
    <m/>
    <m/>
    <m/>
    <n v="639.09"/>
    <m/>
    <m/>
    <n v="639.09"/>
    <m/>
    <m/>
    <m/>
    <m/>
    <m/>
    <m/>
    <m/>
    <n v="639.09"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"/>
    <x v="0"/>
    <n v="3500"/>
    <n v="0"/>
    <n v="0"/>
    <n v="0"/>
    <n v="0"/>
    <n v="0"/>
    <n v="3500"/>
    <n v="0"/>
    <n v="0"/>
    <n v="0"/>
    <n v="0"/>
    <n v="0"/>
    <n v="0"/>
    <n v="-35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5"/>
    <x v="0"/>
    <n v="1500"/>
    <n v="0"/>
    <n v="0"/>
    <n v="0"/>
    <n v="0"/>
    <n v="0"/>
    <n v="1500"/>
    <n v="0"/>
    <n v="0"/>
    <n v="0"/>
    <n v="0"/>
    <n v="0"/>
    <n v="0"/>
    <n v="-15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1.000.009"/>
    <s v="N/A"/>
    <x v="6"/>
    <x v="0"/>
    <m/>
    <m/>
    <m/>
    <m/>
    <m/>
    <m/>
    <m/>
    <m/>
    <m/>
    <m/>
    <m/>
    <m/>
    <m/>
    <m/>
    <m/>
    <m/>
    <m/>
    <m/>
    <n v="3000"/>
    <m/>
    <m/>
    <n v="3000"/>
    <m/>
    <m/>
    <m/>
    <m/>
    <m/>
    <m/>
    <m/>
    <m/>
    <m/>
    <m/>
    <m/>
    <n v="3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2.000.009"/>
    <s v="N/A"/>
    <x v="7"/>
    <x v="0"/>
    <m/>
    <m/>
    <m/>
    <m/>
    <m/>
    <m/>
    <m/>
    <m/>
    <m/>
    <m/>
    <m/>
    <m/>
    <m/>
    <m/>
    <m/>
    <m/>
    <m/>
    <m/>
    <n v="7000"/>
    <m/>
    <m/>
    <n v="7000"/>
    <m/>
    <m/>
    <m/>
    <m/>
    <m/>
    <m/>
    <m/>
    <m/>
    <m/>
    <m/>
    <m/>
    <n v="70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8"/>
    <x v="0"/>
    <n v="3383.88"/>
    <n v="0"/>
    <n v="0"/>
    <n v="0"/>
    <n v="0"/>
    <n v="3383.88"/>
    <n v="0"/>
    <n v="0"/>
    <n v="0"/>
    <n v="0"/>
    <n v="0"/>
    <n v="0"/>
    <n v="0"/>
    <n v="-3383.88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9"/>
    <x v="0"/>
    <n v="3383.87"/>
    <n v="0"/>
    <n v="0"/>
    <n v="0"/>
    <n v="0"/>
    <n v="3383.87"/>
    <n v="0"/>
    <n v="0"/>
    <n v="0"/>
    <n v="0"/>
    <n v="0"/>
    <n v="0"/>
    <n v="0"/>
    <n v="-3383.87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0"/>
    <x v="0"/>
    <n v="0"/>
    <m/>
    <m/>
    <m/>
    <m/>
    <m/>
    <m/>
    <m/>
    <m/>
    <m/>
    <m/>
    <m/>
    <m/>
    <n v="34000"/>
    <m/>
    <m/>
    <m/>
    <m/>
    <n v="-34000"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0"/>
    <x v="0"/>
    <n v="0"/>
    <m/>
    <m/>
    <m/>
    <m/>
    <m/>
    <m/>
    <m/>
    <m/>
    <m/>
    <m/>
    <m/>
    <m/>
    <n v="8000"/>
    <m/>
    <m/>
    <m/>
    <m/>
    <n v="-8000"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Adquisición de infraestructura tecnológica de servidores y almacenamiento"/>
    <m/>
    <s v="01.01.001.207.530402.000.009"/>
    <s v="N/A"/>
    <x v="10"/>
    <x v="0"/>
    <m/>
    <m/>
    <m/>
    <m/>
    <m/>
    <m/>
    <m/>
    <m/>
    <m/>
    <m/>
    <m/>
    <m/>
    <m/>
    <m/>
    <m/>
    <m/>
    <m/>
    <m/>
    <n v="8000"/>
    <m/>
    <m/>
    <n v="8000"/>
    <m/>
    <m/>
    <m/>
    <m/>
    <m/>
    <m/>
    <m/>
    <m/>
    <m/>
    <m/>
    <n v="80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1"/>
    <x v="0"/>
    <n v="0"/>
    <m/>
    <m/>
    <m/>
    <m/>
    <m/>
    <m/>
    <m/>
    <m/>
    <m/>
    <m/>
    <m/>
    <m/>
    <n v="106000"/>
    <n v="-106000"/>
    <m/>
    <m/>
    <m/>
    <m/>
    <m/>
    <m/>
    <n v="0"/>
    <m/>
    <m/>
    <m/>
    <m/>
    <m/>
    <m/>
    <m/>
    <m/>
    <n v="0"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1"/>
    <x v="0"/>
    <n v="0"/>
    <m/>
    <m/>
    <m/>
    <m/>
    <m/>
    <m/>
    <m/>
    <m/>
    <m/>
    <m/>
    <m/>
    <m/>
    <m/>
    <m/>
    <n v="10000"/>
    <m/>
    <m/>
    <m/>
    <m/>
    <m/>
    <n v="10000"/>
    <m/>
    <m/>
    <m/>
    <m/>
    <m/>
    <m/>
    <m/>
    <n v="10000"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0.002"/>
    <s v="Promoción"/>
    <x v="12"/>
    <x v="1"/>
    <n v="340000"/>
    <n v="0"/>
    <n v="0"/>
    <n v="50000"/>
    <n v="0"/>
    <n v="0"/>
    <n v="0"/>
    <n v="0"/>
    <n v="0"/>
    <n v="230000"/>
    <n v="0"/>
    <n v="0"/>
    <n v="60000"/>
    <n v="360000"/>
    <m/>
    <n v="-700000"/>
    <m/>
    <m/>
    <n v="1079831.02"/>
    <m/>
    <m/>
    <n v="1079831.02"/>
    <m/>
    <m/>
    <m/>
    <m/>
    <m/>
    <m/>
    <m/>
    <m/>
    <m/>
    <m/>
    <m/>
    <n v="1079831.02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m/>
    <s v="Contratación del Servicio de proyecciones lumínicas, iluminación arquitectónica y entornos temáticos promocionales de alto impacto con componentes técnicos y logísticos para el posicionamiento y visibilización de Quito como destino turístico."/>
    <m/>
    <s v="02.01.001.067.730207.000.002"/>
    <s v="Promoción"/>
    <x v="13"/>
    <x v="1"/>
    <m/>
    <m/>
    <m/>
    <m/>
    <m/>
    <m/>
    <m/>
    <m/>
    <m/>
    <m/>
    <m/>
    <m/>
    <m/>
    <m/>
    <m/>
    <m/>
    <n v="326900"/>
    <m/>
    <m/>
    <m/>
    <m/>
    <n v="326900"/>
    <m/>
    <m/>
    <m/>
    <m/>
    <m/>
    <m/>
    <m/>
    <m/>
    <n v="300000"/>
    <m/>
    <m/>
    <n v="269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monitores"/>
    <s v="SI"/>
    <s v="01.01.001.162.840107.000.009"/>
    <s v="N/A"/>
    <x v="1"/>
    <x v="0"/>
    <n v="10000"/>
    <n v="0"/>
    <n v="0"/>
    <n v="0"/>
    <n v="0"/>
    <n v="0"/>
    <n v="0"/>
    <n v="0"/>
    <n v="0"/>
    <n v="10000"/>
    <n v="0"/>
    <n v="0"/>
    <n v="0"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7.009"/>
    <s v="Promoción"/>
    <x v="12"/>
    <x v="0"/>
    <m/>
    <m/>
    <m/>
    <m/>
    <m/>
    <m/>
    <m/>
    <m/>
    <m/>
    <m/>
    <m/>
    <m/>
    <m/>
    <m/>
    <m/>
    <m/>
    <m/>
    <n v="303760"/>
    <m/>
    <m/>
    <m/>
    <n v="303760"/>
    <m/>
    <m/>
    <m/>
    <m/>
    <m/>
    <m/>
    <m/>
    <m/>
    <m/>
    <m/>
    <m/>
    <n v="30376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14"/>
    <x v="0"/>
    <n v="5000"/>
    <n v="0"/>
    <n v="0"/>
    <n v="0"/>
    <n v="0"/>
    <n v="0"/>
    <n v="0"/>
    <n v="0"/>
    <n v="5000"/>
    <n v="0"/>
    <n v="0"/>
    <n v="0"/>
    <n v="0"/>
    <n v="-2260"/>
    <m/>
    <m/>
    <m/>
    <m/>
    <m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14"/>
    <x v="0"/>
    <n v="5000"/>
    <n v="0"/>
    <n v="0"/>
    <n v="0"/>
    <n v="0"/>
    <n v="0"/>
    <n v="0"/>
    <n v="0"/>
    <n v="5000"/>
    <n v="0"/>
    <n v="0"/>
    <n v="0"/>
    <n v="0"/>
    <n v="-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4"/>
    <x v="0"/>
    <n v="0"/>
    <m/>
    <m/>
    <m/>
    <m/>
    <m/>
    <m/>
    <m/>
    <m/>
    <m/>
    <m/>
    <m/>
    <m/>
    <n v="7060"/>
    <m/>
    <m/>
    <m/>
    <m/>
    <m/>
    <m/>
    <m/>
    <n v="7060"/>
    <m/>
    <m/>
    <n v="7060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1"/>
    <x v="0"/>
    <n v="3000"/>
    <n v="0"/>
    <n v="0"/>
    <n v="0"/>
    <n v="3000"/>
    <n v="0"/>
    <n v="0"/>
    <n v="0"/>
    <n v="0"/>
    <n v="0"/>
    <n v="0"/>
    <n v="0"/>
    <n v="0"/>
    <n v="-3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14"/>
    <x v="0"/>
    <n v="500"/>
    <n v="0"/>
    <n v="0"/>
    <n v="0"/>
    <n v="0"/>
    <n v="0"/>
    <n v="0"/>
    <n v="0"/>
    <n v="0"/>
    <n v="0"/>
    <n v="500"/>
    <n v="0"/>
    <n v="0"/>
    <n v="-5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"/>
    <x v="0"/>
    <n v="676"/>
    <n v="0"/>
    <n v="0"/>
    <n v="0"/>
    <n v="0"/>
    <n v="0"/>
    <n v="0"/>
    <n v="0"/>
    <n v="0"/>
    <n v="0"/>
    <n v="676"/>
    <n v="0"/>
    <n v="0"/>
    <m/>
    <m/>
    <m/>
    <m/>
    <m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15"/>
    <x v="0"/>
    <n v="20000"/>
    <n v="0"/>
    <n v="0"/>
    <n v="0"/>
    <n v="0"/>
    <n v="0"/>
    <n v="0"/>
    <n v="0"/>
    <n v="20000"/>
    <n v="0"/>
    <n v="0"/>
    <n v="0"/>
    <n v="0"/>
    <n v="-1188"/>
    <m/>
    <m/>
    <m/>
    <m/>
    <m/>
    <m/>
    <m/>
    <n v="18812"/>
    <m/>
    <m/>
    <n v="0"/>
    <n v="0"/>
    <m/>
    <n v="0"/>
    <n v="18812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15"/>
    <x v="0"/>
    <n v="0"/>
    <m/>
    <m/>
    <m/>
    <m/>
    <m/>
    <m/>
    <m/>
    <m/>
    <m/>
    <m/>
    <m/>
    <m/>
    <n v="1188"/>
    <m/>
    <m/>
    <m/>
    <m/>
    <m/>
    <m/>
    <m/>
    <n v="1188"/>
    <m/>
    <m/>
    <n v="1188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6"/>
    <x v="0"/>
    <n v="7000"/>
    <n v="0"/>
    <n v="0"/>
    <n v="7000"/>
    <n v="0"/>
    <n v="0"/>
    <n v="0"/>
    <n v="0"/>
    <n v="0"/>
    <n v="0"/>
    <n v="0"/>
    <n v="0"/>
    <n v="0"/>
    <n v="-7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0"/>
    <x v="0"/>
    <n v="40000"/>
    <n v="0"/>
    <n v="0"/>
    <n v="40000"/>
    <n v="0"/>
    <n v="0"/>
    <n v="0"/>
    <n v="0"/>
    <n v="0"/>
    <n v="0"/>
    <n v="0"/>
    <n v="0"/>
    <n v="0"/>
    <n v="-4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1"/>
    <x v="0"/>
    <n v="60000"/>
    <n v="0"/>
    <n v="0"/>
    <n v="60000"/>
    <n v="0"/>
    <n v="0"/>
    <n v="0"/>
    <n v="0"/>
    <n v="0"/>
    <n v="0"/>
    <n v="0"/>
    <n v="0"/>
    <n v="0"/>
    <n v="-6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0"/>
    <x v="0"/>
    <n v="30000"/>
    <n v="0"/>
    <n v="0"/>
    <n v="0"/>
    <n v="0"/>
    <n v="0"/>
    <n v="0"/>
    <n v="0"/>
    <n v="0"/>
    <n v="0"/>
    <n v="30000"/>
    <n v="0"/>
    <n v="0"/>
    <n v="-3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1"/>
    <x v="0"/>
    <n v="8492.18"/>
    <n v="0"/>
    <n v="0"/>
    <n v="0"/>
    <n v="0"/>
    <n v="0"/>
    <n v="0"/>
    <n v="0"/>
    <n v="0"/>
    <n v="0"/>
    <n v="8492.18"/>
    <n v="0"/>
    <n v="0"/>
    <n v="-8492.18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PS "/>
    <s v="SI"/>
    <s v="01.01.001.165.840107.000.009"/>
    <s v="N/A"/>
    <x v="1"/>
    <x v="0"/>
    <n v="17000"/>
    <n v="0"/>
    <n v="0"/>
    <n v="0"/>
    <n v="0"/>
    <n v="0"/>
    <n v="0"/>
    <n v="17000"/>
    <n v="0"/>
    <n v="0"/>
    <n v="0"/>
    <n v="0"/>
    <n v="0"/>
    <m/>
    <n v="-17000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15"/>
    <x v="0"/>
    <n v="10000"/>
    <n v="0"/>
    <n v="0"/>
    <n v="0"/>
    <n v="0"/>
    <n v="0"/>
    <n v="0"/>
    <n v="0"/>
    <n v="0"/>
    <n v="0"/>
    <n v="10000"/>
    <n v="0"/>
    <n v="0"/>
    <m/>
    <m/>
    <n v="-100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17"/>
    <x v="0"/>
    <n v="7800"/>
    <n v="650"/>
    <n v="650"/>
    <n v="650"/>
    <n v="650"/>
    <n v="650"/>
    <n v="650"/>
    <n v="650"/>
    <n v="650"/>
    <n v="650"/>
    <n v="650"/>
    <n v="650"/>
    <n v="650"/>
    <m/>
    <m/>
    <n v="-1729.68"/>
    <m/>
    <m/>
    <m/>
    <m/>
    <m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18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19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20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21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22"/>
    <x v="0"/>
    <n v="514.77"/>
    <n v="0"/>
    <n v="0"/>
    <n v="0"/>
    <n v="0"/>
    <n v="0"/>
    <n v="0"/>
    <n v="0"/>
    <n v="0"/>
    <n v="0"/>
    <n v="0"/>
    <n v="0"/>
    <n v="514.77"/>
    <m/>
    <m/>
    <m/>
    <m/>
    <m/>
    <m/>
    <m/>
    <m/>
    <n v="514.77"/>
    <m/>
    <m/>
    <n v="0"/>
    <n v="0"/>
    <n v="0"/>
    <n v="0"/>
    <n v="0"/>
    <n v="0"/>
    <n v="0"/>
    <n v="0"/>
    <n v="0"/>
    <n v="514.77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23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24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25"/>
    <x v="0"/>
    <n v="0"/>
    <m/>
    <m/>
    <m/>
    <m/>
    <m/>
    <m/>
    <m/>
    <m/>
    <m/>
    <m/>
    <m/>
    <m/>
    <m/>
    <m/>
    <n v="500"/>
    <m/>
    <m/>
    <m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26"/>
    <x v="0"/>
    <n v="0"/>
    <m/>
    <m/>
    <m/>
    <m/>
    <m/>
    <m/>
    <m/>
    <m/>
    <m/>
    <m/>
    <m/>
    <m/>
    <n v="500"/>
    <m/>
    <m/>
    <m/>
    <m/>
    <m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Instalación de pantallas didácticas en las paradas del Metro de Quito"/>
    <m/>
    <s v="01.01.001.204.530403.000.009"/>
    <s v="Promoción"/>
    <x v="27"/>
    <x v="0"/>
    <m/>
    <m/>
    <m/>
    <m/>
    <m/>
    <m/>
    <m/>
    <m/>
    <m/>
    <m/>
    <m/>
    <m/>
    <m/>
    <m/>
    <m/>
    <m/>
    <n v="6500"/>
    <m/>
    <m/>
    <m/>
    <m/>
    <n v="6500"/>
    <m/>
    <m/>
    <m/>
    <m/>
    <m/>
    <m/>
    <n v="65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14"/>
    <x v="0"/>
    <n v="800"/>
    <n v="0"/>
    <n v="0"/>
    <n v="0"/>
    <n v="0"/>
    <n v="0"/>
    <n v="0"/>
    <n v="0"/>
    <n v="0"/>
    <n v="0"/>
    <n v="800"/>
    <n v="0"/>
    <n v="0"/>
    <m/>
    <m/>
    <m/>
    <n v="-700"/>
    <m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28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26"/>
    <x v="0"/>
    <n v="0"/>
    <m/>
    <m/>
    <m/>
    <m/>
    <m/>
    <m/>
    <m/>
    <m/>
    <m/>
    <m/>
    <m/>
    <m/>
    <n v="400"/>
    <m/>
    <m/>
    <m/>
    <m/>
    <m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18"/>
    <x v="0"/>
    <n v="300"/>
    <n v="0"/>
    <n v="0"/>
    <n v="0"/>
    <n v="0"/>
    <n v="0"/>
    <n v="0"/>
    <n v="0"/>
    <n v="0"/>
    <n v="0"/>
    <n v="0"/>
    <n v="0"/>
    <n v="300"/>
    <m/>
    <m/>
    <m/>
    <n v="-100"/>
    <m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21"/>
    <x v="0"/>
    <n v="200"/>
    <n v="0"/>
    <n v="0"/>
    <n v="0"/>
    <n v="0"/>
    <n v="0"/>
    <n v="0"/>
    <n v="0"/>
    <n v="0"/>
    <n v="0"/>
    <n v="0"/>
    <n v="200"/>
    <n v="0"/>
    <m/>
    <m/>
    <m/>
    <n v="-100"/>
    <m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29"/>
    <x v="0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20"/>
    <x v="0"/>
    <n v="50"/>
    <n v="0"/>
    <n v="0"/>
    <n v="0"/>
    <n v="0"/>
    <n v="0"/>
    <n v="0"/>
    <n v="0"/>
    <n v="0"/>
    <n v="0"/>
    <n v="0"/>
    <n v="0"/>
    <n v="50"/>
    <m/>
    <m/>
    <m/>
    <m/>
    <m/>
    <m/>
    <m/>
    <m/>
    <n v="50"/>
    <m/>
    <m/>
    <n v="0"/>
    <n v="0"/>
    <n v="0"/>
    <n v="0"/>
    <n v="0"/>
    <n v="0"/>
    <n v="0"/>
    <n v="0"/>
    <n v="0"/>
    <n v="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402.000.009"/>
    <s v="N/A"/>
    <x v="10"/>
    <x v="0"/>
    <m/>
    <m/>
    <m/>
    <m/>
    <m/>
    <m/>
    <m/>
    <m/>
    <m/>
    <m/>
    <m/>
    <m/>
    <m/>
    <m/>
    <m/>
    <m/>
    <n v="900"/>
    <m/>
    <m/>
    <m/>
    <m/>
    <n v="900"/>
    <m/>
    <m/>
    <m/>
    <m/>
    <m/>
    <m/>
    <m/>
    <m/>
    <m/>
    <m/>
    <m/>
    <n v="90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30"/>
    <x v="0"/>
    <n v="6600"/>
    <n v="0"/>
    <n v="0"/>
    <n v="0"/>
    <n v="0"/>
    <n v="6600"/>
    <n v="0"/>
    <n v="0"/>
    <n v="0"/>
    <n v="0"/>
    <n v="0"/>
    <n v="0"/>
    <n v="0"/>
    <m/>
    <m/>
    <n v="-66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30"/>
    <x v="0"/>
    <n v="0"/>
    <m/>
    <m/>
    <m/>
    <m/>
    <m/>
    <m/>
    <m/>
    <m/>
    <m/>
    <m/>
    <m/>
    <m/>
    <m/>
    <m/>
    <n v="6600"/>
    <m/>
    <m/>
    <m/>
    <m/>
    <m/>
    <n v="6600"/>
    <m/>
    <m/>
    <m/>
    <m/>
    <m/>
    <m/>
    <n v="4600"/>
    <m/>
    <m/>
    <m/>
    <m/>
    <m/>
    <n v="200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1"/>
    <x v="0"/>
    <n v="14400"/>
    <m/>
    <m/>
    <m/>
    <m/>
    <m/>
    <m/>
    <n v="14400"/>
    <m/>
    <m/>
    <m/>
    <m/>
    <m/>
    <m/>
    <n v="-14400"/>
    <m/>
    <m/>
    <m/>
    <m/>
    <m/>
    <m/>
    <n v="0"/>
    <m/>
    <m/>
    <m/>
    <m/>
    <m/>
    <m/>
    <n v="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3-01T00:00:00"/>
    <d v="2026-07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32"/>
    <x v="0"/>
    <n v="14400"/>
    <n v="1800"/>
    <n v="1800"/>
    <n v="1800"/>
    <n v="1800"/>
    <n v="1800"/>
    <n v="1800"/>
    <n v="1800"/>
    <n v="1800"/>
    <m/>
    <m/>
    <m/>
    <m/>
    <n v="1600"/>
    <m/>
    <n v="-1600"/>
    <m/>
    <m/>
    <m/>
    <m/>
    <m/>
    <n v="14400"/>
    <m/>
    <m/>
    <n v="4000"/>
    <n v="2000"/>
    <m/>
    <m/>
    <n v="84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33"/>
    <x v="0"/>
    <n v="40000"/>
    <n v="0"/>
    <n v="0"/>
    <n v="0"/>
    <n v="40000"/>
    <n v="0"/>
    <n v="0"/>
    <n v="0"/>
    <n v="0"/>
    <n v="0"/>
    <n v="0"/>
    <n v="0"/>
    <n v="0"/>
    <n v="-150"/>
    <m/>
    <m/>
    <m/>
    <m/>
    <m/>
    <m/>
    <m/>
    <n v="39850"/>
    <m/>
    <m/>
    <n v="0"/>
    <n v="3985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0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2"/>
    <x v="0"/>
    <n v="0"/>
    <m/>
    <m/>
    <m/>
    <m/>
    <m/>
    <m/>
    <m/>
    <m/>
    <m/>
    <m/>
    <m/>
    <m/>
    <m/>
    <m/>
    <n v="6448"/>
    <m/>
    <m/>
    <m/>
    <m/>
    <m/>
    <n v="6448"/>
    <m/>
    <m/>
    <m/>
    <m/>
    <m/>
    <m/>
    <n v="1612"/>
    <n v="1612"/>
    <n v="1612"/>
    <n v="1612"/>
    <m/>
    <m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32"/>
    <x v="0"/>
    <n v="0"/>
    <m/>
    <m/>
    <m/>
    <m/>
    <m/>
    <m/>
    <m/>
    <m/>
    <m/>
    <m/>
    <m/>
    <m/>
    <m/>
    <m/>
    <n v="11296"/>
    <m/>
    <m/>
    <n v="-1732.91"/>
    <m/>
    <m/>
    <n v="9563.09"/>
    <m/>
    <m/>
    <m/>
    <m/>
    <n v="0"/>
    <n v="1091.0899999999999"/>
    <n v="1412"/>
    <n v="1412"/>
    <n v="1412"/>
    <n v="1412"/>
    <n v="1412"/>
    <n v="141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2"/>
    <x v="0"/>
    <n v="0"/>
    <m/>
    <m/>
    <m/>
    <m/>
    <m/>
    <m/>
    <m/>
    <m/>
    <m/>
    <m/>
    <m/>
    <m/>
    <m/>
    <m/>
    <n v="7296"/>
    <m/>
    <m/>
    <m/>
    <m/>
    <m/>
    <n v="7296"/>
    <m/>
    <m/>
    <m/>
    <m/>
    <m/>
    <m/>
    <m/>
    <n v="1412"/>
    <n v="1412"/>
    <n v="1412"/>
    <n v="1412"/>
    <n v="1648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32"/>
    <x v="0"/>
    <n v="0"/>
    <m/>
    <m/>
    <m/>
    <m/>
    <m/>
    <m/>
    <m/>
    <m/>
    <m/>
    <m/>
    <m/>
    <m/>
    <m/>
    <m/>
    <n v="11296"/>
    <m/>
    <m/>
    <n v="-1732.91"/>
    <m/>
    <m/>
    <n v="9563.09"/>
    <m/>
    <m/>
    <m/>
    <m/>
    <n v="0"/>
    <n v="1091.0899999999999"/>
    <n v="1412"/>
    <n v="1412"/>
    <n v="1412"/>
    <n v="1412"/>
    <n v="1412"/>
    <n v="141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32"/>
    <x v="0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m/>
    <m/>
    <n v="-1743.6"/>
    <m/>
    <m/>
    <n v="11606.4"/>
    <m/>
    <n v="0"/>
    <n v="0"/>
    <n v="0"/>
    <n v="322.39999999999998"/>
    <n v="1612"/>
    <n v="1612"/>
    <n v="1612"/>
    <n v="1612"/>
    <n v="1612"/>
    <n v="1612"/>
    <n v="1612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32"/>
    <x v="0"/>
    <n v="6000"/>
    <n v="2000"/>
    <n v="2000"/>
    <n v="2000"/>
    <n v="0"/>
    <n v="0"/>
    <n v="0"/>
    <n v="0"/>
    <n v="0"/>
    <n v="0"/>
    <n v="0"/>
    <n v="0"/>
    <n v="0"/>
    <n v="18000"/>
    <m/>
    <n v="-18000"/>
    <m/>
    <m/>
    <m/>
    <m/>
    <m/>
    <n v="6000"/>
    <m/>
    <m/>
    <m/>
    <m/>
    <m/>
    <m/>
    <m/>
    <m/>
    <m/>
    <n v="2000"/>
    <n v="2000"/>
    <n v="200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2"/>
    <x v="0"/>
    <n v="450"/>
    <n v="0"/>
    <n v="0"/>
    <n v="0"/>
    <n v="0"/>
    <n v="0"/>
    <n v="0"/>
    <n v="0"/>
    <n v="0"/>
    <n v="0"/>
    <n v="0"/>
    <n v="0"/>
    <n v="450"/>
    <m/>
    <m/>
    <m/>
    <m/>
    <m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2"/>
    <x v="0"/>
    <n v="0"/>
    <m/>
    <m/>
    <m/>
    <m/>
    <m/>
    <m/>
    <m/>
    <m/>
    <m/>
    <m/>
    <m/>
    <m/>
    <n v="450"/>
    <m/>
    <m/>
    <m/>
    <m/>
    <m/>
    <m/>
    <m/>
    <n v="450"/>
    <m/>
    <m/>
    <m/>
    <m/>
    <m/>
    <m/>
    <m/>
    <m/>
    <m/>
    <m/>
    <m/>
    <n v="4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7"/>
    <x v="0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m/>
    <m/>
    <m/>
    <m/>
    <m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6"/>
    <x v="0"/>
    <n v="3000"/>
    <n v="0"/>
    <n v="250"/>
    <n v="250"/>
    <n v="250"/>
    <n v="250"/>
    <n v="250"/>
    <n v="250"/>
    <n v="300"/>
    <n v="300"/>
    <n v="300"/>
    <n v="300"/>
    <n v="300"/>
    <n v="-1500"/>
    <m/>
    <n v="-1000"/>
    <m/>
    <m/>
    <m/>
    <m/>
    <m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7"/>
    <x v="0"/>
    <n v="0"/>
    <m/>
    <m/>
    <m/>
    <m/>
    <m/>
    <m/>
    <m/>
    <m/>
    <m/>
    <m/>
    <m/>
    <m/>
    <m/>
    <m/>
    <n v="74267.509999999995"/>
    <m/>
    <m/>
    <m/>
    <m/>
    <m/>
    <n v="74267.509999999995"/>
    <m/>
    <m/>
    <m/>
    <m/>
    <m/>
    <m/>
    <m/>
    <m/>
    <m/>
    <m/>
    <m/>
    <n v="74267.509999999995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6"/>
    <x v="0"/>
    <n v="0"/>
    <m/>
    <m/>
    <m/>
    <m/>
    <m/>
    <m/>
    <m/>
    <m/>
    <m/>
    <m/>
    <m/>
    <m/>
    <m/>
    <m/>
    <n v="1000"/>
    <n v="2500"/>
    <m/>
    <m/>
    <m/>
    <m/>
    <n v="3500"/>
    <m/>
    <m/>
    <m/>
    <m/>
    <m/>
    <m/>
    <m/>
    <m/>
    <m/>
    <m/>
    <m/>
    <n v="3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24"/>
    <x v="0"/>
    <n v="18000"/>
    <n v="1500"/>
    <n v="1500"/>
    <n v="1500"/>
    <n v="1500"/>
    <n v="1500"/>
    <n v="1500"/>
    <n v="1500"/>
    <n v="1500"/>
    <n v="1500"/>
    <n v="1500"/>
    <n v="1500"/>
    <n v="1500"/>
    <m/>
    <m/>
    <m/>
    <m/>
    <m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34"/>
    <x v="0"/>
    <n v="6600"/>
    <n v="0"/>
    <n v="0"/>
    <n v="0"/>
    <n v="0"/>
    <n v="0"/>
    <n v="0"/>
    <n v="0"/>
    <n v="0"/>
    <n v="0"/>
    <n v="6600"/>
    <n v="0"/>
    <n v="0"/>
    <n v="-5000"/>
    <m/>
    <m/>
    <m/>
    <m/>
    <m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28"/>
    <x v="0"/>
    <n v="15000"/>
    <n v="0"/>
    <n v="0"/>
    <n v="0"/>
    <n v="0"/>
    <n v="0"/>
    <n v="0"/>
    <n v="15000"/>
    <n v="0"/>
    <n v="0"/>
    <n v="0"/>
    <n v="0"/>
    <n v="0"/>
    <m/>
    <m/>
    <n v="-150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27"/>
    <x v="0"/>
    <n v="6600"/>
    <n v="0"/>
    <n v="0"/>
    <n v="0"/>
    <n v="0"/>
    <n v="0"/>
    <n v="0"/>
    <n v="0"/>
    <n v="0"/>
    <n v="0"/>
    <n v="0"/>
    <n v="6600"/>
    <n v="0"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5"/>
    <x v="0"/>
    <n v="6600"/>
    <n v="0"/>
    <n v="0"/>
    <n v="0"/>
    <n v="0"/>
    <n v="0"/>
    <n v="0"/>
    <n v="0"/>
    <n v="0"/>
    <n v="0"/>
    <n v="0"/>
    <n v="6600"/>
    <n v="0"/>
    <m/>
    <m/>
    <n v="-66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5"/>
    <x v="0"/>
    <n v="1000"/>
    <n v="0"/>
    <n v="0"/>
    <n v="0"/>
    <n v="0"/>
    <n v="0"/>
    <n v="0"/>
    <n v="0"/>
    <n v="0"/>
    <n v="0"/>
    <n v="1000"/>
    <n v="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5"/>
    <x v="0"/>
    <n v="180"/>
    <n v="0"/>
    <n v="0"/>
    <n v="90"/>
    <n v="0"/>
    <n v="0"/>
    <n v="0"/>
    <n v="0"/>
    <n v="0"/>
    <n v="90"/>
    <n v="0"/>
    <n v="0"/>
    <n v="0"/>
    <n v="405.85"/>
    <m/>
    <m/>
    <m/>
    <m/>
    <m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9"/>
    <x v="0"/>
    <n v="0"/>
    <m/>
    <m/>
    <m/>
    <m/>
    <m/>
    <m/>
    <m/>
    <m/>
    <m/>
    <m/>
    <m/>
    <m/>
    <n v="270.04000000000002"/>
    <m/>
    <m/>
    <m/>
    <m/>
    <m/>
    <m/>
    <m/>
    <n v="270.04000000000002"/>
    <m/>
    <m/>
    <n v="270.04000000000002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9-01T00:00:00"/>
    <d v="2026-12-31T00:00:00"/>
    <m/>
    <m/>
    <m/>
    <m/>
    <m/>
    <m/>
    <m/>
    <m/>
    <m/>
    <m/>
    <m/>
    <m/>
    <m/>
    <s v="Servicio de rastreo satelital para los vehículos y motocicleta de la EPMGDT 2026 - 2027"/>
    <m/>
    <s v="01.01.001.209.530105.000.009"/>
    <s v="N/A"/>
    <x v="35"/>
    <x v="0"/>
    <m/>
    <m/>
    <m/>
    <m/>
    <m/>
    <m/>
    <m/>
    <m/>
    <m/>
    <m/>
    <m/>
    <m/>
    <m/>
    <m/>
    <m/>
    <m/>
    <m/>
    <m/>
    <m/>
    <n v="300"/>
    <m/>
    <n v="300"/>
    <m/>
    <m/>
    <m/>
    <m/>
    <m/>
    <m/>
    <m/>
    <m/>
    <n v="75"/>
    <n v="75"/>
    <n v="75"/>
    <n v="75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0.009"/>
    <s v="N/A"/>
    <x v="14"/>
    <x v="0"/>
    <m/>
    <m/>
    <m/>
    <m/>
    <m/>
    <m/>
    <m/>
    <m/>
    <m/>
    <m/>
    <m/>
    <m/>
    <m/>
    <m/>
    <m/>
    <m/>
    <m/>
    <m/>
    <m/>
    <n v="350"/>
    <m/>
    <n v="350"/>
    <m/>
    <m/>
    <m/>
    <m/>
    <m/>
    <m/>
    <m/>
    <m/>
    <m/>
    <m/>
    <m/>
    <n v="3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1.009"/>
    <s v="N/A"/>
    <x v="14"/>
    <x v="0"/>
    <m/>
    <m/>
    <m/>
    <m/>
    <m/>
    <m/>
    <m/>
    <m/>
    <m/>
    <m/>
    <m/>
    <m/>
    <m/>
    <m/>
    <m/>
    <m/>
    <m/>
    <m/>
    <m/>
    <n v="280"/>
    <m/>
    <n v="280"/>
    <m/>
    <m/>
    <m/>
    <m/>
    <m/>
    <m/>
    <m/>
    <m/>
    <m/>
    <m/>
    <m/>
    <n v="28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2.009"/>
    <s v="N/A"/>
    <x v="14"/>
    <x v="0"/>
    <m/>
    <m/>
    <m/>
    <m/>
    <m/>
    <m/>
    <m/>
    <m/>
    <m/>
    <m/>
    <m/>
    <m/>
    <m/>
    <m/>
    <m/>
    <m/>
    <m/>
    <m/>
    <m/>
    <n v="370"/>
    <m/>
    <n v="370"/>
    <m/>
    <m/>
    <m/>
    <m/>
    <m/>
    <m/>
    <m/>
    <m/>
    <m/>
    <m/>
    <m/>
    <n v="37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6"/>
    <x v="0"/>
    <n v="0"/>
    <m/>
    <m/>
    <m/>
    <m/>
    <m/>
    <m/>
    <m/>
    <m/>
    <m/>
    <m/>
    <m/>
    <m/>
    <n v="230.84"/>
    <m/>
    <m/>
    <m/>
    <m/>
    <m/>
    <m/>
    <m/>
    <n v="230.84"/>
    <m/>
    <m/>
    <n v="230.84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5"/>
    <x v="0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37"/>
    <x v="0"/>
    <n v="500"/>
    <n v="0"/>
    <n v="0"/>
    <n v="0"/>
    <n v="0"/>
    <n v="0"/>
    <n v="0"/>
    <n v="0"/>
    <n v="0"/>
    <n v="500"/>
    <n v="0"/>
    <n v="0"/>
    <n v="0"/>
    <m/>
    <m/>
    <m/>
    <m/>
    <m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5"/>
    <x v="0"/>
    <n v="6000"/>
    <n v="0"/>
    <n v="0"/>
    <n v="0"/>
    <n v="0"/>
    <n v="0"/>
    <n v="0"/>
    <n v="0"/>
    <n v="0"/>
    <n v="0"/>
    <n v="6000"/>
    <n v="0"/>
    <n v="0"/>
    <m/>
    <m/>
    <n v="17440.7"/>
    <m/>
    <m/>
    <n v="-10000"/>
    <m/>
    <m/>
    <n v="13440.7"/>
    <m/>
    <m/>
    <n v="0"/>
    <n v="0"/>
    <n v="0"/>
    <n v="0"/>
    <n v="0"/>
    <n v="0"/>
    <n v="0"/>
    <m/>
    <n v="0"/>
    <n v="13440.7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5"/>
    <x v="0"/>
    <n v="6600"/>
    <n v="0"/>
    <n v="0"/>
    <n v="0"/>
    <n v="0"/>
    <n v="0"/>
    <n v="0"/>
    <n v="0"/>
    <n v="0"/>
    <n v="0"/>
    <n v="6600"/>
    <n v="0"/>
    <n v="0"/>
    <m/>
    <m/>
    <n v="-66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5"/>
    <x v="0"/>
    <n v="1000"/>
    <n v="0"/>
    <n v="0"/>
    <n v="0"/>
    <n v="0"/>
    <n v="0"/>
    <n v="0"/>
    <n v="1000"/>
    <n v="0"/>
    <n v="0"/>
    <n v="0"/>
    <n v="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29"/>
    <x v="0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-5489.3"/>
    <m/>
    <m/>
    <m/>
    <m/>
    <n v="3599.9999999999991"/>
    <m/>
    <m/>
    <m/>
    <m/>
    <m/>
    <m/>
    <m/>
    <m/>
    <m/>
    <m/>
    <m/>
    <n v="36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03.000.009"/>
    <s v="N/A"/>
    <x v="38"/>
    <x v="0"/>
    <m/>
    <m/>
    <m/>
    <m/>
    <m/>
    <m/>
    <m/>
    <m/>
    <m/>
    <m/>
    <m/>
    <m/>
    <m/>
    <m/>
    <m/>
    <m/>
    <n v="900"/>
    <m/>
    <m/>
    <m/>
    <m/>
    <n v="900"/>
    <m/>
    <m/>
    <m/>
    <m/>
    <m/>
    <m/>
    <m/>
    <m/>
    <m/>
    <m/>
    <m/>
    <n v="9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13.000.009"/>
    <s v="N/A"/>
    <x v="14"/>
    <x v="0"/>
    <m/>
    <m/>
    <m/>
    <m/>
    <m/>
    <m/>
    <m/>
    <m/>
    <m/>
    <m/>
    <m/>
    <m/>
    <m/>
    <m/>
    <m/>
    <m/>
    <n v="4589.3"/>
    <m/>
    <m/>
    <m/>
    <m/>
    <n v="4589.3"/>
    <m/>
    <m/>
    <m/>
    <m/>
    <m/>
    <m/>
    <m/>
    <m/>
    <m/>
    <m/>
    <m/>
    <n v="4589.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29"/>
    <x v="0"/>
    <n v="2500"/>
    <n v="0"/>
    <n v="0"/>
    <n v="250"/>
    <n v="250"/>
    <n v="250"/>
    <n v="250"/>
    <n v="250"/>
    <n v="250"/>
    <n v="250"/>
    <n v="250"/>
    <n v="250"/>
    <n v="250"/>
    <m/>
    <m/>
    <m/>
    <n v="-1500"/>
    <m/>
    <m/>
    <m/>
    <m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03.000.009"/>
    <s v="N/A"/>
    <x v="38"/>
    <x v="0"/>
    <m/>
    <m/>
    <m/>
    <m/>
    <m/>
    <m/>
    <m/>
    <m/>
    <m/>
    <m/>
    <m/>
    <m/>
    <m/>
    <m/>
    <m/>
    <m/>
    <n v="500"/>
    <m/>
    <m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13.000.009"/>
    <s v="N/A"/>
    <x v="14"/>
    <x v="0"/>
    <m/>
    <m/>
    <m/>
    <m/>
    <m/>
    <m/>
    <m/>
    <m/>
    <m/>
    <m/>
    <m/>
    <m/>
    <m/>
    <m/>
    <m/>
    <m/>
    <n v="1000"/>
    <m/>
    <m/>
    <m/>
    <m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29"/>
    <x v="0"/>
    <n v="2500"/>
    <n v="0"/>
    <n v="0"/>
    <n v="250"/>
    <n v="250"/>
    <n v="250"/>
    <n v="250"/>
    <n v="250"/>
    <n v="250"/>
    <n v="250"/>
    <n v="250"/>
    <n v="250"/>
    <n v="250"/>
    <m/>
    <m/>
    <m/>
    <n v="-1200"/>
    <m/>
    <m/>
    <m/>
    <m/>
    <n v="1300"/>
    <m/>
    <m/>
    <m/>
    <m/>
    <m/>
    <m/>
    <m/>
    <m/>
    <m/>
    <m/>
    <m/>
    <n v="13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03.000.009"/>
    <s v="N/A"/>
    <x v="38"/>
    <x v="0"/>
    <m/>
    <m/>
    <m/>
    <m/>
    <m/>
    <m/>
    <m/>
    <m/>
    <m/>
    <m/>
    <m/>
    <m/>
    <m/>
    <m/>
    <m/>
    <m/>
    <n v="400"/>
    <m/>
    <m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13.000.009"/>
    <s v="N/A"/>
    <x v="14"/>
    <x v="0"/>
    <m/>
    <m/>
    <m/>
    <m/>
    <m/>
    <m/>
    <m/>
    <m/>
    <m/>
    <m/>
    <m/>
    <m/>
    <m/>
    <m/>
    <m/>
    <m/>
    <n v="800"/>
    <m/>
    <m/>
    <m/>
    <m/>
    <n v="800"/>
    <m/>
    <m/>
    <m/>
    <m/>
    <m/>
    <m/>
    <m/>
    <m/>
    <m/>
    <m/>
    <m/>
    <n v="80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39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m/>
    <m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2"/>
    <x v="0"/>
    <n v="0"/>
    <m/>
    <m/>
    <m/>
    <m/>
    <m/>
    <m/>
    <m/>
    <m/>
    <m/>
    <m/>
    <m/>
    <m/>
    <n v="1100"/>
    <m/>
    <m/>
    <m/>
    <m/>
    <m/>
    <m/>
    <m/>
    <n v="1100"/>
    <m/>
    <n v="1100"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0"/>
    <x v="0"/>
    <n v="0"/>
    <m/>
    <m/>
    <m/>
    <m/>
    <m/>
    <m/>
    <m/>
    <m/>
    <m/>
    <m/>
    <m/>
    <m/>
    <n v="2800"/>
    <m/>
    <m/>
    <m/>
    <m/>
    <m/>
    <m/>
    <m/>
    <n v="2800"/>
    <m/>
    <m/>
    <n v="2800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1"/>
    <x v="0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5"/>
    <x v="0"/>
    <n v="3000"/>
    <n v="0"/>
    <n v="0"/>
    <n v="0"/>
    <n v="0"/>
    <n v="0"/>
    <n v="0"/>
    <n v="1500"/>
    <n v="0"/>
    <n v="0"/>
    <n v="0"/>
    <n v="0"/>
    <n v="1500"/>
    <m/>
    <m/>
    <m/>
    <n v="1236"/>
    <m/>
    <m/>
    <m/>
    <m/>
    <n v="4236"/>
    <m/>
    <m/>
    <n v="0"/>
    <n v="0"/>
    <n v="0"/>
    <n v="0"/>
    <n v="2118"/>
    <n v="0"/>
    <n v="0"/>
    <n v="0"/>
    <n v="0"/>
    <n v="2118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33"/>
    <x v="0"/>
    <n v="0"/>
    <m/>
    <m/>
    <m/>
    <m/>
    <m/>
    <m/>
    <m/>
    <m/>
    <m/>
    <m/>
    <m/>
    <m/>
    <n v="150"/>
    <m/>
    <m/>
    <m/>
    <m/>
    <m/>
    <m/>
    <m/>
    <n v="150"/>
    <m/>
    <m/>
    <m/>
    <m/>
    <m/>
    <m/>
    <m/>
    <m/>
    <m/>
    <m/>
    <m/>
    <n v="1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0"/>
    <x v="0"/>
    <n v="0"/>
    <m/>
    <m/>
    <m/>
    <m/>
    <m/>
    <m/>
    <m/>
    <m/>
    <m/>
    <m/>
    <m/>
    <m/>
    <m/>
    <m/>
    <n v="10000"/>
    <m/>
    <m/>
    <m/>
    <m/>
    <m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10"/>
    <x v="0"/>
    <n v="102695.5"/>
    <n v="0"/>
    <n v="0"/>
    <n v="0"/>
    <n v="0"/>
    <n v="0"/>
    <n v="0"/>
    <n v="102695.5"/>
    <n v="0"/>
    <n v="0"/>
    <n v="0"/>
    <n v="0"/>
    <n v="0"/>
    <m/>
    <n v="-102695.5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5"/>
    <x v="0"/>
    <n v="2000"/>
    <n v="0"/>
    <n v="0"/>
    <n v="0"/>
    <n v="0"/>
    <n v="0"/>
    <n v="0"/>
    <n v="0"/>
    <n v="0"/>
    <n v="2000"/>
    <n v="0"/>
    <n v="0"/>
    <n v="0"/>
    <m/>
    <m/>
    <m/>
    <m/>
    <m/>
    <m/>
    <m/>
    <m/>
    <n v="2000"/>
    <m/>
    <m/>
    <n v="0"/>
    <n v="0"/>
    <n v="0"/>
    <n v="0"/>
    <n v="0"/>
    <n v="0"/>
    <n v="20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5"/>
    <x v="0"/>
    <n v="40000"/>
    <n v="0"/>
    <n v="0"/>
    <n v="0"/>
    <n v="0"/>
    <n v="0"/>
    <n v="40000"/>
    <n v="0"/>
    <n v="0"/>
    <n v="0"/>
    <n v="0"/>
    <n v="0"/>
    <n v="0"/>
    <m/>
    <n v="-40000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5"/>
    <x v="0"/>
    <n v="1000"/>
    <n v="0"/>
    <n v="0"/>
    <n v="0"/>
    <n v="0"/>
    <n v="0"/>
    <n v="0"/>
    <n v="0"/>
    <n v="0"/>
    <n v="1000"/>
    <n v="0"/>
    <n v="0"/>
    <n v="0"/>
    <m/>
    <m/>
    <m/>
    <m/>
    <m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16"/>
    <x v="0"/>
    <n v="0"/>
    <m/>
    <m/>
    <m/>
    <m/>
    <m/>
    <m/>
    <m/>
    <m/>
    <m/>
    <m/>
    <m/>
    <m/>
    <n v="60000"/>
    <m/>
    <m/>
    <m/>
    <m/>
    <m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5"/>
    <x v="0"/>
    <n v="74600"/>
    <n v="0"/>
    <n v="0"/>
    <n v="0"/>
    <n v="0"/>
    <n v="0"/>
    <n v="74600"/>
    <n v="0"/>
    <n v="0"/>
    <n v="0"/>
    <n v="0"/>
    <n v="0"/>
    <n v="0"/>
    <m/>
    <n v="-74600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5"/>
    <x v="0"/>
    <n v="3500"/>
    <n v="0"/>
    <n v="0"/>
    <n v="0"/>
    <n v="0"/>
    <n v="0"/>
    <n v="0"/>
    <n v="0"/>
    <n v="0"/>
    <n v="0"/>
    <n v="3500"/>
    <n v="0"/>
    <n v="0"/>
    <m/>
    <m/>
    <m/>
    <m/>
    <m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5"/>
    <x v="0"/>
    <n v="3000"/>
    <n v="0"/>
    <n v="0"/>
    <n v="0"/>
    <n v="0"/>
    <n v="0"/>
    <n v="0"/>
    <n v="0"/>
    <n v="0"/>
    <n v="0"/>
    <n v="3000"/>
    <n v="0"/>
    <n v="0"/>
    <n v="-3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5"/>
    <x v="0"/>
    <n v="2000"/>
    <n v="0"/>
    <n v="0"/>
    <n v="0"/>
    <n v="2000"/>
    <n v="0"/>
    <n v="0"/>
    <n v="0"/>
    <n v="0"/>
    <n v="0"/>
    <n v="0"/>
    <n v="0"/>
    <n v="0"/>
    <m/>
    <m/>
    <m/>
    <m/>
    <m/>
    <m/>
    <m/>
    <m/>
    <n v="2000"/>
    <m/>
    <m/>
    <n v="0"/>
    <n v="200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3"/>
    <x v="0"/>
    <n v="0"/>
    <m/>
    <m/>
    <m/>
    <m/>
    <m/>
    <m/>
    <m/>
    <m/>
    <m/>
    <m/>
    <m/>
    <m/>
    <n v="3000"/>
    <m/>
    <m/>
    <m/>
    <m/>
    <m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3"/>
    <x v="0"/>
    <n v="0"/>
    <m/>
    <m/>
    <m/>
    <m/>
    <m/>
    <m/>
    <m/>
    <m/>
    <m/>
    <m/>
    <m/>
    <m/>
    <n v="200"/>
    <m/>
    <m/>
    <m/>
    <m/>
    <m/>
    <m/>
    <m/>
    <n v="200"/>
    <m/>
    <m/>
    <m/>
    <m/>
    <m/>
    <m/>
    <m/>
    <m/>
    <m/>
    <m/>
    <n v="200"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terial de construcción"/>
    <m/>
    <s v="01.01.001.064.530811.000.009"/>
    <s v="N/A"/>
    <x v="28"/>
    <x v="0"/>
    <n v="1000"/>
    <n v="0"/>
    <n v="0"/>
    <n v="0"/>
    <n v="0"/>
    <n v="0"/>
    <n v="0"/>
    <n v="0"/>
    <n v="0"/>
    <n v="0"/>
    <n v="0"/>
    <n v="100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41"/>
    <x v="0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m/>
    <m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41"/>
    <x v="0"/>
    <n v="3000"/>
    <n v="250"/>
    <n v="250"/>
    <n v="250"/>
    <n v="250"/>
    <n v="250"/>
    <n v="250"/>
    <n v="250"/>
    <n v="250"/>
    <n v="250"/>
    <n v="250"/>
    <n v="250"/>
    <n v="250"/>
    <m/>
    <m/>
    <m/>
    <m/>
    <m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12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42"/>
    <x v="0"/>
    <n v="29311"/>
    <n v="0"/>
    <n v="0"/>
    <n v="0"/>
    <n v="0"/>
    <n v="29311"/>
    <n v="0"/>
    <n v="0"/>
    <n v="0"/>
    <n v="0"/>
    <n v="0"/>
    <n v="0"/>
    <n v="0"/>
    <m/>
    <m/>
    <m/>
    <n v="-9000"/>
    <m/>
    <n v="-2173"/>
    <n v="-1300"/>
    <m/>
    <n v="16838"/>
    <m/>
    <m/>
    <n v="0"/>
    <n v="14426.06"/>
    <m/>
    <n v="0"/>
    <n v="0"/>
    <n v="0"/>
    <n v="0"/>
    <n v="0"/>
    <n v="0"/>
    <n v="2411.94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43"/>
    <x v="0"/>
    <n v="6000"/>
    <n v="500"/>
    <n v="500"/>
    <n v="500"/>
    <n v="500"/>
    <n v="500"/>
    <n v="500"/>
    <n v="500"/>
    <n v="500"/>
    <n v="500"/>
    <n v="500"/>
    <n v="500"/>
    <n v="500"/>
    <m/>
    <m/>
    <n v="3170"/>
    <m/>
    <m/>
    <m/>
    <m/>
    <m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44"/>
    <x v="0"/>
    <n v="28000"/>
    <n v="2300"/>
    <n v="2300"/>
    <n v="2300"/>
    <n v="2300"/>
    <n v="2300"/>
    <n v="2300"/>
    <n v="2300"/>
    <n v="2300"/>
    <n v="2300"/>
    <n v="2400"/>
    <n v="2400"/>
    <n v="2500"/>
    <m/>
    <m/>
    <m/>
    <m/>
    <m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35"/>
    <x v="0"/>
    <n v="6000"/>
    <n v="500"/>
    <n v="500"/>
    <n v="500"/>
    <n v="500"/>
    <n v="500"/>
    <n v="500"/>
    <n v="500"/>
    <n v="500"/>
    <n v="500"/>
    <n v="500"/>
    <n v="500"/>
    <n v="500"/>
    <m/>
    <m/>
    <m/>
    <m/>
    <m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Pago de tasa de limpieza EMASEO"/>
    <m/>
    <s v="01.01.001.153.570102.000.009"/>
    <s v="N/A"/>
    <x v="42"/>
    <x v="0"/>
    <n v="49020"/>
    <n v="0"/>
    <n v="0"/>
    <n v="0"/>
    <n v="0"/>
    <n v="0"/>
    <n v="0"/>
    <n v="0"/>
    <n v="0"/>
    <n v="0"/>
    <n v="49020"/>
    <n v="0"/>
    <n v="0"/>
    <m/>
    <n v="-49020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33"/>
    <x v="0"/>
    <n v="0"/>
    <m/>
    <m/>
    <m/>
    <m/>
    <m/>
    <m/>
    <m/>
    <m/>
    <m/>
    <m/>
    <m/>
    <m/>
    <m/>
    <m/>
    <n v="2000"/>
    <m/>
    <m/>
    <m/>
    <m/>
    <m/>
    <n v="2000"/>
    <m/>
    <m/>
    <m/>
    <m/>
    <m/>
    <m/>
    <m/>
    <m/>
    <m/>
    <m/>
    <m/>
    <n v="20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0"/>
    <x v="0"/>
    <n v="6600"/>
    <n v="0"/>
    <n v="0"/>
    <n v="0"/>
    <n v="3000"/>
    <n v="0"/>
    <n v="0"/>
    <n v="0"/>
    <n v="3600"/>
    <n v="0"/>
    <n v="0"/>
    <n v="0"/>
    <n v="0"/>
    <m/>
    <m/>
    <m/>
    <m/>
    <m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0"/>
    <x v="0"/>
    <n v="33000"/>
    <n v="0"/>
    <n v="0"/>
    <n v="0"/>
    <n v="0"/>
    <n v="0"/>
    <n v="0"/>
    <n v="0"/>
    <n v="0"/>
    <n v="33000"/>
    <n v="0"/>
    <n v="0"/>
    <n v="0"/>
    <n v="-33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0"/>
    <x v="0"/>
    <n v="2000"/>
    <n v="0"/>
    <n v="0"/>
    <n v="0"/>
    <n v="0"/>
    <n v="2000"/>
    <n v="0"/>
    <n v="0"/>
    <n v="0"/>
    <n v="0"/>
    <n v="0"/>
    <n v="0"/>
    <n v="0"/>
    <n v="-2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0"/>
    <x v="0"/>
    <n v="7000"/>
    <n v="0"/>
    <n v="0"/>
    <n v="0"/>
    <n v="0"/>
    <n v="0"/>
    <n v="0"/>
    <n v="0"/>
    <n v="7000"/>
    <n v="0"/>
    <n v="0"/>
    <n v="0"/>
    <n v="0"/>
    <m/>
    <m/>
    <m/>
    <m/>
    <m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0"/>
    <x v="0"/>
    <n v="7200"/>
    <n v="0"/>
    <n v="0"/>
    <n v="0"/>
    <n v="0"/>
    <n v="0"/>
    <n v="0"/>
    <n v="0"/>
    <n v="0"/>
    <n v="0"/>
    <n v="0"/>
    <n v="0"/>
    <n v="7200"/>
    <m/>
    <m/>
    <m/>
    <m/>
    <m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0"/>
    <x v="0"/>
    <n v="8000"/>
    <n v="0"/>
    <n v="0"/>
    <n v="0"/>
    <n v="0"/>
    <n v="0"/>
    <n v="8000"/>
    <n v="0"/>
    <n v="0"/>
    <n v="0"/>
    <n v="0"/>
    <n v="0"/>
    <n v="0"/>
    <m/>
    <m/>
    <m/>
    <m/>
    <m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0"/>
    <x v="0"/>
    <n v="7000"/>
    <n v="0"/>
    <n v="0"/>
    <n v="0"/>
    <n v="0"/>
    <n v="0"/>
    <n v="0"/>
    <n v="0"/>
    <n v="0"/>
    <n v="7000"/>
    <n v="0"/>
    <n v="0"/>
    <n v="0"/>
    <m/>
    <m/>
    <m/>
    <m/>
    <m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0"/>
    <x v="0"/>
    <n v="7000"/>
    <n v="0"/>
    <n v="0"/>
    <n v="0"/>
    <n v="0"/>
    <n v="0"/>
    <n v="0"/>
    <n v="0"/>
    <n v="0"/>
    <n v="0"/>
    <n v="0"/>
    <n v="7000"/>
    <n v="0"/>
    <m/>
    <m/>
    <m/>
    <m/>
    <m/>
    <n v="-3209.95"/>
    <m/>
    <m/>
    <n v="3790.05"/>
    <m/>
    <m/>
    <n v="0"/>
    <n v="0"/>
    <n v="0"/>
    <n v="0"/>
    <n v="0"/>
    <n v="0"/>
    <n v="0"/>
    <n v="0"/>
    <n v="3790.05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42"/>
    <x v="0"/>
    <n v="2000"/>
    <n v="0"/>
    <n v="0"/>
    <n v="0"/>
    <n v="0"/>
    <n v="0"/>
    <n v="0"/>
    <n v="0"/>
    <n v="0"/>
    <n v="0"/>
    <n v="0"/>
    <n v="0"/>
    <n v="2000"/>
    <m/>
    <m/>
    <m/>
    <m/>
    <m/>
    <m/>
    <m/>
    <m/>
    <n v="2000"/>
    <m/>
    <m/>
    <n v="0"/>
    <n v="0"/>
    <n v="0"/>
    <n v="0"/>
    <n v="0"/>
    <n v="0"/>
    <n v="0"/>
    <n v="0"/>
    <n v="0"/>
    <n v="200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5"/>
    <x v="0"/>
    <n v="47050"/>
    <n v="15000"/>
    <n v="15000"/>
    <n v="17050"/>
    <n v="0"/>
    <n v="0"/>
    <n v="0"/>
    <n v="0"/>
    <n v="0"/>
    <n v="0"/>
    <n v="0"/>
    <n v="0"/>
    <n v="0"/>
    <m/>
    <m/>
    <m/>
    <m/>
    <m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5"/>
    <x v="0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m/>
    <m/>
    <m/>
    <m/>
    <m/>
    <n v="195000"/>
    <m/>
    <m/>
    <n v="0"/>
    <m/>
    <n v="0"/>
    <n v="0"/>
    <n v="32060.02"/>
    <n v="21900"/>
    <n v="41900"/>
    <n v="31900"/>
    <n v="31900"/>
    <n v="35339.98000000000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34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m/>
    <m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35"/>
    <x v="0"/>
    <n v="1710"/>
    <n v="227.7"/>
    <n v="227.7"/>
    <n v="227.7"/>
    <n v="227.7"/>
    <n v="227.7"/>
    <n v="227.7"/>
    <n v="343.8"/>
    <n v="0"/>
    <n v="0"/>
    <n v="0"/>
    <n v="0"/>
    <n v="0"/>
    <m/>
    <m/>
    <m/>
    <m/>
    <m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35"/>
    <x v="0"/>
    <n v="1400"/>
    <n v="0"/>
    <n v="0"/>
    <n v="0"/>
    <n v="0"/>
    <n v="0"/>
    <n v="0"/>
    <n v="227.7"/>
    <n v="227.7"/>
    <n v="227.7"/>
    <n v="227.7"/>
    <n v="227.7"/>
    <n v="261.5"/>
    <m/>
    <m/>
    <m/>
    <m/>
    <m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46"/>
    <x v="0"/>
    <n v="2000"/>
    <n v="0"/>
    <n v="0"/>
    <n v="0"/>
    <n v="0"/>
    <n v="0"/>
    <n v="0"/>
    <n v="0"/>
    <n v="0"/>
    <n v="0"/>
    <n v="0"/>
    <n v="0"/>
    <n v="2000"/>
    <n v="-2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5"/>
    <x v="0"/>
    <n v="25000"/>
    <n v="0"/>
    <n v="0"/>
    <n v="0"/>
    <n v="0"/>
    <n v="0"/>
    <n v="0"/>
    <n v="25000"/>
    <n v="0"/>
    <n v="0"/>
    <n v="0"/>
    <n v="0"/>
    <n v="0"/>
    <n v="-2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35"/>
    <x v="0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m/>
    <m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35"/>
    <x v="0"/>
    <n v="12500"/>
    <n v="0"/>
    <n v="0"/>
    <n v="0"/>
    <n v="0"/>
    <n v="0"/>
    <n v="0"/>
    <n v="0"/>
    <n v="2500"/>
    <n v="2500"/>
    <n v="2500"/>
    <n v="2500"/>
    <n v="2500"/>
    <m/>
    <m/>
    <m/>
    <m/>
    <m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5"/>
    <x v="0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5"/>
    <x v="0"/>
    <n v="0"/>
    <m/>
    <m/>
    <m/>
    <m/>
    <m/>
    <m/>
    <m/>
    <m/>
    <m/>
    <m/>
    <m/>
    <m/>
    <m/>
    <m/>
    <n v="1600"/>
    <m/>
    <m/>
    <m/>
    <m/>
    <m/>
    <n v="1600"/>
    <m/>
    <m/>
    <m/>
    <m/>
    <m/>
    <n v="16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3"/>
    <x v="0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3"/>
    <x v="0"/>
    <n v="2000"/>
    <n v="0"/>
    <n v="0"/>
    <n v="0"/>
    <n v="0"/>
    <n v="0"/>
    <n v="0"/>
    <n v="0"/>
    <n v="0"/>
    <n v="0"/>
    <n v="2000"/>
    <n v="0"/>
    <n v="0"/>
    <m/>
    <m/>
    <m/>
    <m/>
    <m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3"/>
    <x v="0"/>
    <n v="1000"/>
    <n v="0"/>
    <n v="0"/>
    <n v="0"/>
    <n v="0"/>
    <n v="0"/>
    <n v="0"/>
    <n v="0"/>
    <n v="0"/>
    <n v="0"/>
    <n v="1000"/>
    <n v="0"/>
    <n v="0"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3"/>
    <x v="0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3"/>
    <x v="0"/>
    <n v="1100"/>
    <n v="0"/>
    <n v="0"/>
    <n v="0"/>
    <n v="0"/>
    <n v="0"/>
    <n v="0"/>
    <n v="0"/>
    <n v="0"/>
    <n v="0"/>
    <n v="0"/>
    <n v="1100"/>
    <n v="0"/>
    <m/>
    <m/>
    <m/>
    <m/>
    <m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3"/>
    <x v="0"/>
    <n v="1000"/>
    <n v="0"/>
    <n v="0"/>
    <n v="0"/>
    <n v="0"/>
    <n v="0"/>
    <n v="0"/>
    <n v="0"/>
    <n v="0"/>
    <n v="0"/>
    <n v="0"/>
    <n v="1000"/>
    <n v="0"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3"/>
    <x v="0"/>
    <n v="10000"/>
    <n v="0"/>
    <n v="0"/>
    <n v="0"/>
    <n v="0"/>
    <n v="0"/>
    <n v="0"/>
    <n v="0"/>
    <n v="0"/>
    <n v="0"/>
    <n v="0"/>
    <n v="10000"/>
    <n v="0"/>
    <m/>
    <m/>
    <m/>
    <m/>
    <m/>
    <n v="-10000"/>
    <m/>
    <m/>
    <n v="0"/>
    <m/>
    <m/>
    <n v="0"/>
    <n v="0"/>
    <n v="0"/>
    <n v="0"/>
    <n v="0"/>
    <n v="0"/>
    <n v="0"/>
    <n v="0"/>
    <m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5"/>
    <x v="0"/>
    <n v="1000"/>
    <n v="0"/>
    <n v="0"/>
    <n v="0"/>
    <n v="0"/>
    <n v="0"/>
    <n v="0"/>
    <n v="0"/>
    <n v="0"/>
    <n v="1000"/>
    <n v="0"/>
    <n v="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47"/>
    <x v="0"/>
    <n v="6000"/>
    <n v="0"/>
    <n v="0"/>
    <n v="0"/>
    <n v="0"/>
    <n v="0"/>
    <n v="0"/>
    <n v="6000"/>
    <n v="0"/>
    <n v="0"/>
    <n v="0"/>
    <n v="0"/>
    <n v="0"/>
    <n v="-1000"/>
    <m/>
    <m/>
    <m/>
    <m/>
    <m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48"/>
    <x v="0"/>
    <n v="900"/>
    <n v="0"/>
    <n v="0"/>
    <n v="0"/>
    <n v="0"/>
    <n v="0"/>
    <n v="0"/>
    <n v="900"/>
    <n v="0"/>
    <n v="0"/>
    <n v="0"/>
    <n v="0"/>
    <n v="0"/>
    <m/>
    <m/>
    <m/>
    <m/>
    <m/>
    <m/>
    <m/>
    <m/>
    <n v="900"/>
    <m/>
    <m/>
    <n v="0"/>
    <n v="0"/>
    <n v="0"/>
    <n v="0"/>
    <n v="9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47"/>
    <x v="0"/>
    <n v="6600"/>
    <n v="0"/>
    <n v="0"/>
    <n v="0"/>
    <n v="0"/>
    <n v="0"/>
    <n v="0"/>
    <n v="6600"/>
    <n v="0"/>
    <n v="0"/>
    <n v="0"/>
    <n v="0"/>
    <n v="0"/>
    <m/>
    <m/>
    <n v="-990"/>
    <m/>
    <m/>
    <m/>
    <m/>
    <m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48"/>
    <x v="0"/>
    <n v="0"/>
    <m/>
    <m/>
    <m/>
    <m/>
    <m/>
    <m/>
    <m/>
    <m/>
    <m/>
    <m/>
    <m/>
    <m/>
    <m/>
    <m/>
    <n v="990"/>
    <m/>
    <m/>
    <m/>
    <m/>
    <m/>
    <n v="990"/>
    <m/>
    <m/>
    <m/>
    <m/>
    <m/>
    <n v="99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35"/>
    <x v="0"/>
    <n v="283"/>
    <n v="0"/>
    <n v="0"/>
    <n v="0"/>
    <n v="0"/>
    <n v="0"/>
    <n v="0"/>
    <n v="0"/>
    <n v="283"/>
    <n v="0"/>
    <n v="0"/>
    <n v="0"/>
    <n v="0"/>
    <m/>
    <m/>
    <m/>
    <m/>
    <m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2-01T00:00:00"/>
    <d v="2026-07-31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49"/>
    <x v="0"/>
    <n v="96030"/>
    <n v="16005"/>
    <n v="16005"/>
    <n v="16005"/>
    <n v="16005"/>
    <n v="16005"/>
    <n v="16005"/>
    <m/>
    <m/>
    <m/>
    <m/>
    <m/>
    <m/>
    <m/>
    <n v="-19050"/>
    <m/>
    <m/>
    <m/>
    <m/>
    <m/>
    <m/>
    <n v="76980"/>
    <m/>
    <n v="12830"/>
    <n v="12830"/>
    <n v="12830"/>
    <n v="12830"/>
    <n v="12830"/>
    <n v="1283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49"/>
    <x v="0"/>
    <n v="76980"/>
    <m/>
    <m/>
    <m/>
    <m/>
    <m/>
    <m/>
    <n v="12830"/>
    <n v="12830"/>
    <n v="12830"/>
    <n v="12830"/>
    <n v="12830"/>
    <n v="12830"/>
    <m/>
    <m/>
    <n v="48020"/>
    <m/>
    <m/>
    <n v="2173"/>
    <m/>
    <m/>
    <n v="127173"/>
    <m/>
    <m/>
    <m/>
    <m/>
    <m/>
    <m/>
    <m/>
    <m/>
    <m/>
    <m/>
    <m/>
    <n v="127173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3"/>
    <x v="0"/>
    <n v="0"/>
    <m/>
    <m/>
    <m/>
    <m/>
    <m/>
    <m/>
    <m/>
    <m/>
    <m/>
    <m/>
    <m/>
    <m/>
    <n v="3500"/>
    <m/>
    <m/>
    <m/>
    <m/>
    <m/>
    <m/>
    <m/>
    <n v="3500"/>
    <m/>
    <m/>
    <m/>
    <m/>
    <m/>
    <n v="3500"/>
    <m/>
    <m/>
    <m/>
    <m/>
    <m/>
    <m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50"/>
    <x v="0"/>
    <n v="1026"/>
    <n v="270"/>
    <n v="270"/>
    <n v="270"/>
    <n v="216"/>
    <n v="0"/>
    <n v="0"/>
    <n v="0"/>
    <n v="0"/>
    <n v="0"/>
    <n v="0"/>
    <n v="0"/>
    <n v="0"/>
    <m/>
    <m/>
    <m/>
    <m/>
    <m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50"/>
    <x v="0"/>
    <n v="3500"/>
    <n v="0"/>
    <n v="0"/>
    <n v="0"/>
    <n v="0"/>
    <n v="400"/>
    <n v="400"/>
    <n v="400"/>
    <n v="400"/>
    <n v="400"/>
    <n v="400"/>
    <n v="400"/>
    <n v="700"/>
    <m/>
    <m/>
    <m/>
    <n v="-1236"/>
    <m/>
    <m/>
    <m/>
    <m/>
    <n v="2264"/>
    <m/>
    <m/>
    <n v="0"/>
    <n v="0"/>
    <n v="117"/>
    <n v="270"/>
    <n v="270"/>
    <n v="270"/>
    <n v="270"/>
    <n v="270"/>
    <n v="270"/>
    <n v="270"/>
    <n v="257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16"/>
    <x v="0"/>
    <n v="50000"/>
    <n v="0"/>
    <n v="0"/>
    <n v="0"/>
    <n v="0"/>
    <n v="0"/>
    <n v="0"/>
    <n v="0"/>
    <n v="50000"/>
    <n v="0"/>
    <n v="0"/>
    <n v="0"/>
    <n v="0"/>
    <n v="-5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0"/>
    <x v="0"/>
    <n v="0"/>
    <m/>
    <m/>
    <m/>
    <m/>
    <m/>
    <m/>
    <m/>
    <m/>
    <m/>
    <m/>
    <m/>
    <m/>
    <n v="9259.93"/>
    <m/>
    <m/>
    <m/>
    <m/>
    <n v="-9259.93"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0"/>
    <x v="0"/>
    <n v="0"/>
    <m/>
    <m/>
    <m/>
    <m/>
    <m/>
    <m/>
    <m/>
    <m/>
    <m/>
    <m/>
    <m/>
    <m/>
    <n v="65000"/>
    <m/>
    <n v="-25000"/>
    <m/>
    <m/>
    <m/>
    <m/>
    <m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0"/>
    <x v="0"/>
    <n v="28000"/>
    <n v="0"/>
    <n v="0"/>
    <n v="0"/>
    <n v="0"/>
    <n v="0"/>
    <n v="0"/>
    <n v="0"/>
    <n v="0"/>
    <n v="0"/>
    <n v="0"/>
    <n v="28000"/>
    <n v="0"/>
    <n v="-28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0"/>
    <x v="0"/>
    <n v="8000"/>
    <n v="0"/>
    <n v="0"/>
    <n v="0"/>
    <n v="0"/>
    <n v="0"/>
    <n v="0"/>
    <n v="0"/>
    <n v="0"/>
    <n v="0"/>
    <n v="0"/>
    <n v="8000"/>
    <n v="0"/>
    <n v="-8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0"/>
    <x v="0"/>
    <n v="0"/>
    <m/>
    <m/>
    <m/>
    <m/>
    <m/>
    <m/>
    <m/>
    <m/>
    <m/>
    <m/>
    <m/>
    <m/>
    <n v="26000"/>
    <m/>
    <n v="-26000"/>
    <m/>
    <m/>
    <m/>
    <m/>
    <m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6"/>
    <x v="0"/>
    <n v="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0"/>
    <x v="0"/>
    <n v="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51"/>
    <x v="0"/>
    <n v="54000"/>
    <n v="4500"/>
    <n v="4500"/>
    <n v="4500"/>
    <n v="4500"/>
    <n v="4500"/>
    <n v="4500"/>
    <n v="4500"/>
    <n v="4500"/>
    <n v="4500"/>
    <n v="4500"/>
    <n v="4500"/>
    <n v="4500"/>
    <m/>
    <m/>
    <m/>
    <m/>
    <m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52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m/>
    <m/>
    <m/>
    <m/>
    <m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3"/>
    <x v="0"/>
    <n v="0"/>
    <m/>
    <m/>
    <m/>
    <m/>
    <m/>
    <m/>
    <m/>
    <m/>
    <m/>
    <m/>
    <m/>
    <m/>
    <m/>
    <m/>
    <n v="7500"/>
    <m/>
    <m/>
    <m/>
    <m/>
    <m/>
    <n v="7500"/>
    <m/>
    <m/>
    <m/>
    <m/>
    <m/>
    <m/>
    <m/>
    <n v="75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6"/>
    <x v="0"/>
    <n v="0"/>
    <m/>
    <m/>
    <m/>
    <m/>
    <m/>
    <m/>
    <m/>
    <m/>
    <m/>
    <m/>
    <m/>
    <m/>
    <m/>
    <n v="35000"/>
    <n v="-35000"/>
    <m/>
    <m/>
    <m/>
    <m/>
    <m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Adquisición de máquinas de estampar o similares"/>
    <m/>
    <s v="01.01.002.071.840104.000.009"/>
    <s v="N/A"/>
    <x v="36"/>
    <x v="0"/>
    <n v="0"/>
    <m/>
    <m/>
    <m/>
    <m/>
    <m/>
    <m/>
    <m/>
    <m/>
    <m/>
    <m/>
    <m/>
    <m/>
    <m/>
    <m/>
    <n v="15000"/>
    <m/>
    <m/>
    <m/>
    <n v="-15000"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45"/>
    <x v="0"/>
    <n v="27795"/>
    <m/>
    <m/>
    <m/>
    <m/>
    <m/>
    <m/>
    <m/>
    <m/>
    <n v="27795"/>
    <m/>
    <m/>
    <m/>
    <m/>
    <m/>
    <n v="20980"/>
    <m/>
    <m/>
    <m/>
    <m/>
    <m/>
    <n v="48775"/>
    <m/>
    <m/>
    <m/>
    <m/>
    <m/>
    <m/>
    <n v="10000"/>
    <n v="10000"/>
    <n v="10000"/>
    <m/>
    <m/>
    <n v="18775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3"/>
    <x v="0"/>
    <n v="0"/>
    <m/>
    <m/>
    <m/>
    <m/>
    <m/>
    <m/>
    <m/>
    <m/>
    <m/>
    <m/>
    <m/>
    <m/>
    <m/>
    <m/>
    <n v="7500"/>
    <m/>
    <m/>
    <m/>
    <m/>
    <m/>
    <n v="7500"/>
    <m/>
    <m/>
    <m/>
    <m/>
    <m/>
    <m/>
    <m/>
    <n v="75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840104.000.009"/>
    <s v="Promoción"/>
    <x v="36"/>
    <x v="0"/>
    <m/>
    <m/>
    <m/>
    <m/>
    <m/>
    <m/>
    <m/>
    <m/>
    <m/>
    <m/>
    <m/>
    <m/>
    <m/>
    <m/>
    <m/>
    <m/>
    <m/>
    <m/>
    <m/>
    <n v="15000"/>
    <m/>
    <n v="15000"/>
    <m/>
    <m/>
    <m/>
    <m/>
    <m/>
    <m/>
    <m/>
    <n v="15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630804.000.009"/>
    <s v="Promoción"/>
    <x v="54"/>
    <x v="0"/>
    <m/>
    <m/>
    <m/>
    <m/>
    <m/>
    <m/>
    <m/>
    <m/>
    <m/>
    <m/>
    <m/>
    <m/>
    <m/>
    <m/>
    <m/>
    <m/>
    <m/>
    <m/>
    <m/>
    <n v="5000"/>
    <m/>
    <n v="5000"/>
    <m/>
    <m/>
    <m/>
    <m/>
    <m/>
    <m/>
    <m/>
    <n v="5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0"/>
    <x v="0"/>
    <n v="0"/>
    <m/>
    <m/>
    <m/>
    <m/>
    <m/>
    <m/>
    <m/>
    <m/>
    <m/>
    <m/>
    <m/>
    <m/>
    <m/>
    <m/>
    <n v="5000"/>
    <m/>
    <m/>
    <m/>
    <n v="-5000"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6"/>
    <x v="0"/>
    <n v="0"/>
    <m/>
    <m/>
    <m/>
    <m/>
    <m/>
    <m/>
    <m/>
    <m/>
    <m/>
    <m/>
    <m/>
    <m/>
    <m/>
    <m/>
    <n v="14000"/>
    <m/>
    <m/>
    <m/>
    <m/>
    <m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0"/>
    <x v="0"/>
    <n v="0"/>
    <m/>
    <m/>
    <m/>
    <m/>
    <m/>
    <m/>
    <m/>
    <m/>
    <m/>
    <m/>
    <m/>
    <m/>
    <m/>
    <m/>
    <n v="6000"/>
    <m/>
    <m/>
    <m/>
    <n v="6600"/>
    <m/>
    <n v="12600"/>
    <m/>
    <m/>
    <m/>
    <m/>
    <m/>
    <m/>
    <m/>
    <n v="126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36"/>
    <x v="0"/>
    <n v="0"/>
    <m/>
    <m/>
    <m/>
    <m/>
    <m/>
    <m/>
    <m/>
    <m/>
    <m/>
    <m/>
    <m/>
    <m/>
    <m/>
    <n v="20000"/>
    <n v="-20000"/>
    <m/>
    <m/>
    <m/>
    <m/>
    <m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55"/>
    <x v="0"/>
    <n v="0"/>
    <m/>
    <m/>
    <m/>
    <m/>
    <m/>
    <m/>
    <m/>
    <m/>
    <m/>
    <m/>
    <m/>
    <m/>
    <m/>
    <n v="25000"/>
    <n v="-25000"/>
    <m/>
    <m/>
    <m/>
    <m/>
    <m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Desarrollo"/>
    <x v="19"/>
    <x v="0"/>
    <n v="0"/>
    <m/>
    <m/>
    <m/>
    <m/>
    <m/>
    <m/>
    <m/>
    <m/>
    <m/>
    <m/>
    <m/>
    <m/>
    <n v="14500"/>
    <m/>
    <m/>
    <m/>
    <m/>
    <m/>
    <m/>
    <m/>
    <n v="14500"/>
    <m/>
    <m/>
    <m/>
    <n v="0"/>
    <n v="0"/>
    <n v="3625"/>
    <n v="3625"/>
    <n v="725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7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Desarrollo"/>
    <x v="32"/>
    <x v="0"/>
    <n v="12500"/>
    <n v="2500"/>
    <n v="2500"/>
    <n v="2500"/>
    <n v="2500"/>
    <n v="2500"/>
    <m/>
    <m/>
    <m/>
    <m/>
    <m/>
    <m/>
    <m/>
    <m/>
    <m/>
    <m/>
    <m/>
    <m/>
    <m/>
    <m/>
    <m/>
    <n v="12500"/>
    <m/>
    <m/>
    <m/>
    <m/>
    <m/>
    <m/>
    <n v="2500"/>
    <n v="10000"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2"/>
    <x v="0"/>
    <n v="0"/>
    <m/>
    <m/>
    <m/>
    <m/>
    <m/>
    <m/>
    <m/>
    <m/>
    <m/>
    <m/>
    <m/>
    <m/>
    <m/>
    <n v="25000"/>
    <n v="-10000"/>
    <m/>
    <m/>
    <m/>
    <m/>
    <m/>
    <n v="15000"/>
    <m/>
    <m/>
    <m/>
    <m/>
    <m/>
    <n v="2500"/>
    <n v="2500"/>
    <n v="2500"/>
    <n v="2500"/>
    <n v="2500"/>
    <n v="2500"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2"/>
    <x v="0"/>
    <n v="0"/>
    <m/>
    <m/>
    <m/>
    <m/>
    <m/>
    <m/>
    <m/>
    <m/>
    <m/>
    <m/>
    <m/>
    <m/>
    <m/>
    <m/>
    <n v="25000"/>
    <m/>
    <m/>
    <m/>
    <m/>
    <n v="-12500"/>
    <n v="12500"/>
    <m/>
    <m/>
    <m/>
    <n v="0"/>
    <n v="0"/>
    <n v="0"/>
    <m/>
    <m/>
    <m/>
    <m/>
    <m/>
    <m/>
    <n v="1250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7-01T00:00:00"/>
    <d v="2026-11-30T00:00:00"/>
    <m/>
    <m/>
    <m/>
    <m/>
    <m/>
    <m/>
    <m/>
    <m/>
    <m/>
    <m/>
    <m/>
    <m/>
    <m/>
    <s v="Contratación servicios profesionales para la estructuración del modelo de gestión asociativo de la Plaza de espectáculos Bicentenario"/>
    <m/>
    <s v="01.01.002.086.530606.000.009"/>
    <s v="Promoción"/>
    <x v="32"/>
    <x v="0"/>
    <m/>
    <m/>
    <m/>
    <m/>
    <m/>
    <m/>
    <m/>
    <m/>
    <m/>
    <m/>
    <m/>
    <m/>
    <m/>
    <m/>
    <m/>
    <m/>
    <m/>
    <m/>
    <m/>
    <m/>
    <n v="12500"/>
    <n v="12500"/>
    <m/>
    <m/>
    <m/>
    <m/>
    <m/>
    <m/>
    <n v="2500"/>
    <n v="2500"/>
    <n v="2500"/>
    <n v="2500"/>
    <n v="2500"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2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56"/>
    <x v="0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m/>
    <m/>
    <m/>
    <m/>
    <m/>
    <n v="80266.28"/>
    <m/>
    <m/>
    <m/>
    <m/>
    <n v="5394.14"/>
    <n v="24289.14"/>
    <n v="8430.5"/>
    <n v="8430.5"/>
    <n v="8430.5"/>
    <n v="8430.5"/>
    <n v="8430.5"/>
    <n v="8430.5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56"/>
    <x v="0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m/>
    <m/>
    <m/>
    <m/>
    <m/>
    <n v="80266.28"/>
    <m/>
    <m/>
    <m/>
    <n v="3274.46"/>
    <m/>
    <n v="21149.61"/>
    <m/>
    <m/>
    <n v="20000"/>
    <m/>
    <m/>
    <n v="35842.21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2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56"/>
    <x v="0"/>
    <n v="25485.23"/>
    <n v="0"/>
    <n v="0"/>
    <n v="0"/>
    <n v="0"/>
    <n v="0"/>
    <n v="25485.23"/>
    <n v="0"/>
    <n v="0"/>
    <n v="0"/>
    <n v="0"/>
    <n v="0"/>
    <n v="0"/>
    <m/>
    <n v="-1405.33"/>
    <m/>
    <m/>
    <m/>
    <m/>
    <m/>
    <m/>
    <n v="24079.9"/>
    <m/>
    <m/>
    <n v="0"/>
    <n v="0"/>
    <n v="0"/>
    <n v="24079.9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56"/>
    <x v="0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n v="0"/>
    <m/>
    <m/>
    <n v="0"/>
    <n v="0"/>
    <n v="0"/>
    <n v="0"/>
    <n v="0"/>
    <n v="0"/>
    <n v="0"/>
    <n v="0"/>
    <n v="0"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56"/>
    <x v="0"/>
    <n v="40000"/>
    <n v="0"/>
    <n v="0"/>
    <n v="0"/>
    <n v="0"/>
    <n v="0"/>
    <n v="0"/>
    <n v="15000"/>
    <n v="25000"/>
    <n v="0"/>
    <n v="0"/>
    <n v="0"/>
    <n v="0"/>
    <n v="-40000"/>
    <m/>
    <m/>
    <m/>
    <m/>
    <m/>
    <m/>
    <m/>
    <n v="0"/>
    <m/>
    <m/>
    <n v="0"/>
    <n v="0"/>
    <n v="0"/>
    <n v="0"/>
    <m/>
    <m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7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m/>
    <m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5"/>
    <x v="0"/>
    <n v="0"/>
    <m/>
    <m/>
    <m/>
    <m/>
    <m/>
    <m/>
    <m/>
    <m/>
    <m/>
    <m/>
    <m/>
    <m/>
    <n v="50000"/>
    <n v="-18000"/>
    <m/>
    <m/>
    <m/>
    <m/>
    <m/>
    <m/>
    <n v="32000"/>
    <m/>
    <m/>
    <m/>
    <m/>
    <m/>
    <n v="32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56"/>
    <x v="0"/>
    <n v="0"/>
    <m/>
    <m/>
    <m/>
    <m/>
    <m/>
    <m/>
    <m/>
    <m/>
    <m/>
    <m/>
    <m/>
    <m/>
    <m/>
    <n v="10000"/>
    <m/>
    <m/>
    <m/>
    <m/>
    <m/>
    <m/>
    <n v="10000"/>
    <m/>
    <m/>
    <m/>
    <m/>
    <m/>
    <n v="1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Impulso y Atracción especializada MICE para la Captación de Eventos de Gran Formato en el destino Quito 06"/>
    <m/>
    <s v="01.01.002.082.630207.000.009"/>
    <s v="MICE"/>
    <x v="56"/>
    <x v="0"/>
    <m/>
    <m/>
    <m/>
    <m/>
    <m/>
    <m/>
    <m/>
    <m/>
    <m/>
    <m/>
    <m/>
    <m/>
    <m/>
    <m/>
    <m/>
    <m/>
    <m/>
    <n v="100000"/>
    <m/>
    <m/>
    <m/>
    <n v="100000"/>
    <m/>
    <m/>
    <m/>
    <m/>
    <m/>
    <m/>
    <m/>
    <m/>
    <m/>
    <m/>
    <m/>
    <n v="10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10-01T00:00:00"/>
    <d v="2026-10-31T00:00:00"/>
    <m/>
    <m/>
    <m/>
    <m/>
    <m/>
    <m/>
    <m/>
    <m/>
    <m/>
    <m/>
    <m/>
    <m/>
    <m/>
    <s v="Impulso y Atracción especializada MICE para la Captación de Eventos de Gran Formato en el destino Quito 05"/>
    <m/>
    <s v="01.01.002.084.630207.000.009"/>
    <s v="MICE"/>
    <x v="56"/>
    <x v="0"/>
    <m/>
    <m/>
    <m/>
    <m/>
    <m/>
    <m/>
    <m/>
    <m/>
    <m/>
    <m/>
    <m/>
    <m/>
    <m/>
    <m/>
    <m/>
    <m/>
    <m/>
    <n v="100000"/>
    <m/>
    <m/>
    <m/>
    <n v="100000"/>
    <m/>
    <m/>
    <m/>
    <m/>
    <m/>
    <m/>
    <m/>
    <m/>
    <m/>
    <n v="100000"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8-01T00:00:00"/>
    <d v="2026-08-31T00:00:00"/>
    <m/>
    <m/>
    <m/>
    <m/>
    <m/>
    <m/>
    <m/>
    <m/>
    <m/>
    <m/>
    <m/>
    <m/>
    <m/>
    <s v="Impulso y Atracción especializada MICE para la Captación de Eventos de Gran Formato en el destino Quito 04"/>
    <m/>
    <s v="01.01.002.083.630207.000.009"/>
    <s v="MICE"/>
    <x v="56"/>
    <x v="0"/>
    <m/>
    <m/>
    <m/>
    <m/>
    <m/>
    <m/>
    <m/>
    <m/>
    <m/>
    <m/>
    <m/>
    <m/>
    <m/>
    <m/>
    <m/>
    <m/>
    <m/>
    <n v="50000"/>
    <m/>
    <m/>
    <m/>
    <n v="50000"/>
    <m/>
    <m/>
    <m/>
    <m/>
    <m/>
    <m/>
    <m/>
    <n v="50000"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56"/>
    <x v="0"/>
    <n v="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56"/>
    <x v="0"/>
    <n v="0"/>
    <m/>
    <m/>
    <m/>
    <m/>
    <m/>
    <m/>
    <m/>
    <m/>
    <m/>
    <m/>
    <m/>
    <m/>
    <m/>
    <m/>
    <n v="14000"/>
    <m/>
    <m/>
    <m/>
    <m/>
    <m/>
    <n v="14000"/>
    <m/>
    <m/>
    <m/>
    <m/>
    <m/>
    <n v="14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Organización de eventos a clientes externos"/>
    <m/>
    <s v="01.01.002.061.530249.000.009"/>
    <s v="Promoción"/>
    <x v="58"/>
    <x v="0"/>
    <n v="0"/>
    <m/>
    <m/>
    <m/>
    <m/>
    <m/>
    <m/>
    <m/>
    <m/>
    <m/>
    <m/>
    <m/>
    <m/>
    <m/>
    <n v="50000"/>
    <m/>
    <m/>
    <m/>
    <m/>
    <n v="-50000"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56"/>
    <x v="0"/>
    <n v="50000"/>
    <n v="0"/>
    <n v="0"/>
    <n v="0"/>
    <n v="0"/>
    <n v="0"/>
    <n v="50000"/>
    <n v="0"/>
    <n v="0"/>
    <n v="0"/>
    <n v="0"/>
    <n v="0"/>
    <n v="0"/>
    <n v="-5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56"/>
    <x v="0"/>
    <n v="0"/>
    <m/>
    <m/>
    <m/>
    <m/>
    <m/>
    <m/>
    <m/>
    <m/>
    <m/>
    <m/>
    <m/>
    <m/>
    <m/>
    <n v="40000"/>
    <m/>
    <m/>
    <m/>
    <m/>
    <m/>
    <m/>
    <n v="40000"/>
    <m/>
    <m/>
    <m/>
    <m/>
    <m/>
    <n v="40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m/>
    <m/>
    <m/>
    <n v="50000"/>
    <m/>
    <n v="100000"/>
    <m/>
    <n v="12208.1"/>
    <n v="5860.59"/>
    <n v="5840.31"/>
    <n v="4442.68"/>
    <n v="3092.61"/>
    <n v="3092.61"/>
    <n v="3092.61"/>
    <n v="3092.61"/>
    <n v="3092.61"/>
    <n v="3092.61"/>
    <n v="53092.66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59"/>
    <x v="0"/>
    <n v="60000"/>
    <n v="0"/>
    <n v="0"/>
    <n v="0"/>
    <n v="0"/>
    <n v="0"/>
    <n v="0"/>
    <n v="0"/>
    <n v="0"/>
    <n v="0"/>
    <n v="0"/>
    <n v="0"/>
    <n v="60000"/>
    <m/>
    <n v="-60000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osicionamiento de marca turística en Festival Musical"/>
    <m/>
    <s v="02.01.001.075.730207.000.002"/>
    <s v="Promoción"/>
    <x v="13"/>
    <x v="1"/>
    <m/>
    <m/>
    <m/>
    <m/>
    <m/>
    <m/>
    <m/>
    <m/>
    <m/>
    <m/>
    <m/>
    <m/>
    <m/>
    <m/>
    <m/>
    <m/>
    <m/>
    <m/>
    <n v="300000"/>
    <m/>
    <m/>
    <n v="300000"/>
    <m/>
    <m/>
    <m/>
    <m/>
    <m/>
    <m/>
    <m/>
    <m/>
    <m/>
    <m/>
    <m/>
    <n v="300000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Plurianual"/>
    <s v="NO"/>
    <s v="NO"/>
    <d v="2026-01-01T00:00:00"/>
    <d v="2026-12-31T00:00:00"/>
    <m/>
    <m/>
    <m/>
    <x v="3"/>
    <d v="2026-02-01T00:00:00"/>
    <d v="2026-08-31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60"/>
    <x v="1"/>
    <n v="200000"/>
    <n v="0"/>
    <n v="0"/>
    <n v="200000"/>
    <n v="0"/>
    <n v="0"/>
    <n v="0"/>
    <n v="0"/>
    <n v="0"/>
    <n v="0"/>
    <n v="0"/>
    <n v="0"/>
    <n v="0"/>
    <n v="42000"/>
    <m/>
    <m/>
    <m/>
    <m/>
    <m/>
    <m/>
    <m/>
    <n v="242000"/>
    <m/>
    <n v="72600"/>
    <m/>
    <m/>
    <n v="0"/>
    <n v="0"/>
    <n v="0"/>
    <n v="16940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Plurianual"/>
    <s v="NO"/>
    <s v="NO"/>
    <d v="2026-01-01T00:00:00"/>
    <d v="2026-12-31T00:00:00"/>
    <m/>
    <m/>
    <m/>
    <x v="4"/>
    <d v="2026-06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13"/>
    <x v="1"/>
    <n v="302000"/>
    <n v="0"/>
    <n v="0"/>
    <n v="0"/>
    <n v="0"/>
    <n v="0"/>
    <n v="0"/>
    <n v="151000"/>
    <n v="0"/>
    <n v="0"/>
    <n v="0"/>
    <n v="0"/>
    <n v="151000"/>
    <n v="-67200"/>
    <m/>
    <m/>
    <m/>
    <m/>
    <m/>
    <m/>
    <m/>
    <n v="234800"/>
    <m/>
    <m/>
    <n v="0"/>
    <n v="0"/>
    <n v="0"/>
    <n v="92400"/>
    <n v="0"/>
    <n v="0"/>
    <n v="0"/>
    <n v="0"/>
    <n v="92400"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d v="2026-04-01T00:00:00"/>
    <d v="2026-08-31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61"/>
    <x v="1"/>
    <n v="140000"/>
    <n v="0"/>
    <n v="0"/>
    <n v="0"/>
    <n v="0"/>
    <n v="0"/>
    <n v="0"/>
    <n v="0"/>
    <n v="50000"/>
    <n v="50000"/>
    <n v="40000"/>
    <n v="0"/>
    <n v="0"/>
    <n v="7000"/>
    <m/>
    <n v="-12000"/>
    <m/>
    <m/>
    <m/>
    <m/>
    <m/>
    <n v="135000"/>
    <m/>
    <m/>
    <n v="0"/>
    <n v="51570"/>
    <n v="0"/>
    <n v="22900"/>
    <n v="0"/>
    <n v="60530"/>
    <n v="0"/>
    <m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2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5"/>
    <x v="0"/>
    <n v="100000"/>
    <n v="0"/>
    <n v="0"/>
    <n v="20000"/>
    <n v="0"/>
    <n v="50000"/>
    <n v="30000"/>
    <n v="0"/>
    <n v="0"/>
    <n v="0"/>
    <n v="0"/>
    <n v="0"/>
    <n v="0"/>
    <m/>
    <m/>
    <m/>
    <m/>
    <m/>
    <m/>
    <m/>
    <m/>
    <n v="100000"/>
    <m/>
    <m/>
    <n v="0"/>
    <n v="51471.62"/>
    <n v="0"/>
    <n v="0"/>
    <n v="48528.38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2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5"/>
    <x v="0"/>
    <n v="10000"/>
    <n v="0"/>
    <n v="0"/>
    <n v="5000"/>
    <n v="5000"/>
    <n v="0"/>
    <n v="0"/>
    <n v="0"/>
    <n v="0"/>
    <n v="0"/>
    <n v="0"/>
    <n v="0"/>
    <n v="0"/>
    <m/>
    <m/>
    <m/>
    <m/>
    <m/>
    <m/>
    <m/>
    <m/>
    <n v="10000"/>
    <m/>
    <m/>
    <m/>
    <n v="3640.1"/>
    <n v="0"/>
    <n v="6138"/>
    <n v="221.9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56"/>
    <x v="0"/>
    <n v="67500"/>
    <n v="0"/>
    <n v="0"/>
    <n v="0"/>
    <n v="0"/>
    <n v="0"/>
    <n v="0"/>
    <n v="0"/>
    <n v="0"/>
    <n v="27500"/>
    <n v="0"/>
    <n v="0"/>
    <n v="40000"/>
    <n v="-67500"/>
    <m/>
    <m/>
    <m/>
    <n v="60000"/>
    <m/>
    <m/>
    <m/>
    <n v="60000"/>
    <m/>
    <m/>
    <n v="0"/>
    <n v="0"/>
    <n v="0"/>
    <n v="0"/>
    <n v="0"/>
    <m/>
    <m/>
    <n v="10000"/>
    <n v="10000"/>
    <n v="4000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3.009"/>
    <s v="Promoción"/>
    <x v="56"/>
    <x v="0"/>
    <n v="20000"/>
    <n v="0"/>
    <n v="0"/>
    <n v="0"/>
    <n v="0"/>
    <n v="0"/>
    <n v="0"/>
    <n v="0"/>
    <n v="0"/>
    <n v="0"/>
    <n v="0"/>
    <n v="20000"/>
    <n v="0"/>
    <n v="-20000"/>
    <m/>
    <m/>
    <m/>
    <n v="20000"/>
    <m/>
    <m/>
    <m/>
    <n v="20000"/>
    <m/>
    <m/>
    <n v="0"/>
    <n v="0"/>
    <n v="0"/>
    <n v="0"/>
    <n v="0"/>
    <n v="0"/>
    <n v="0"/>
    <n v="0"/>
    <m/>
    <n v="2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56"/>
    <x v="0"/>
    <n v="50000"/>
    <n v="0"/>
    <n v="0"/>
    <n v="5000"/>
    <n v="5000"/>
    <n v="5000"/>
    <n v="5000"/>
    <n v="5000"/>
    <n v="5000"/>
    <n v="5000"/>
    <n v="5000"/>
    <n v="5000"/>
    <n v="5000"/>
    <n v="-50000"/>
    <m/>
    <m/>
    <m/>
    <n v="20000"/>
    <m/>
    <m/>
    <m/>
    <n v="20000"/>
    <m/>
    <m/>
    <m/>
    <m/>
    <m/>
    <m/>
    <m/>
    <m/>
    <m/>
    <n v="5000"/>
    <n v="5000"/>
    <n v="1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58"/>
    <x v="0"/>
    <n v="0"/>
    <m/>
    <m/>
    <m/>
    <m/>
    <m/>
    <m/>
    <m/>
    <m/>
    <m/>
    <m/>
    <m/>
    <m/>
    <m/>
    <n v="150000"/>
    <m/>
    <m/>
    <m/>
    <m/>
    <m/>
    <m/>
    <n v="150000"/>
    <m/>
    <m/>
    <m/>
    <m/>
    <m/>
    <m/>
    <m/>
    <m/>
    <m/>
    <m/>
    <m/>
    <m/>
    <n v="150000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pauta de campaña promocional del destino Quito"/>
    <m/>
    <s v="01.01.002.062.630207.000.009"/>
    <s v="Promoción"/>
    <x v="56"/>
    <x v="0"/>
    <n v="0"/>
    <m/>
    <m/>
    <m/>
    <m/>
    <m/>
    <m/>
    <m/>
    <m/>
    <m/>
    <m/>
    <m/>
    <m/>
    <m/>
    <n v="88500"/>
    <m/>
    <m/>
    <m/>
    <m/>
    <m/>
    <m/>
    <n v="88500"/>
    <m/>
    <m/>
    <m/>
    <m/>
    <m/>
    <m/>
    <m/>
    <m/>
    <m/>
    <m/>
    <m/>
    <m/>
    <n v="88500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56"/>
    <x v="0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m/>
    <m/>
    <m/>
    <m/>
    <m/>
    <n v="438975"/>
    <m/>
    <m/>
    <n v="0"/>
    <m/>
    <m/>
    <m/>
    <m/>
    <m/>
    <n v="50000"/>
    <n v="50000"/>
    <n v="100000"/>
    <n v="238975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56"/>
    <x v="0"/>
    <n v="125000"/>
    <n v="0"/>
    <m/>
    <m/>
    <m/>
    <n v="20025"/>
    <n v="20025"/>
    <n v="22025"/>
    <n v="28025"/>
    <n v="14875"/>
    <n v="20025"/>
    <m/>
    <m/>
    <m/>
    <m/>
    <m/>
    <m/>
    <m/>
    <m/>
    <m/>
    <m/>
    <n v="125000"/>
    <m/>
    <m/>
    <m/>
    <m/>
    <m/>
    <m/>
    <m/>
    <m/>
    <n v="30000"/>
    <n v="30000"/>
    <n v="30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56"/>
    <x v="0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m/>
    <m/>
    <m/>
    <m/>
    <m/>
    <n v="495000"/>
    <m/>
    <m/>
    <m/>
    <m/>
    <m/>
    <m/>
    <m/>
    <m/>
    <n v="50000"/>
    <n v="50000"/>
    <n v="100000"/>
    <n v="29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56"/>
    <x v="0"/>
    <n v="33500"/>
    <n v="0"/>
    <n v="0"/>
    <n v="0"/>
    <n v="0"/>
    <n v="7500"/>
    <n v="0"/>
    <n v="0"/>
    <n v="7500"/>
    <n v="0"/>
    <n v="0"/>
    <n v="0"/>
    <n v="18500"/>
    <m/>
    <m/>
    <m/>
    <m/>
    <m/>
    <m/>
    <m/>
    <m/>
    <n v="33500"/>
    <m/>
    <m/>
    <n v="0"/>
    <n v="0"/>
    <m/>
    <n v="0"/>
    <n v="0"/>
    <m/>
    <n v="8000"/>
    <n v="8000"/>
    <n v="8000"/>
    <n v="95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2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2"/>
    <x v="0"/>
    <n v="12500"/>
    <n v="2500"/>
    <n v="2500"/>
    <n v="2500"/>
    <n v="2500"/>
    <n v="2500"/>
    <m/>
    <m/>
    <m/>
    <m/>
    <m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55"/>
    <x v="0"/>
    <n v="117500"/>
    <m/>
    <m/>
    <m/>
    <m/>
    <m/>
    <m/>
    <n v="117500"/>
    <m/>
    <m/>
    <m/>
    <m/>
    <m/>
    <n v="-117500"/>
    <m/>
    <m/>
    <m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48"/>
    <x v="0"/>
    <m/>
    <m/>
    <m/>
    <m/>
    <m/>
    <m/>
    <m/>
    <m/>
    <m/>
    <m/>
    <m/>
    <m/>
    <m/>
    <m/>
    <n v="900"/>
    <m/>
    <m/>
    <m/>
    <m/>
    <m/>
    <m/>
    <n v="900"/>
    <m/>
    <m/>
    <m/>
    <n v="808.4"/>
    <m/>
    <m/>
    <m/>
    <m/>
    <m/>
    <m/>
    <m/>
    <n v="91.6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5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n v="100"/>
    <m/>
    <m/>
    <n v="0"/>
    <n v="0"/>
    <n v="41.4"/>
    <n v="0"/>
    <n v="0"/>
    <n v="0"/>
    <n v="0"/>
    <n v="0"/>
    <n v="0"/>
    <n v="58.6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5"/>
    <x v="0"/>
    <n v="85000"/>
    <m/>
    <m/>
    <m/>
    <m/>
    <m/>
    <m/>
    <m/>
    <m/>
    <m/>
    <m/>
    <m/>
    <n v="85000"/>
    <m/>
    <m/>
    <n v="-42500"/>
    <m/>
    <m/>
    <m/>
    <m/>
    <m/>
    <n v="42500"/>
    <m/>
    <m/>
    <m/>
    <m/>
    <m/>
    <m/>
    <m/>
    <m/>
    <n v="20000"/>
    <m/>
    <m/>
    <n v="2250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Auditoría CCMQ"/>
    <m/>
    <s v="01.01.002.002.630602.000.009"/>
    <s v="N/A"/>
    <x v="63"/>
    <x v="0"/>
    <n v="6600"/>
    <s v="-"/>
    <s v="-"/>
    <s v="-"/>
    <s v="-"/>
    <n v="6600"/>
    <s v="-"/>
    <s v="-"/>
    <s v="-"/>
    <s v="-"/>
    <s v="-"/>
    <s v="-"/>
    <s v="-"/>
    <m/>
    <m/>
    <m/>
    <m/>
    <m/>
    <m/>
    <n v="-6600"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x v="0"/>
    <n v="0"/>
    <m/>
    <m/>
    <m/>
    <m/>
    <m/>
    <m/>
    <m/>
    <m/>
    <m/>
    <m/>
    <m/>
    <m/>
    <m/>
    <n v="20"/>
    <m/>
    <m/>
    <m/>
    <m/>
    <m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6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5"/>
    <x v="0"/>
    <n v="51996.95"/>
    <n v="0"/>
    <n v="0"/>
    <n v="0"/>
    <n v="51996.95"/>
    <n v="0"/>
    <n v="0"/>
    <n v="0"/>
    <n v="0"/>
    <n v="0"/>
    <n v="0"/>
    <n v="0"/>
    <n v="0"/>
    <n v="-11348.45"/>
    <m/>
    <m/>
    <m/>
    <m/>
    <m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Arrastre"/>
    <s v="NO"/>
    <s v="NO"/>
    <d v="2026-01-01T00:00:00"/>
    <d v="2026-12-31T00:00:00"/>
    <m/>
    <m/>
    <m/>
    <x v="6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5"/>
    <x v="0"/>
    <n v="0"/>
    <m/>
    <m/>
    <m/>
    <m/>
    <m/>
    <m/>
    <m/>
    <m/>
    <m/>
    <m/>
    <m/>
    <m/>
    <n v="1492.25"/>
    <m/>
    <m/>
    <m/>
    <m/>
    <m/>
    <m/>
    <m/>
    <n v="1492.25"/>
    <m/>
    <m/>
    <m/>
    <m/>
    <n v="1492.25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5"/>
    <x v="0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m/>
    <m/>
    <m/>
    <m/>
    <m/>
    <n v="129695.75"/>
    <m/>
    <m/>
    <n v="0"/>
    <n v="0"/>
    <n v="0"/>
    <n v="0"/>
    <n v="0"/>
    <n v="0"/>
    <n v="50800"/>
    <n v="0"/>
    <n v="0"/>
    <n v="78895.75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x v="0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m/>
    <m/>
    <m/>
    <m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56"/>
    <x v="0"/>
    <n v="9000"/>
    <m/>
    <m/>
    <m/>
    <m/>
    <m/>
    <m/>
    <n v="9000"/>
    <m/>
    <m/>
    <m/>
    <m/>
    <m/>
    <m/>
    <m/>
    <m/>
    <n v="-9000"/>
    <m/>
    <m/>
    <m/>
    <m/>
    <n v="0"/>
    <m/>
    <m/>
    <m/>
    <m/>
    <m/>
    <m/>
    <n v="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8-01T00:00:00"/>
    <d v="2026-12-31T00:00:00"/>
    <m/>
    <m/>
    <m/>
    <m/>
    <m/>
    <m/>
    <m/>
    <m/>
    <m/>
    <m/>
    <m/>
    <m/>
    <m/>
    <s v="Alquiler de instalaciones para las evaluaciones prácticas de la Certificación en Competencias Laborales del sector turístico del Distrito Metropolitano de Quito, que incluya: mobiliario, equipos e insumos."/>
    <m/>
    <s v="01.01.002.079.630207.000.009"/>
    <s v="Capacitación"/>
    <x v="56"/>
    <x v="0"/>
    <m/>
    <m/>
    <m/>
    <m/>
    <m/>
    <m/>
    <m/>
    <m/>
    <m/>
    <m/>
    <m/>
    <m/>
    <m/>
    <m/>
    <m/>
    <m/>
    <n v="9000"/>
    <m/>
    <m/>
    <m/>
    <m/>
    <n v="9000"/>
    <m/>
    <m/>
    <m/>
    <m/>
    <m/>
    <m/>
    <m/>
    <n v="3000"/>
    <m/>
    <n v="3000"/>
    <m/>
    <n v="300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  <n v="0"/>
    <n v="0"/>
    <n v="0"/>
    <n v="0"/>
    <n v="0"/>
    <n v="0"/>
    <n v="0"/>
    <n v="0"/>
    <n v="4000"/>
    <n v="0"/>
    <n v="0"/>
    <n v="0"/>
    <m/>
    <m/>
    <m/>
    <m/>
    <m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Plurianual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6"/>
    <x v="0"/>
    <n v="2500"/>
    <n v="0"/>
    <n v="150"/>
    <n v="150"/>
    <n v="150"/>
    <n v="150"/>
    <n v="150"/>
    <n v="150"/>
    <n v="150"/>
    <n v="150"/>
    <n v="150"/>
    <n v="150"/>
    <n v="1000"/>
    <m/>
    <n v="-2500"/>
    <m/>
    <m/>
    <m/>
    <m/>
    <m/>
    <m/>
    <n v="0"/>
    <m/>
    <n v="0"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7"/>
    <x v="0"/>
    <n v="70000"/>
    <m/>
    <m/>
    <m/>
    <m/>
    <m/>
    <m/>
    <n v="70000"/>
    <m/>
    <m/>
    <m/>
    <m/>
    <m/>
    <n v="-9500"/>
    <n v="-60500"/>
    <m/>
    <m/>
    <m/>
    <m/>
    <m/>
    <m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5"/>
    <x v="0"/>
    <n v="25000"/>
    <n v="0"/>
    <n v="0"/>
    <n v="0"/>
    <n v="0"/>
    <n v="0"/>
    <n v="0"/>
    <n v="0"/>
    <n v="0"/>
    <n v="0"/>
    <n v="0"/>
    <n v="25000"/>
    <n v="0"/>
    <m/>
    <n v="-25000"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68"/>
    <x v="0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m/>
    <m/>
    <n v="403.2"/>
    <m/>
    <m/>
    <n v="4161.6000000000004"/>
    <n v="280.8"/>
    <n v="241.2"/>
    <n v="316.8"/>
    <n v="313.2"/>
    <n v="277.2"/>
    <n v="390.34"/>
    <n v="390.34"/>
    <n v="390.34"/>
    <n v="390.34"/>
    <n v="390.34"/>
    <n v="390.34"/>
    <n v="390.3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69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m/>
    <m/>
    <n v="10666.39"/>
    <m/>
    <m/>
    <n v="214035.32"/>
    <n v="16359.85"/>
    <n v="15632.27"/>
    <n v="16304.95"/>
    <n v="17042.32"/>
    <n v="17304.95"/>
    <n v="18770.14"/>
    <n v="18770.14"/>
    <n v="18770.14"/>
    <n v="18770.14"/>
    <n v="18770.14"/>
    <n v="18770.14"/>
    <n v="18770.14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70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m/>
    <m/>
    <m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71"/>
    <x v="0"/>
    <n v="522"/>
    <n v="43.5"/>
    <n v="43.5"/>
    <n v="43.5"/>
    <n v="43.5"/>
    <n v="43.5"/>
    <n v="43.5"/>
    <n v="43.5"/>
    <n v="43.5"/>
    <n v="43.5"/>
    <n v="43.5"/>
    <n v="43.5"/>
    <n v="43.5"/>
    <m/>
    <m/>
    <m/>
    <m/>
    <m/>
    <n v="56"/>
    <m/>
    <m/>
    <n v="578"/>
    <n v="39"/>
    <n v="33.5"/>
    <n v="44"/>
    <n v="38.5"/>
    <n v="38"/>
    <n v="55"/>
    <n v="55"/>
    <n v="55"/>
    <n v="55"/>
    <n v="55"/>
    <n v="55"/>
    <n v="5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72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m/>
    <m/>
    <m/>
    <m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73"/>
    <x v="0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m/>
    <m/>
    <n v="1166.04"/>
    <m/>
    <m/>
    <n v="49302.54"/>
    <n v="3724.55"/>
    <n v="3439.88"/>
    <n v="3779.69"/>
    <n v="4351.3500000000004"/>
    <n v="4453.45"/>
    <n v="4221.92"/>
    <n v="4221.95"/>
    <n v="4221.95"/>
    <n v="4221.95"/>
    <n v="4221.95"/>
    <n v="4221.95"/>
    <n v="4221.9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74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m/>
    <m/>
    <n v="8639.94"/>
    <m/>
    <m/>
    <n v="152145.84"/>
    <n v="12469.16"/>
    <n v="11073.26"/>
    <n v="12169.66"/>
    <n v="12678.78"/>
    <n v="12862.57"/>
    <n v="12984.63"/>
    <n v="12984.63"/>
    <n v="12984.63"/>
    <n v="12984.63"/>
    <n v="12984.63"/>
    <n v="12984.63"/>
    <n v="12984.63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75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m/>
    <m/>
    <n v="10637.88"/>
    <m/>
    <m/>
    <n v="36233"/>
    <n v="1870.5"/>
    <n v="1164.27"/>
    <n v="1947.7"/>
    <n v="3722.53"/>
    <n v="3441"/>
    <n v="3441"/>
    <n v="3441"/>
    <n v="3441"/>
    <n v="3441"/>
    <n v="3441"/>
    <n v="3441"/>
    <n v="3441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76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m/>
    <m/>
    <n v="1167.94"/>
    <m/>
    <m/>
    <n v="107469.66"/>
    <n v="8564.68"/>
    <n v="7808.76"/>
    <n v="8028.28"/>
    <n v="8601.86"/>
    <n v="8958.26"/>
    <n v="9358.26"/>
    <n v="9358.26"/>
    <n v="9358.26"/>
    <n v="9358.26"/>
    <n v="9358.26"/>
    <n v="9358.26"/>
    <n v="9358.2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77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m/>
    <m/>
    <n v="20290.759999999998"/>
    <m/>
    <m/>
    <n v="82888.73"/>
    <n v="13115.94"/>
    <n v="3583.21"/>
    <n v="8013.49"/>
    <n v="8403.5400000000009"/>
    <n v="11996.97"/>
    <n v="5396.51"/>
    <n v="5396.51"/>
    <n v="5396.51"/>
    <n v="5396.51"/>
    <n v="5396.51"/>
    <n v="5396.51"/>
    <n v="5396.5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78"/>
    <x v="0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m/>
    <m/>
    <m/>
    <m/>
    <m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79"/>
    <x v="0"/>
    <n v="34656"/>
    <n v="2888"/>
    <n v="2888"/>
    <n v="2888"/>
    <n v="2888"/>
    <n v="2888"/>
    <n v="2888"/>
    <n v="2888"/>
    <n v="2888"/>
    <n v="2888"/>
    <n v="2888"/>
    <n v="2888"/>
    <n v="2888"/>
    <m/>
    <m/>
    <m/>
    <m/>
    <m/>
    <n v="4717.07"/>
    <m/>
    <m/>
    <n v="39373.07"/>
    <n v="2888"/>
    <n v="2888"/>
    <n v="2888"/>
    <n v="2888"/>
    <n v="2888"/>
    <n v="3273.07"/>
    <n v="3610"/>
    <n v="3610"/>
    <n v="3610"/>
    <n v="3610"/>
    <n v="3610"/>
    <n v="361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80"/>
    <x v="0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m/>
    <m/>
    <n v="3294.99"/>
    <m/>
    <m/>
    <n v="886974.53"/>
    <n v="64055.03"/>
    <n v="61936.13"/>
    <n v="63073.57"/>
    <n v="68602.73"/>
    <n v="68787.570000000007"/>
    <n v="80074.240000000005"/>
    <n v="80074.210000000006"/>
    <n v="80074.210000000006"/>
    <n v="80074.210000000006"/>
    <n v="80074.210000000006"/>
    <n v="80074.210000000006"/>
    <n v="80074.21000000000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7"/>
    <s v="Nuevo"/>
    <s v="NO"/>
    <s v="NO"/>
    <d v="2026-01-01T00:00:00"/>
    <d v="2026-12-31T00:00:00"/>
    <m/>
    <m/>
    <m/>
    <x v="7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1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m/>
    <m/>
    <m/>
    <m/>
    <m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8"/>
    <d v="2026-03-01T00:00:00"/>
    <d v="2026-12-31T00:00:00"/>
    <m/>
    <m/>
    <m/>
    <m/>
    <m/>
    <m/>
    <m/>
    <m/>
    <m/>
    <m/>
    <m/>
    <m/>
    <m/>
    <s v="Misional"/>
    <m/>
    <s v="N/A"/>
    <s v="N/A"/>
    <x v="82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9"/>
    <d v="2026-03-01T00:00:00"/>
    <d v="2026-12-31T00:00:00"/>
    <m/>
    <m/>
    <m/>
    <m/>
    <m/>
    <m/>
    <m/>
    <m/>
    <m/>
    <m/>
    <m/>
    <m/>
    <m/>
    <s v="Misional"/>
    <m/>
    <s v="N/A"/>
    <s v="N/A"/>
    <x v="82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0"/>
    <d v="2026-03-01T00:00:00"/>
    <d v="2026-12-31T00:00:00"/>
    <m/>
    <m/>
    <m/>
    <m/>
    <m/>
    <m/>
    <m/>
    <m/>
    <m/>
    <m/>
    <m/>
    <m/>
    <m/>
    <s v="Misional"/>
    <m/>
    <s v="N/A"/>
    <s v="N/A"/>
    <x v="82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s v="N/A"/>
    <s v="N/A"/>
    <x v="82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s v="N/A"/>
    <s v="N/A"/>
    <x v="82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3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13"/>
    <x v="1"/>
    <n v="100000"/>
    <n v="0"/>
    <n v="0"/>
    <n v="0"/>
    <n v="0"/>
    <n v="0"/>
    <n v="0"/>
    <n v="12500"/>
    <n v="17500"/>
    <n v="17500"/>
    <n v="17500"/>
    <n v="17500"/>
    <n v="17500"/>
    <n v="-100000"/>
    <m/>
    <m/>
    <m/>
    <m/>
    <m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3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13"/>
    <x v="1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3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13"/>
    <x v="1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m/>
    <m/>
    <m/>
    <m/>
    <m/>
    <n v="0"/>
    <m/>
    <m/>
    <n v="0"/>
    <n v="0"/>
    <n v="0"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3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3"/>
    <x v="1"/>
    <n v="0"/>
    <m/>
    <m/>
    <m/>
    <m/>
    <m/>
    <m/>
    <m/>
    <m/>
    <m/>
    <m/>
    <m/>
    <m/>
    <n v="30800"/>
    <m/>
    <n v="-30800"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d v="2026-11-01T00:00:00"/>
    <d v="2026-11-30T00:00:00"/>
    <m/>
    <m/>
    <m/>
    <m/>
    <m/>
    <m/>
    <m/>
    <m/>
    <m/>
    <m/>
    <m/>
    <m/>
    <m/>
    <s v="Adquisición de infraestructura tecnológica de servidores y almacenamiento"/>
    <m/>
    <s v="02.01.001.074.840107.000.002"/>
    <s v="N/A"/>
    <x v="1"/>
    <x v="1"/>
    <m/>
    <m/>
    <m/>
    <m/>
    <m/>
    <m/>
    <m/>
    <m/>
    <m/>
    <m/>
    <m/>
    <m/>
    <m/>
    <m/>
    <m/>
    <m/>
    <m/>
    <m/>
    <n v="106000"/>
    <m/>
    <m/>
    <n v="106000"/>
    <m/>
    <m/>
    <m/>
    <m/>
    <m/>
    <m/>
    <m/>
    <m/>
    <m/>
    <m/>
    <n v="106000"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s v="N/A"/>
    <s v="N/A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1"/>
    <x v="1"/>
    <n v="0"/>
    <m/>
    <m/>
    <m/>
    <m/>
    <m/>
    <m/>
    <m/>
    <m/>
    <m/>
    <m/>
    <m/>
    <m/>
    <m/>
    <m/>
    <n v="3000"/>
    <m/>
    <m/>
    <n v="-3000"/>
    <m/>
    <m/>
    <n v="0"/>
    <m/>
    <m/>
    <m/>
    <m/>
    <m/>
    <n v="0"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6.009"/>
    <s v="Promoción"/>
    <x v="12"/>
    <x v="0"/>
    <m/>
    <m/>
    <m/>
    <m/>
    <m/>
    <m/>
    <m/>
    <m/>
    <m/>
    <m/>
    <m/>
    <m/>
    <m/>
    <m/>
    <m/>
    <m/>
    <m/>
    <n v="100000"/>
    <m/>
    <m/>
    <m/>
    <n v="100000"/>
    <m/>
    <m/>
    <m/>
    <m/>
    <m/>
    <m/>
    <m/>
    <m/>
    <m/>
    <m/>
    <m/>
    <n v="100000"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1"/>
    <x v="1"/>
    <n v="0"/>
    <m/>
    <m/>
    <m/>
    <m/>
    <m/>
    <m/>
    <m/>
    <m/>
    <m/>
    <m/>
    <m/>
    <m/>
    <m/>
    <m/>
    <n v="106000"/>
    <m/>
    <m/>
    <n v="-106000"/>
    <m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s v="N/A"/>
    <s v="N/A"/>
    <m/>
    <m/>
    <m/>
    <m/>
    <m/>
    <m/>
    <m/>
    <m/>
    <m/>
    <m/>
    <m/>
    <m/>
    <m/>
    <s v="Adquisición de UPS"/>
    <m/>
    <s v="02.01.001.065.840107.000.002 "/>
    <s v="N/A"/>
    <x v="1"/>
    <x v="1"/>
    <n v="0"/>
    <m/>
    <m/>
    <m/>
    <m/>
    <m/>
    <m/>
    <m/>
    <m/>
    <m/>
    <m/>
    <m/>
    <m/>
    <m/>
    <m/>
    <n v="17000"/>
    <m/>
    <m/>
    <n v="-17000"/>
    <m/>
    <m/>
    <n v="0"/>
    <m/>
    <m/>
    <m/>
    <m/>
    <m/>
    <m/>
    <n v="0"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s v="N/A"/>
    <s v="N/A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4"/>
    <x v="1"/>
    <n v="0"/>
    <m/>
    <m/>
    <m/>
    <m/>
    <m/>
    <m/>
    <m/>
    <m/>
    <m/>
    <m/>
    <m/>
    <m/>
    <m/>
    <m/>
    <n v="873356.17"/>
    <n v="-276504.40999999997"/>
    <m/>
    <n v="-596851.76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s v="N/A"/>
    <s v="N/A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x v="1"/>
    <n v="0"/>
    <m/>
    <m/>
    <m/>
    <m/>
    <m/>
    <m/>
    <m/>
    <m/>
    <m/>
    <m/>
    <m/>
    <m/>
    <m/>
    <m/>
    <n v="43667.81"/>
    <m/>
    <m/>
    <n v="-43667.81"/>
    <m/>
    <m/>
    <n v="0"/>
    <m/>
    <m/>
    <m/>
    <m/>
    <m/>
    <m/>
    <m/>
    <m/>
    <m/>
    <m/>
    <m/>
    <m/>
    <m/>
    <n v="0"/>
  </r>
  <r>
    <s v="DPEI / Jefatura de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6"/>
    <x v="1"/>
    <n v="148771"/>
    <n v="0"/>
    <n v="0"/>
    <n v="0"/>
    <n v="0"/>
    <n v="0"/>
    <n v="0"/>
    <n v="0"/>
    <n v="0"/>
    <n v="0"/>
    <n v="148771"/>
    <n v="0"/>
    <n v="0"/>
    <n v="-109524.49"/>
    <m/>
    <n v="-39246.51"/>
    <m/>
    <m/>
    <m/>
    <m/>
    <m/>
    <n v="-7.2759576141834259E-12"/>
    <m/>
    <m/>
    <n v="0"/>
    <n v="0"/>
    <n v="0"/>
    <n v="0"/>
    <n v="0"/>
    <n v="0"/>
    <n v="0"/>
    <m/>
    <n v="0"/>
    <n v="0"/>
    <m/>
    <n v="-7.2759576141834259E-12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d v="2026-09-01T00:00:00"/>
    <d v="2026-09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7.000.002"/>
    <s v="Desarrollo"/>
    <x v="1"/>
    <x v="1"/>
    <m/>
    <m/>
    <m/>
    <m/>
    <m/>
    <m/>
    <m/>
    <m/>
    <m/>
    <m/>
    <m/>
    <m/>
    <m/>
    <m/>
    <m/>
    <m/>
    <m/>
    <m/>
    <m/>
    <n v="80000"/>
    <m/>
    <n v="80000"/>
    <m/>
    <m/>
    <m/>
    <m/>
    <m/>
    <m/>
    <m/>
    <m/>
    <n v="80000"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4.009"/>
    <s v="Promoción"/>
    <x v="12"/>
    <x v="0"/>
    <m/>
    <m/>
    <m/>
    <m/>
    <m/>
    <m/>
    <m/>
    <m/>
    <m/>
    <m/>
    <m/>
    <m/>
    <m/>
    <m/>
    <m/>
    <m/>
    <m/>
    <n v="70000"/>
    <m/>
    <m/>
    <m/>
    <n v="70000"/>
    <m/>
    <m/>
    <m/>
    <m/>
    <m/>
    <m/>
    <m/>
    <m/>
    <m/>
    <n v="35000"/>
    <m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Plurianual"/>
    <s v="NO"/>
    <s v="NO"/>
    <d v="2026-01-01T00:00:00"/>
    <d v="2026-12-31T00:00:00"/>
    <m/>
    <m/>
    <m/>
    <x v="4"/>
    <d v="2026-06-01T00:00:00"/>
    <d v="2026-12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13"/>
    <x v="1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m/>
    <m/>
    <m/>
    <m/>
    <m/>
    <n v="57655"/>
    <m/>
    <m/>
    <n v="0"/>
    <n v="0"/>
    <n v="0"/>
    <n v="29150.15"/>
    <n v="21886.9"/>
    <m/>
    <m/>
    <m/>
    <m/>
    <n v="6617.95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5.009"/>
    <s v="Promoción"/>
    <x v="12"/>
    <x v="0"/>
    <m/>
    <m/>
    <m/>
    <m/>
    <m/>
    <m/>
    <m/>
    <m/>
    <m/>
    <m/>
    <m/>
    <m/>
    <m/>
    <m/>
    <m/>
    <m/>
    <m/>
    <n v="50000"/>
    <m/>
    <m/>
    <m/>
    <n v="50000"/>
    <m/>
    <m/>
    <m/>
    <m/>
    <m/>
    <m/>
    <m/>
    <m/>
    <m/>
    <n v="10000"/>
    <n v="15000"/>
    <n v="2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Plurianual"/>
    <s v="NO"/>
    <s v="NO"/>
    <d v="2026-01-01T00:00:00"/>
    <d v="2026-12-31T00:00:00"/>
    <m/>
    <m/>
    <m/>
    <x v="4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13"/>
    <x v="1"/>
    <n v="18000"/>
    <n v="0"/>
    <n v="0"/>
    <n v="2000"/>
    <n v="2000"/>
    <n v="2000"/>
    <n v="2000"/>
    <n v="2000"/>
    <n v="2000"/>
    <n v="2000"/>
    <n v="2000"/>
    <n v="2000"/>
    <n v="0"/>
    <n v="30977.5"/>
    <m/>
    <m/>
    <m/>
    <m/>
    <m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d v="2026-10-01T00:00:00"/>
    <d v="2026-11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3.000.002"/>
    <s v="Desarrollo"/>
    <x v="11"/>
    <x v="1"/>
    <m/>
    <m/>
    <m/>
    <m/>
    <m/>
    <m/>
    <m/>
    <m/>
    <m/>
    <m/>
    <m/>
    <m/>
    <m/>
    <m/>
    <m/>
    <m/>
    <m/>
    <m/>
    <m/>
    <n v="40000"/>
    <m/>
    <n v="40000"/>
    <m/>
    <m/>
    <m/>
    <m/>
    <m/>
    <m/>
    <m/>
    <m/>
    <m/>
    <n v="20000"/>
    <n v="20000"/>
    <m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87"/>
    <x v="1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m/>
    <m/>
    <n v="8877.8700000000008"/>
    <m/>
    <m/>
    <n v="35374.779999999992"/>
    <n v="8994.91"/>
    <n v="8751"/>
    <n v="8751"/>
    <m/>
    <m/>
    <n v="1005.87"/>
    <n v="1312"/>
    <n v="1312"/>
    <n v="1312"/>
    <n v="1312"/>
    <n v="1312"/>
    <n v="1312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1"/>
    <x v="1"/>
    <n v="0"/>
    <m/>
    <m/>
    <m/>
    <m/>
    <m/>
    <m/>
    <m/>
    <m/>
    <m/>
    <m/>
    <m/>
    <m/>
    <m/>
    <m/>
    <n v="18000"/>
    <m/>
    <m/>
    <n v="-18000"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61"/>
    <x v="1"/>
    <n v="0"/>
    <m/>
    <m/>
    <m/>
    <m/>
    <m/>
    <m/>
    <m/>
    <m/>
    <m/>
    <m/>
    <m/>
    <m/>
    <m/>
    <m/>
    <n v="200000"/>
    <m/>
    <m/>
    <n v="-200000"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61"/>
    <x v="1"/>
    <n v="0"/>
    <m/>
    <m/>
    <m/>
    <m/>
    <m/>
    <m/>
    <m/>
    <m/>
    <m/>
    <m/>
    <m/>
    <m/>
    <m/>
    <m/>
    <n v="100000"/>
    <m/>
    <m/>
    <n v="-100000"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61"/>
    <x v="1"/>
    <n v="0"/>
    <m/>
    <m/>
    <m/>
    <m/>
    <m/>
    <m/>
    <m/>
    <m/>
    <m/>
    <m/>
    <m/>
    <m/>
    <m/>
    <m/>
    <n v="216395.59"/>
    <n v="-216395.59"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d v="2026-10-01T00:00:00"/>
    <d v="2026-10-31T00:00:00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2.000.002"/>
    <s v="N/A"/>
    <x v="86"/>
    <x v="1"/>
    <m/>
    <m/>
    <m/>
    <m/>
    <m/>
    <m/>
    <m/>
    <m/>
    <m/>
    <m/>
    <m/>
    <m/>
    <m/>
    <m/>
    <m/>
    <m/>
    <m/>
    <m/>
    <n v="32200"/>
    <m/>
    <m/>
    <n v="32200"/>
    <m/>
    <m/>
    <m/>
    <m/>
    <m/>
    <m/>
    <m/>
    <m/>
    <m/>
    <n v="3220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d v="2026-10-01T00:00:00"/>
    <d v="2026-10-31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730404.000.002"/>
    <s v="Desarrollo"/>
    <x v="88"/>
    <x v="1"/>
    <m/>
    <m/>
    <m/>
    <m/>
    <m/>
    <m/>
    <m/>
    <m/>
    <m/>
    <m/>
    <m/>
    <m/>
    <m/>
    <m/>
    <m/>
    <m/>
    <m/>
    <m/>
    <m/>
    <n v="26000"/>
    <m/>
    <n v="26000"/>
    <m/>
    <m/>
    <m/>
    <m/>
    <m/>
    <m/>
    <m/>
    <m/>
    <m/>
    <n v="26000"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d v="2026-10-01T00:00:00"/>
    <d v="2026-10-31T00:00:00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1.000.002"/>
    <s v="N/A"/>
    <x v="89"/>
    <x v="1"/>
    <m/>
    <m/>
    <m/>
    <m/>
    <m/>
    <m/>
    <m/>
    <m/>
    <m/>
    <m/>
    <m/>
    <m/>
    <m/>
    <m/>
    <m/>
    <m/>
    <m/>
    <m/>
    <n v="17800"/>
    <m/>
    <m/>
    <n v="17800"/>
    <m/>
    <m/>
    <m/>
    <m/>
    <m/>
    <m/>
    <m/>
    <m/>
    <m/>
    <n v="1780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 la Implementación del Centro de Interpretación Turística Tulipe mediante adecuación de infraestructura existente y optimización de espacios para uso turístico"/>
    <m/>
    <s v="02.01.001.068.730425.000.002"/>
    <s v="Desarrollo"/>
    <x v="61"/>
    <x v="1"/>
    <m/>
    <m/>
    <m/>
    <m/>
    <m/>
    <m/>
    <m/>
    <m/>
    <m/>
    <m/>
    <m/>
    <m/>
    <m/>
    <m/>
    <m/>
    <m/>
    <n v="146000"/>
    <m/>
    <m/>
    <n v="-146000"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 estudios técnicos para la implementación del Centro de Interpretación Turística en Tulipe"/>
    <m/>
    <s v="02.01.001.069.730605.000.002"/>
    <s v="Desarrollo"/>
    <x v="60"/>
    <x v="1"/>
    <m/>
    <m/>
    <m/>
    <m/>
    <m/>
    <m/>
    <m/>
    <m/>
    <m/>
    <m/>
    <m/>
    <m/>
    <m/>
    <m/>
    <m/>
    <m/>
    <n v="10000"/>
    <m/>
    <n v="-10000"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 estudios técnicos para la implementación de Aula Gastronómica en predio administrado por Quito Turismo"/>
    <m/>
    <s v="02.01.001.070.730605.000.002"/>
    <s v="Desarrollo"/>
    <x v="60"/>
    <x v="1"/>
    <m/>
    <m/>
    <m/>
    <m/>
    <m/>
    <m/>
    <m/>
    <m/>
    <m/>
    <m/>
    <m/>
    <m/>
    <m/>
    <m/>
    <m/>
    <m/>
    <n v="10000"/>
    <m/>
    <n v="-10000"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61"/>
    <x v="1"/>
    <n v="0"/>
    <m/>
    <m/>
    <m/>
    <m/>
    <m/>
    <m/>
    <m/>
    <m/>
    <m/>
    <m/>
    <m/>
    <m/>
    <m/>
    <m/>
    <n v="50000"/>
    <m/>
    <m/>
    <n v="-50000"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61"/>
    <x v="1"/>
    <n v="0"/>
    <m/>
    <m/>
    <m/>
    <m/>
    <m/>
    <m/>
    <m/>
    <m/>
    <m/>
    <m/>
    <m/>
    <m/>
    <m/>
    <m/>
    <n v="150000"/>
    <m/>
    <m/>
    <n v="-150000"/>
    <m/>
    <m/>
    <n v="0"/>
    <m/>
    <m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Mantenimiento de edificios de la EPMGDT (fase 2)"/>
    <m/>
    <s v="02.01.001.060.730402.000.002"/>
    <s v="N/A"/>
    <x v="84"/>
    <x v="1"/>
    <n v="0"/>
    <m/>
    <m/>
    <m/>
    <m/>
    <m/>
    <m/>
    <m/>
    <m/>
    <m/>
    <m/>
    <m/>
    <m/>
    <m/>
    <m/>
    <n v="260000"/>
    <n v="-15500"/>
    <m/>
    <n v="-244500"/>
    <m/>
    <m/>
    <n v="0"/>
    <m/>
    <m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d v="2026-07-01T00:00:00"/>
    <d v="2026-12-31T00:00:00"/>
    <m/>
    <m/>
    <m/>
    <m/>
    <m/>
    <m/>
    <m/>
    <m/>
    <m/>
    <m/>
    <m/>
    <m/>
    <m/>
    <s v="Contratación de servicios profesionales especializados de Ingeniería Civil para elaborar insumos técnicos de costos, presupuestos y planificación"/>
    <m/>
    <s v="02.01.001.071.730606.000.002"/>
    <s v="Desarrollo"/>
    <x v="83"/>
    <x v="1"/>
    <m/>
    <m/>
    <m/>
    <m/>
    <m/>
    <m/>
    <m/>
    <m/>
    <m/>
    <m/>
    <m/>
    <m/>
    <m/>
    <m/>
    <m/>
    <m/>
    <n v="15500"/>
    <m/>
    <m/>
    <m/>
    <m/>
    <n v="15500"/>
    <m/>
    <m/>
    <m/>
    <m/>
    <m/>
    <m/>
    <n v="2000"/>
    <n v="2000"/>
    <n v="2000"/>
    <n v="2000"/>
    <n v="2000"/>
    <n v="550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0"/>
    <x v="1"/>
    <n v="120000"/>
    <n v="0"/>
    <n v="0"/>
    <n v="0"/>
    <n v="0"/>
    <n v="0"/>
    <n v="0"/>
    <n v="0"/>
    <n v="0"/>
    <n v="0"/>
    <n v="0"/>
    <n v="120000"/>
    <n v="0"/>
    <n v="-12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3"/>
    <s v="Nuevo"/>
    <s v="NO"/>
    <s v="NO"/>
    <d v="2026-10-01T00:00:00"/>
    <d v="2026-11-30T00:00:00"/>
    <m/>
    <m/>
    <m/>
    <x v="14"/>
    <d v="2026-06-01T00:00:00"/>
    <d v="2026-09-30T00:00:00"/>
    <m/>
    <m/>
    <m/>
    <m/>
    <m/>
    <m/>
    <m/>
    <m/>
    <m/>
    <m/>
    <m/>
    <m/>
    <m/>
    <s v="Contratación de Servicios Profesionales de un Profesional para el diseño del modelo de gestión de la plaza de espectáculos"/>
    <m/>
    <s v="02.01.001.073.730606.000.002"/>
    <s v="N/A"/>
    <x v="83"/>
    <x v="1"/>
    <m/>
    <m/>
    <m/>
    <m/>
    <m/>
    <m/>
    <m/>
    <m/>
    <m/>
    <m/>
    <m/>
    <m/>
    <m/>
    <m/>
    <m/>
    <m/>
    <m/>
    <m/>
    <n v="10000"/>
    <m/>
    <m/>
    <n v="10000"/>
    <m/>
    <m/>
    <m/>
    <m/>
    <m/>
    <n v="2500"/>
    <n v="2500"/>
    <n v="2500"/>
    <n v="2500"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6"/>
    <s v="Nuevo"/>
    <s v="NO"/>
    <s v="NO"/>
    <d v="2026-06-01T00:00:00"/>
    <d v="2026-10-31T00:00:00"/>
    <m/>
    <m/>
    <m/>
    <x v="5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61"/>
    <x v="1"/>
    <n v="75000"/>
    <n v="0"/>
    <n v="0"/>
    <n v="0"/>
    <n v="0"/>
    <n v="0"/>
    <n v="30000"/>
    <n v="30000"/>
    <n v="15000"/>
    <n v="0"/>
    <n v="0"/>
    <n v="0"/>
    <n v="0"/>
    <n v="-75000"/>
    <m/>
    <m/>
    <m/>
    <m/>
    <m/>
    <m/>
    <m/>
    <n v="0"/>
    <m/>
    <m/>
    <n v="0"/>
    <n v="0"/>
    <n v="0"/>
    <m/>
    <m/>
    <m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13"/>
    <x v="1"/>
    <n v="70000"/>
    <n v="0"/>
    <n v="0"/>
    <n v="0"/>
    <n v="0"/>
    <n v="0"/>
    <n v="35000"/>
    <n v="0"/>
    <n v="0"/>
    <n v="0"/>
    <n v="0"/>
    <n v="0"/>
    <n v="35000"/>
    <n v="30000"/>
    <m/>
    <n v="-100000"/>
    <m/>
    <m/>
    <m/>
    <m/>
    <m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1.002"/>
    <s v="Promoción"/>
    <x v="12"/>
    <x v="1"/>
    <n v="310000"/>
    <n v="0"/>
    <n v="0"/>
    <n v="0"/>
    <n v="65000"/>
    <n v="0"/>
    <n v="0"/>
    <n v="0"/>
    <n v="0"/>
    <n v="0"/>
    <n v="0"/>
    <n v="20000"/>
    <n v="225000"/>
    <n v="227792"/>
    <m/>
    <n v="-537792"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s de carga y descarga de mercancías no trasladadas en contenedores"/>
    <m/>
    <s v="02.01.001.076.730202.000.002"/>
    <s v="Promoción"/>
    <x v="91"/>
    <x v="1"/>
    <m/>
    <m/>
    <m/>
    <m/>
    <m/>
    <m/>
    <m/>
    <m/>
    <m/>
    <m/>
    <m/>
    <m/>
    <m/>
    <m/>
    <m/>
    <m/>
    <m/>
    <m/>
    <n v="10000"/>
    <m/>
    <m/>
    <n v="10000"/>
    <m/>
    <m/>
    <m/>
    <m/>
    <m/>
    <m/>
    <m/>
    <m/>
    <m/>
    <m/>
    <m/>
    <n v="10000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92"/>
    <x v="1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m/>
    <m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93"/>
    <x v="1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m/>
    <m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3.002"/>
    <s v="Promoción"/>
    <x v="12"/>
    <x v="1"/>
    <n v="0"/>
    <m/>
    <m/>
    <m/>
    <m/>
    <m/>
    <m/>
    <m/>
    <m/>
    <m/>
    <m/>
    <m/>
    <m/>
    <n v="70000"/>
    <m/>
    <n v="-70000"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2.002"/>
    <s v="Promoción"/>
    <x v="12"/>
    <x v="1"/>
    <n v="35000"/>
    <n v="0"/>
    <n v="0"/>
    <n v="0"/>
    <n v="0"/>
    <n v="0"/>
    <n v="15000"/>
    <n v="0"/>
    <n v="10000"/>
    <n v="0"/>
    <n v="10000"/>
    <n v="0"/>
    <n v="0"/>
    <n v="14999.99"/>
    <m/>
    <n v="-49999.99"/>
    <m/>
    <m/>
    <m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94"/>
    <x v="1"/>
    <n v="5280"/>
    <n v="440"/>
    <n v="440"/>
    <n v="440"/>
    <n v="440"/>
    <n v="440"/>
    <n v="440"/>
    <n v="440"/>
    <n v="440"/>
    <n v="440"/>
    <n v="440"/>
    <n v="440"/>
    <n v="440"/>
    <m/>
    <m/>
    <m/>
    <m/>
    <m/>
    <n v="-523.51"/>
    <m/>
    <m/>
    <n v="4756.49"/>
    <n v="412.41"/>
    <n v="441.87"/>
    <n v="441.87"/>
    <m/>
    <m/>
    <n v="440"/>
    <n v="440"/>
    <n v="440"/>
    <n v="440"/>
    <n v="440"/>
    <n v="440"/>
    <n v="820.34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13"/>
    <x v="1"/>
    <n v="0"/>
    <m/>
    <m/>
    <m/>
    <m/>
    <m/>
    <m/>
    <m/>
    <m/>
    <m/>
    <m/>
    <m/>
    <m/>
    <n v="120000"/>
    <m/>
    <n v="-120000"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13"/>
    <x v="1"/>
    <n v="0"/>
    <m/>
    <m/>
    <m/>
    <m/>
    <m/>
    <m/>
    <m/>
    <m/>
    <m/>
    <m/>
    <m/>
    <m/>
    <n v="10000"/>
    <m/>
    <n v="-10000"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12"/>
    <x v="1"/>
    <n v="40000"/>
    <n v="0"/>
    <n v="0"/>
    <n v="0"/>
    <n v="0"/>
    <n v="0"/>
    <n v="40000"/>
    <n v="0"/>
    <n v="0"/>
    <n v="0"/>
    <n v="0"/>
    <n v="0"/>
    <n v="0"/>
    <m/>
    <m/>
    <n v="-40000"/>
    <m/>
    <m/>
    <m/>
    <m/>
    <m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12"/>
    <x v="1"/>
    <n v="150000"/>
    <n v="0"/>
    <n v="0"/>
    <n v="0"/>
    <n v="0"/>
    <n v="0"/>
    <n v="150000"/>
    <n v="0"/>
    <n v="0"/>
    <n v="0"/>
    <n v="0"/>
    <n v="0"/>
    <n v="0"/>
    <m/>
    <m/>
    <n v="-150000"/>
    <m/>
    <m/>
    <m/>
    <m/>
    <m/>
    <n v="0"/>
    <m/>
    <m/>
    <n v="0"/>
    <n v="0"/>
    <n v="0"/>
    <m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95"/>
    <x v="1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m/>
    <m/>
    <n v="-9534.0300000000007"/>
    <m/>
    <m/>
    <n v="4373.1200000000008"/>
    <n v="1047.9100000000001"/>
    <n v="1023.51"/>
    <n v="1089.1099999999999"/>
    <n v="0"/>
    <n v="0"/>
    <n v="173.23"/>
    <n v="173.23"/>
    <n v="173.23"/>
    <n v="173.23"/>
    <n v="173.23"/>
    <n v="173.23"/>
    <n v="173.21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02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96"/>
    <x v="1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m/>
    <m/>
    <n v="-1512.78"/>
    <m/>
    <m/>
    <n v="2284.2399999999998"/>
    <m/>
    <n v="34.31"/>
    <n v="597.58000000000004"/>
    <m/>
    <m/>
    <m/>
    <m/>
    <m/>
    <n v="379.7"/>
    <n v="379.7"/>
    <n v="379.7"/>
    <n v="513.25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Nuevo"/>
    <s v="NO"/>
    <s v="NO"/>
    <d v="2026-01-01T00:00:00"/>
    <d v="2026-12-31T00:00:00"/>
    <m/>
    <m/>
    <m/>
    <x v="15"/>
    <d v="2026-12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97"/>
    <x v="1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m/>
    <m/>
    <n v="-4119"/>
    <m/>
    <m/>
    <n v="656"/>
    <m/>
    <m/>
    <m/>
    <m/>
    <m/>
    <m/>
    <m/>
    <m/>
    <m/>
    <m/>
    <m/>
    <n v="656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  <m/>
    <m/>
    <m/>
    <m/>
    <m/>
    <m/>
    <m/>
    <m/>
    <n v="300"/>
    <m/>
    <m/>
    <n v="0"/>
    <n v="0"/>
    <n v="300"/>
    <n v="0"/>
    <n v="0"/>
    <n v="0"/>
    <n v="0"/>
    <n v="0"/>
    <n v="0"/>
    <n v="0"/>
    <m/>
    <n v="0"/>
    <n v="300"/>
    <n v="-102"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n v="198"/>
    <n v="198"/>
    <n v="198"/>
    <n v="0"/>
    <n v="0"/>
    <n v="198"/>
    <n v="1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x v="0"/>
    <n v="10000"/>
    <n v="0"/>
    <n v="0"/>
    <n v="0"/>
    <n v="0"/>
    <n v="0"/>
    <n v="0"/>
    <n v="0"/>
    <n v="0"/>
    <n v="0"/>
    <n v="10000"/>
    <n v="0"/>
    <n v="0"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x v="0"/>
    <n v="0"/>
    <m/>
    <m/>
    <m/>
    <m/>
    <m/>
    <m/>
    <m/>
    <m/>
    <m/>
    <m/>
    <m/>
    <m/>
    <n v="3000"/>
    <n v="-3000"/>
    <m/>
    <m/>
    <m/>
    <m/>
    <m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x v="0"/>
    <n v="15000"/>
    <n v="0"/>
    <n v="0"/>
    <n v="0"/>
    <n v="0"/>
    <n v="0"/>
    <n v="0"/>
    <n v="0"/>
    <n v="15000"/>
    <n v="0"/>
    <n v="0"/>
    <n v="0"/>
    <n v="0"/>
    <n v="-1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Estad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provisión de datos en línea para la gestión de servicios de inteligencia turística para el DMQ"/>
    <m/>
    <s v="01.01.001.205.530702.000.009"/>
    <s v="N/A"/>
    <n v="530702"/>
    <x v="0"/>
    <m/>
    <m/>
    <m/>
    <m/>
    <m/>
    <m/>
    <m/>
    <m/>
    <m/>
    <m/>
    <m/>
    <m/>
    <m/>
    <m/>
    <m/>
    <m/>
    <m/>
    <n v="136240"/>
    <m/>
    <m/>
    <m/>
    <n v="136240"/>
    <m/>
    <m/>
    <m/>
    <m/>
    <m/>
    <m/>
    <m/>
    <m/>
    <m/>
    <m/>
    <n v="136240"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  <n v="-35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uniformes"/>
    <m/>
    <s v="01.01.001.206.530802.000.009"/>
    <s v="N/A"/>
    <n v="530802"/>
    <x v="0"/>
    <m/>
    <m/>
    <m/>
    <m/>
    <m/>
    <m/>
    <m/>
    <m/>
    <m/>
    <m/>
    <m/>
    <m/>
    <m/>
    <m/>
    <m/>
    <m/>
    <m/>
    <m/>
    <n v="639.09"/>
    <m/>
    <m/>
    <n v="639.09"/>
    <m/>
    <m/>
    <m/>
    <m/>
    <m/>
    <m/>
    <m/>
    <n v="639.09"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  <n v="-35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x v="0"/>
    <n v="1500"/>
    <n v="0"/>
    <n v="0"/>
    <n v="0"/>
    <n v="0"/>
    <n v="0"/>
    <n v="1500"/>
    <n v="0"/>
    <n v="0"/>
    <n v="0"/>
    <n v="0"/>
    <n v="0"/>
    <n v="0"/>
    <n v="-15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1.000.009"/>
    <s v="N/A"/>
    <n v="530301"/>
    <x v="0"/>
    <m/>
    <m/>
    <m/>
    <m/>
    <m/>
    <m/>
    <m/>
    <m/>
    <m/>
    <m/>
    <m/>
    <m/>
    <m/>
    <m/>
    <m/>
    <m/>
    <m/>
    <m/>
    <n v="3000"/>
    <m/>
    <m/>
    <n v="3000"/>
    <m/>
    <m/>
    <m/>
    <m/>
    <m/>
    <m/>
    <m/>
    <m/>
    <m/>
    <m/>
    <m/>
    <n v="3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37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2.000.009"/>
    <s v="N/A"/>
    <n v="530302"/>
    <x v="0"/>
    <m/>
    <m/>
    <m/>
    <m/>
    <m/>
    <m/>
    <m/>
    <m/>
    <m/>
    <m/>
    <m/>
    <m/>
    <m/>
    <m/>
    <m/>
    <m/>
    <m/>
    <m/>
    <n v="7000"/>
    <m/>
    <m/>
    <n v="7000"/>
    <m/>
    <m/>
    <m/>
    <m/>
    <m/>
    <m/>
    <m/>
    <m/>
    <m/>
    <m/>
    <m/>
    <n v="7000"/>
    <m/>
    <n v="0"/>
    <n v="0"/>
    <n v="3422"/>
    <m/>
    <m/>
    <m/>
    <m/>
    <m/>
    <m/>
    <m/>
    <m/>
    <m/>
    <m/>
    <m/>
    <m/>
    <n v="0"/>
    <m/>
    <m/>
    <n v="0"/>
    <m/>
    <m/>
    <m/>
    <m/>
    <m/>
    <m/>
    <n v="0"/>
    <n v="3422"/>
    <n v="0"/>
    <n v="3422"/>
    <n v="3422"/>
    <n v="3422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  <n v="-3383.88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  <n v="-3383.87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x v="0"/>
    <n v="0"/>
    <m/>
    <m/>
    <m/>
    <m/>
    <m/>
    <m/>
    <m/>
    <m/>
    <m/>
    <m/>
    <m/>
    <m/>
    <n v="34000"/>
    <m/>
    <m/>
    <m/>
    <m/>
    <n v="-34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x v="0"/>
    <n v="0"/>
    <m/>
    <m/>
    <m/>
    <m/>
    <m/>
    <m/>
    <m/>
    <m/>
    <m/>
    <m/>
    <m/>
    <m/>
    <n v="8000"/>
    <m/>
    <m/>
    <m/>
    <m/>
    <n v="-8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Adquisición de infraestructura tecnológica de servidores y almacenamiento"/>
    <m/>
    <s v="01.01.001.207.530402.000.009"/>
    <s v="N/A"/>
    <n v="530402"/>
    <x v="0"/>
    <m/>
    <m/>
    <m/>
    <m/>
    <m/>
    <m/>
    <m/>
    <m/>
    <m/>
    <m/>
    <m/>
    <m/>
    <m/>
    <m/>
    <m/>
    <m/>
    <m/>
    <m/>
    <n v="8000"/>
    <m/>
    <m/>
    <n v="8000"/>
    <m/>
    <m/>
    <m/>
    <m/>
    <m/>
    <m/>
    <m/>
    <m/>
    <m/>
    <m/>
    <n v="8000"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x v="0"/>
    <n v="0"/>
    <m/>
    <m/>
    <m/>
    <m/>
    <m/>
    <m/>
    <m/>
    <m/>
    <m/>
    <m/>
    <m/>
    <m/>
    <n v="106000"/>
    <n v="-106000"/>
    <m/>
    <m/>
    <m/>
    <m/>
    <m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x v="0"/>
    <n v="0"/>
    <m/>
    <m/>
    <m/>
    <m/>
    <m/>
    <m/>
    <m/>
    <m/>
    <m/>
    <m/>
    <m/>
    <m/>
    <m/>
    <m/>
    <n v="10000"/>
    <m/>
    <m/>
    <m/>
    <m/>
    <m/>
    <n v="10000"/>
    <m/>
    <m/>
    <m/>
    <m/>
    <m/>
    <m/>
    <m/>
    <n v="100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0.002"/>
    <s v="Promoción"/>
    <n v="730249"/>
    <x v="1"/>
    <n v="340000"/>
    <n v="0"/>
    <n v="0"/>
    <n v="50000"/>
    <n v="0"/>
    <n v="0"/>
    <n v="0"/>
    <n v="0"/>
    <n v="0"/>
    <n v="230000"/>
    <n v="0"/>
    <n v="0"/>
    <n v="60000"/>
    <n v="360000"/>
    <m/>
    <n v="-700000"/>
    <m/>
    <m/>
    <n v="1079831.02"/>
    <m/>
    <m/>
    <n v="1079831.02"/>
    <m/>
    <m/>
    <m/>
    <m/>
    <m/>
    <m/>
    <m/>
    <m/>
    <m/>
    <m/>
    <m/>
    <n v="1079831.0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m/>
    <s v="Contratación del Servicio de proyecciones lumínicas, iluminación arquitectónica y entornos temáticos promocionales de alto impacto con componentes técnicos y logísticos para el posicionamiento y visibilización de Quito como destino turístico."/>
    <m/>
    <s v="02.01.001.067.730207.000.002"/>
    <s v="Promoción"/>
    <n v="730207"/>
    <x v="1"/>
    <m/>
    <m/>
    <m/>
    <m/>
    <m/>
    <m/>
    <m/>
    <m/>
    <m/>
    <m/>
    <m/>
    <m/>
    <m/>
    <m/>
    <m/>
    <m/>
    <n v="326900"/>
    <m/>
    <m/>
    <m/>
    <m/>
    <n v="326900"/>
    <m/>
    <m/>
    <m/>
    <m/>
    <m/>
    <m/>
    <m/>
    <m/>
    <n v="300000"/>
    <m/>
    <m/>
    <n v="269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3269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x v="0"/>
    <n v="10000"/>
    <n v="0"/>
    <n v="0"/>
    <n v="0"/>
    <n v="0"/>
    <n v="0"/>
    <n v="0"/>
    <n v="0"/>
    <n v="0"/>
    <n v="10000"/>
    <n v="0"/>
    <n v="0"/>
    <n v="0"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7.009"/>
    <s v="Promoción"/>
    <n v="730249"/>
    <x v="0"/>
    <m/>
    <m/>
    <m/>
    <m/>
    <m/>
    <m/>
    <m/>
    <m/>
    <m/>
    <m/>
    <m/>
    <m/>
    <m/>
    <m/>
    <m/>
    <m/>
    <m/>
    <n v="303760"/>
    <m/>
    <m/>
    <m/>
    <n v="303760"/>
    <m/>
    <m/>
    <m/>
    <m/>
    <m/>
    <m/>
    <m/>
    <m/>
    <m/>
    <m/>
    <m/>
    <n v="30376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x v="0"/>
    <n v="5000"/>
    <n v="0"/>
    <n v="0"/>
    <n v="0"/>
    <n v="0"/>
    <n v="0"/>
    <n v="0"/>
    <n v="0"/>
    <n v="5000"/>
    <n v="0"/>
    <n v="0"/>
    <n v="0"/>
    <n v="0"/>
    <n v="-2260"/>
    <m/>
    <m/>
    <m/>
    <m/>
    <m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x v="0"/>
    <n v="5000"/>
    <n v="0"/>
    <n v="0"/>
    <n v="0"/>
    <n v="0"/>
    <n v="0"/>
    <n v="0"/>
    <n v="0"/>
    <n v="5000"/>
    <n v="0"/>
    <n v="0"/>
    <n v="0"/>
    <n v="0"/>
    <n v="-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x v="0"/>
    <n v="0"/>
    <m/>
    <m/>
    <m/>
    <m/>
    <m/>
    <m/>
    <m/>
    <m/>
    <m/>
    <m/>
    <m/>
    <m/>
    <n v="7060"/>
    <m/>
    <m/>
    <m/>
    <m/>
    <m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0"/>
    <n v="7060"/>
    <n v="7060"/>
    <n v="7060"/>
    <n v="7060"/>
    <n v="0"/>
    <n v="0"/>
    <n v="0"/>
    <n v="0"/>
    <n v="0"/>
    <n v="0"/>
    <n v="0"/>
    <n v="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x v="0"/>
    <n v="3000"/>
    <n v="0"/>
    <n v="0"/>
    <n v="0"/>
    <n v="3000"/>
    <n v="0"/>
    <n v="0"/>
    <n v="0"/>
    <n v="0"/>
    <n v="0"/>
    <n v="0"/>
    <n v="0"/>
    <n v="0"/>
    <n v="-3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x v="0"/>
    <n v="500"/>
    <n v="0"/>
    <n v="0"/>
    <n v="0"/>
    <n v="0"/>
    <n v="0"/>
    <n v="0"/>
    <n v="0"/>
    <n v="0"/>
    <n v="0"/>
    <n v="500"/>
    <n v="0"/>
    <n v="0"/>
    <n v="-5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x v="0"/>
    <n v="676"/>
    <n v="0"/>
    <n v="0"/>
    <n v="0"/>
    <n v="0"/>
    <n v="0"/>
    <n v="0"/>
    <n v="0"/>
    <n v="0"/>
    <n v="0"/>
    <n v="676"/>
    <n v="0"/>
    <n v="0"/>
    <m/>
    <m/>
    <m/>
    <m/>
    <m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x v="0"/>
    <n v="20000"/>
    <n v="0"/>
    <n v="0"/>
    <n v="0"/>
    <n v="0"/>
    <n v="0"/>
    <n v="0"/>
    <n v="0"/>
    <n v="20000"/>
    <n v="0"/>
    <n v="0"/>
    <n v="0"/>
    <n v="0"/>
    <n v="-1188"/>
    <m/>
    <m/>
    <m/>
    <m/>
    <m/>
    <m/>
    <m/>
    <n v="18812"/>
    <m/>
    <m/>
    <n v="0"/>
    <n v="0"/>
    <m/>
    <n v="0"/>
    <n v="18812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12"/>
    <n v="0"/>
    <n v="0"/>
    <n v="0"/>
    <n v="2536.15"/>
    <n v="16275.85"/>
    <n v="0"/>
    <n v="16275.8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x v="0"/>
    <n v="0"/>
    <m/>
    <m/>
    <m/>
    <m/>
    <m/>
    <m/>
    <m/>
    <m/>
    <m/>
    <m/>
    <m/>
    <m/>
    <n v="1188"/>
    <m/>
    <m/>
    <m/>
    <m/>
    <m/>
    <m/>
    <m/>
    <n v="1188"/>
    <m/>
    <m/>
    <n v="1188"/>
    <m/>
    <m/>
    <m/>
    <m/>
    <m/>
    <m/>
    <m/>
    <m/>
    <m/>
    <m/>
    <n v="0"/>
    <n v="1188"/>
    <n v="0"/>
    <n v="0"/>
    <n v="0"/>
    <n v="0"/>
    <n v="0"/>
    <n v="0"/>
    <n v="0"/>
    <n v="0"/>
    <n v="0"/>
    <n v="0"/>
    <n v="0"/>
    <n v="0"/>
    <n v="0"/>
    <n v="0"/>
    <n v="0"/>
    <n v="1188"/>
    <n v="1188"/>
    <n v="0"/>
    <n v="0"/>
    <n v="0"/>
    <n v="0"/>
    <n v="0"/>
    <n v="0"/>
    <n v="0"/>
    <n v="1188"/>
    <n v="0"/>
    <n v="0"/>
    <n v="1188"/>
    <n v="118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x v="0"/>
    <n v="7000"/>
    <n v="0"/>
    <n v="0"/>
    <n v="7000"/>
    <n v="0"/>
    <n v="0"/>
    <n v="0"/>
    <n v="0"/>
    <n v="0"/>
    <n v="0"/>
    <n v="0"/>
    <n v="0"/>
    <n v="0"/>
    <n v="-7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x v="0"/>
    <n v="40000"/>
    <n v="0"/>
    <n v="0"/>
    <n v="40000"/>
    <n v="0"/>
    <n v="0"/>
    <n v="0"/>
    <n v="0"/>
    <n v="0"/>
    <n v="0"/>
    <n v="0"/>
    <n v="0"/>
    <n v="0"/>
    <n v="-4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x v="0"/>
    <n v="60000"/>
    <n v="0"/>
    <n v="0"/>
    <n v="60000"/>
    <n v="0"/>
    <n v="0"/>
    <n v="0"/>
    <n v="0"/>
    <n v="0"/>
    <n v="0"/>
    <n v="0"/>
    <n v="0"/>
    <n v="0"/>
    <n v="-6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x v="0"/>
    <n v="30000"/>
    <n v="0"/>
    <n v="0"/>
    <n v="0"/>
    <n v="0"/>
    <n v="0"/>
    <n v="0"/>
    <n v="0"/>
    <n v="0"/>
    <n v="0"/>
    <n v="30000"/>
    <n v="0"/>
    <n v="0"/>
    <n v="-3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x v="0"/>
    <n v="8492.18"/>
    <n v="0"/>
    <n v="0"/>
    <n v="0"/>
    <n v="0"/>
    <n v="0"/>
    <n v="0"/>
    <n v="0"/>
    <n v="0"/>
    <n v="0"/>
    <n v="8492.18"/>
    <n v="0"/>
    <n v="0"/>
    <n v="-8492.18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x v="0"/>
    <n v="17000"/>
    <n v="0"/>
    <n v="0"/>
    <n v="0"/>
    <n v="0"/>
    <n v="0"/>
    <n v="0"/>
    <n v="17000"/>
    <n v="0"/>
    <n v="0"/>
    <n v="0"/>
    <n v="0"/>
    <n v="0"/>
    <m/>
    <n v="-17000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x v="0"/>
    <n v="10000"/>
    <n v="0"/>
    <n v="0"/>
    <n v="0"/>
    <n v="0"/>
    <n v="0"/>
    <n v="0"/>
    <n v="0"/>
    <n v="0"/>
    <n v="0"/>
    <n v="10000"/>
    <n v="0"/>
    <n v="0"/>
    <m/>
    <m/>
    <n v="-100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x v="0"/>
    <n v="7800"/>
    <n v="650"/>
    <n v="650"/>
    <n v="650"/>
    <n v="650"/>
    <n v="650"/>
    <n v="650"/>
    <n v="650"/>
    <n v="650"/>
    <n v="650"/>
    <n v="650"/>
    <n v="650"/>
    <n v="650"/>
    <m/>
    <m/>
    <n v="-1729.68"/>
    <m/>
    <m/>
    <m/>
    <m/>
    <m/>
    <n v="6070.32"/>
    <n v="431.16"/>
    <n v="448.08"/>
    <n v="448.08"/>
    <n v="465"/>
    <n v="465"/>
    <n v="465"/>
    <n v="558"/>
    <n v="558"/>
    <n v="558"/>
    <n v="558"/>
    <n v="558"/>
    <n v="558"/>
    <m/>
    <n v="0"/>
    <n v="2257.3199999999997"/>
    <n v="222.24000000000024"/>
    <n v="431.16"/>
    <n v="431.16"/>
    <n v="431.16"/>
    <n v="7368.84"/>
    <n v="431.16"/>
    <n v="448.08"/>
    <n v="448.08"/>
    <n v="448.08"/>
    <n v="6920.76"/>
    <n v="448.08"/>
    <n v="448.08"/>
    <n v="448.08"/>
    <n v="448.08"/>
    <n v="6472.68"/>
    <n v="448.08"/>
    <n v="448.08"/>
    <n v="355.08"/>
    <n v="4743"/>
    <n v="355.08"/>
    <n v="445.08"/>
    <n v="4387.92"/>
    <n v="445.08"/>
    <n v="445.08"/>
    <n v="352.08"/>
    <n v="3487.76"/>
    <n v="352.08"/>
    <n v="2479.56"/>
    <n v="2479.5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0"/>
    <n v="100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300.25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300.25"/>
    <n v="699.74"/>
    <n v="300.26"/>
    <n v="300.26"/>
    <n v="0"/>
    <n v="699.74"/>
    <n v="0"/>
    <n v="300.25"/>
    <n v="300.2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0"/>
    <n v="100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0"/>
    <n v="100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x v="0"/>
    <n v="514.77"/>
    <n v="0"/>
    <n v="0"/>
    <n v="0"/>
    <n v="0"/>
    <n v="0"/>
    <n v="0"/>
    <n v="0"/>
    <n v="0"/>
    <n v="0"/>
    <n v="0"/>
    <n v="0"/>
    <n v="514.77"/>
    <m/>
    <m/>
    <m/>
    <m/>
    <m/>
    <m/>
    <m/>
    <m/>
    <n v="514.77"/>
    <m/>
    <m/>
    <n v="0"/>
    <n v="0"/>
    <n v="0"/>
    <n v="0"/>
    <n v="0"/>
    <n v="0"/>
    <n v="0"/>
    <n v="0"/>
    <n v="0"/>
    <n v="514.77"/>
    <m/>
    <n v="0"/>
    <n v="0"/>
    <n v="49"/>
    <n v="0"/>
    <n v="0"/>
    <n v="0"/>
    <n v="0"/>
    <n v="0"/>
    <n v="0"/>
    <n v="0"/>
    <n v="0"/>
    <n v="514.77"/>
    <n v="0"/>
    <n v="0"/>
    <n v="0"/>
    <n v="0"/>
    <n v="514.77"/>
    <n v="0"/>
    <n v="0"/>
    <n v="0"/>
    <n v="514.77"/>
    <n v="0"/>
    <n v="49"/>
    <n v="465.77"/>
    <n v="49"/>
    <n v="49"/>
    <n v="0"/>
    <n v="465.77"/>
    <n v="0"/>
    <n v="49"/>
    <n v="49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50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50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x v="0"/>
    <n v="0"/>
    <m/>
    <m/>
    <m/>
    <m/>
    <m/>
    <m/>
    <m/>
    <m/>
    <m/>
    <m/>
    <m/>
    <m/>
    <m/>
    <m/>
    <n v="500"/>
    <m/>
    <m/>
    <m/>
    <m/>
    <m/>
    <n v="500"/>
    <m/>
    <m/>
    <m/>
    <m/>
    <m/>
    <m/>
    <m/>
    <m/>
    <m/>
    <m/>
    <m/>
    <n v="500"/>
    <m/>
    <n v="0"/>
    <n v="0"/>
    <n v="12.02"/>
    <m/>
    <m/>
    <n v="0"/>
    <m/>
    <m/>
    <m/>
    <m/>
    <m/>
    <m/>
    <m/>
    <m/>
    <n v="0"/>
    <n v="0"/>
    <m/>
    <m/>
    <n v="0"/>
    <n v="0"/>
    <n v="0"/>
    <n v="0"/>
    <n v="12.02"/>
    <n v="487.98"/>
    <n v="12.02"/>
    <n v="12.02"/>
    <n v="0"/>
    <n v="487.98"/>
    <n v="0"/>
    <n v="12.02"/>
    <n v="12.0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x v="0"/>
    <n v="0"/>
    <m/>
    <m/>
    <m/>
    <m/>
    <m/>
    <m/>
    <m/>
    <m/>
    <m/>
    <m/>
    <m/>
    <m/>
    <n v="500"/>
    <m/>
    <m/>
    <m/>
    <m/>
    <m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50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Instalación de pantallas didácticas en las paradas del Metro de Quito"/>
    <m/>
    <s v="01.01.001.204.530403.000.009"/>
    <s v="Promoción"/>
    <n v="530403"/>
    <x v="0"/>
    <m/>
    <m/>
    <m/>
    <m/>
    <m/>
    <m/>
    <m/>
    <m/>
    <m/>
    <m/>
    <m/>
    <m/>
    <m/>
    <m/>
    <m/>
    <m/>
    <n v="6500"/>
    <m/>
    <m/>
    <m/>
    <m/>
    <n v="6500"/>
    <m/>
    <m/>
    <m/>
    <m/>
    <m/>
    <m/>
    <n v="6500"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x v="0"/>
    <n v="800"/>
    <n v="0"/>
    <n v="0"/>
    <n v="0"/>
    <n v="0"/>
    <n v="0"/>
    <n v="0"/>
    <n v="0"/>
    <n v="0"/>
    <n v="0"/>
    <n v="800"/>
    <n v="0"/>
    <n v="0"/>
    <m/>
    <m/>
    <m/>
    <n v="-700"/>
    <m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800"/>
    <n v="0"/>
    <n v="0"/>
    <n v="0"/>
    <n v="0"/>
    <n v="800"/>
    <n v="0"/>
    <n v="0"/>
    <n v="0"/>
    <n v="800"/>
    <n v="0"/>
    <n v="0"/>
    <n v="100"/>
    <n v="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  <n v="0"/>
    <n v="202.88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500"/>
    <n v="0"/>
    <n v="0"/>
    <n v="202.88"/>
    <n v="297.12"/>
    <n v="202.88"/>
    <n v="202.88"/>
    <n v="202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x v="0"/>
    <n v="0"/>
    <m/>
    <m/>
    <m/>
    <m/>
    <m/>
    <m/>
    <m/>
    <m/>
    <m/>
    <m/>
    <m/>
    <m/>
    <n v="400"/>
    <m/>
    <m/>
    <m/>
    <m/>
    <m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0"/>
    <n v="400"/>
    <n v="0"/>
    <n v="0"/>
    <n v="0"/>
    <n v="0"/>
    <n v="400"/>
    <n v="0"/>
    <n v="0"/>
    <n v="0"/>
    <n v="400"/>
    <n v="0"/>
    <n v="0"/>
    <n v="400"/>
    <n v="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x v="0"/>
    <n v="300"/>
    <n v="0"/>
    <n v="0"/>
    <n v="0"/>
    <n v="0"/>
    <n v="0"/>
    <n v="0"/>
    <n v="0"/>
    <n v="0"/>
    <n v="0"/>
    <n v="0"/>
    <n v="0"/>
    <n v="300"/>
    <m/>
    <m/>
    <m/>
    <n v="-100"/>
    <m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0"/>
    <n v="300"/>
    <n v="0"/>
    <n v="0"/>
    <n v="0"/>
    <n v="0"/>
    <n v="300"/>
    <n v="0"/>
    <n v="0"/>
    <n v="0"/>
    <n v="300"/>
    <n v="0"/>
    <n v="0"/>
    <n v="200"/>
    <n v="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x v="0"/>
    <n v="200"/>
    <n v="0"/>
    <n v="0"/>
    <n v="0"/>
    <n v="0"/>
    <n v="0"/>
    <n v="0"/>
    <n v="0"/>
    <n v="0"/>
    <n v="0"/>
    <n v="0"/>
    <n v="200"/>
    <n v="0"/>
    <m/>
    <m/>
    <m/>
    <n v="-100"/>
    <m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200"/>
    <n v="0"/>
    <n v="0"/>
    <n v="0"/>
    <n v="0"/>
    <n v="200"/>
    <n v="0"/>
    <n v="0"/>
    <n v="0"/>
    <n v="200"/>
    <n v="0"/>
    <n v="0"/>
    <n v="100"/>
    <n v="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x v="0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100"/>
    <n v="0"/>
    <n v="0"/>
    <n v="0"/>
    <n v="0"/>
    <n v="100"/>
    <n v="0"/>
    <n v="0"/>
    <n v="0"/>
    <n v="100"/>
    <n v="0"/>
    <n v="0"/>
    <n v="100"/>
    <n v="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x v="0"/>
    <n v="50"/>
    <n v="0"/>
    <n v="0"/>
    <n v="0"/>
    <n v="0"/>
    <n v="0"/>
    <n v="0"/>
    <n v="0"/>
    <n v="0"/>
    <n v="0"/>
    <n v="0"/>
    <n v="0"/>
    <n v="50"/>
    <m/>
    <m/>
    <m/>
    <m/>
    <m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0"/>
    <n v="50"/>
    <n v="0"/>
    <n v="0"/>
    <n v="0"/>
    <n v="0"/>
    <n v="50"/>
    <n v="0"/>
    <n v="0"/>
    <n v="0"/>
    <n v="50"/>
    <n v="0"/>
    <n v="0"/>
    <n v="50"/>
    <n v="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2.000.009"/>
    <s v="N/A"/>
    <n v="530402"/>
    <x v="0"/>
    <m/>
    <m/>
    <m/>
    <m/>
    <m/>
    <m/>
    <m/>
    <m/>
    <m/>
    <m/>
    <m/>
    <m/>
    <m/>
    <m/>
    <m/>
    <m/>
    <n v="900"/>
    <m/>
    <m/>
    <m/>
    <m/>
    <n v="900"/>
    <m/>
    <m/>
    <m/>
    <m/>
    <m/>
    <m/>
    <m/>
    <m/>
    <m/>
    <m/>
    <m/>
    <n v="900"/>
    <m/>
    <n v="0"/>
    <n v="0"/>
    <n v="195"/>
    <m/>
    <m/>
    <m/>
    <m/>
    <m/>
    <m/>
    <m/>
    <m/>
    <m/>
    <m/>
    <m/>
    <m/>
    <n v="0"/>
    <m/>
    <m/>
    <n v="0"/>
    <m/>
    <m/>
    <m/>
    <n v="0"/>
    <n v="0"/>
    <n v="0"/>
    <n v="0"/>
    <n v="195"/>
    <n v="705"/>
    <n v="195"/>
    <n v="195"/>
    <n v="195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x v="0"/>
    <n v="6600"/>
    <n v="0"/>
    <n v="0"/>
    <n v="0"/>
    <n v="0"/>
    <n v="6600"/>
    <n v="0"/>
    <n v="0"/>
    <n v="0"/>
    <n v="0"/>
    <n v="0"/>
    <n v="0"/>
    <n v="0"/>
    <m/>
    <m/>
    <n v="-66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x v="0"/>
    <n v="0"/>
    <m/>
    <m/>
    <m/>
    <m/>
    <m/>
    <m/>
    <m/>
    <m/>
    <m/>
    <m/>
    <m/>
    <m/>
    <m/>
    <m/>
    <n v="6600"/>
    <m/>
    <m/>
    <m/>
    <m/>
    <m/>
    <n v="6600"/>
    <m/>
    <m/>
    <m/>
    <m/>
    <m/>
    <m/>
    <n v="4600"/>
    <m/>
    <m/>
    <m/>
    <m/>
    <m/>
    <n v="2000"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4600"/>
    <n v="0"/>
    <n v="0"/>
    <n v="0"/>
    <n v="460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x v="0"/>
    <n v="14400"/>
    <m/>
    <m/>
    <m/>
    <m/>
    <m/>
    <m/>
    <n v="14400"/>
    <m/>
    <m/>
    <m/>
    <m/>
    <m/>
    <m/>
    <n v="-14400"/>
    <m/>
    <m/>
    <m/>
    <m/>
    <m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7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x v="0"/>
    <n v="14400"/>
    <n v="1800"/>
    <n v="1800"/>
    <n v="1800"/>
    <n v="1800"/>
    <n v="1800"/>
    <n v="1800"/>
    <n v="1800"/>
    <n v="1800"/>
    <m/>
    <m/>
    <m/>
    <m/>
    <n v="1600"/>
    <m/>
    <n v="-1600"/>
    <m/>
    <m/>
    <m/>
    <m/>
    <m/>
    <n v="14400"/>
    <m/>
    <m/>
    <n v="4000"/>
    <n v="2000"/>
    <m/>
    <m/>
    <n v="8400"/>
    <m/>
    <m/>
    <m/>
    <m/>
    <m/>
    <m/>
    <n v="0"/>
    <n v="6000"/>
    <n v="0"/>
    <n v="0"/>
    <n v="0"/>
    <n v="0"/>
    <n v="14400"/>
    <n v="0"/>
    <n v="0"/>
    <n v="0"/>
    <n v="0"/>
    <n v="400"/>
    <n v="14000"/>
    <n v="4000"/>
    <n v="4000"/>
    <n v="4000"/>
    <n v="400"/>
    <n v="0"/>
    <n v="0"/>
    <n v="2000"/>
    <n v="400"/>
    <n v="0"/>
    <n v="0"/>
    <n v="400"/>
    <n v="0"/>
    <n v="0"/>
    <n v="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x v="0"/>
    <n v="40000"/>
    <n v="0"/>
    <n v="0"/>
    <n v="0"/>
    <n v="40000"/>
    <n v="0"/>
    <n v="0"/>
    <n v="0"/>
    <n v="0"/>
    <n v="0"/>
    <n v="0"/>
    <n v="0"/>
    <n v="0"/>
    <n v="-150"/>
    <m/>
    <m/>
    <m/>
    <m/>
    <m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0"/>
    <n v="0"/>
    <n v="3875.02"/>
    <n v="0"/>
    <n v="0"/>
    <n v="3459.88"/>
    <n v="36193.279999999999"/>
    <n v="3459.88"/>
    <n v="0"/>
    <n v="36193.279999999999"/>
    <n v="0"/>
    <n v="0"/>
    <n v="0"/>
    <n v="36193.279999999999"/>
    <n v="0"/>
    <n v="3459.88"/>
    <n v="3459.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0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x v="0"/>
    <n v="0"/>
    <m/>
    <m/>
    <m/>
    <m/>
    <m/>
    <m/>
    <m/>
    <m/>
    <m/>
    <m/>
    <m/>
    <m/>
    <m/>
    <m/>
    <n v="6448"/>
    <m/>
    <m/>
    <m/>
    <m/>
    <m/>
    <n v="6448"/>
    <m/>
    <m/>
    <m/>
    <m/>
    <m/>
    <m/>
    <n v="1612"/>
    <n v="1612"/>
    <n v="1612"/>
    <n v="1612"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6448"/>
    <n v="0"/>
    <n v="0"/>
    <n v="0"/>
    <n v="6448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x v="0"/>
    <n v="0"/>
    <m/>
    <m/>
    <m/>
    <m/>
    <m/>
    <m/>
    <m/>
    <m/>
    <m/>
    <m/>
    <m/>
    <m/>
    <m/>
    <m/>
    <n v="11296"/>
    <m/>
    <m/>
    <n v="-1732.91"/>
    <m/>
    <m/>
    <n v="9563.09"/>
    <m/>
    <m/>
    <m/>
    <m/>
    <n v="0"/>
    <n v="1091.0899999999999"/>
    <n v="1412"/>
    <n v="1412"/>
    <n v="1412"/>
    <n v="1412"/>
    <n v="1412"/>
    <n v="1412"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x v="0"/>
    <n v="0"/>
    <m/>
    <m/>
    <m/>
    <m/>
    <m/>
    <m/>
    <m/>
    <m/>
    <m/>
    <m/>
    <m/>
    <m/>
    <m/>
    <m/>
    <n v="7296"/>
    <m/>
    <m/>
    <m/>
    <m/>
    <m/>
    <n v="7296"/>
    <m/>
    <m/>
    <m/>
    <m/>
    <m/>
    <m/>
    <m/>
    <n v="1412"/>
    <n v="1412"/>
    <n v="1412"/>
    <n v="1412"/>
    <n v="1648"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x v="0"/>
    <n v="0"/>
    <m/>
    <m/>
    <m/>
    <m/>
    <m/>
    <m/>
    <m/>
    <m/>
    <m/>
    <m/>
    <m/>
    <m/>
    <m/>
    <m/>
    <n v="11296"/>
    <m/>
    <m/>
    <n v="-1732.91"/>
    <m/>
    <m/>
    <n v="9563.09"/>
    <m/>
    <m/>
    <m/>
    <m/>
    <n v="0"/>
    <n v="1091.0899999999999"/>
    <n v="1412"/>
    <n v="1412"/>
    <n v="1412"/>
    <n v="1412"/>
    <n v="1412"/>
    <n v="1412"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x v="0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m/>
    <m/>
    <n v="-1743.6"/>
    <m/>
    <m/>
    <n v="11606.4"/>
    <m/>
    <n v="0"/>
    <n v="0"/>
    <n v="0"/>
    <n v="322.39999999999998"/>
    <n v="1612"/>
    <n v="1612"/>
    <n v="1612"/>
    <n v="1612"/>
    <n v="1612"/>
    <n v="1612"/>
    <n v="1612"/>
    <m/>
    <n v="0"/>
    <n v="322.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06.4"/>
    <n v="0"/>
    <n v="0"/>
    <n v="322.39999999999998"/>
    <n v="0"/>
    <n v="11606.4"/>
    <n v="322.39999999999998"/>
    <n v="11606.4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x v="0"/>
    <n v="6000"/>
    <n v="2000"/>
    <n v="2000"/>
    <n v="2000"/>
    <n v="0"/>
    <n v="0"/>
    <n v="0"/>
    <n v="0"/>
    <n v="0"/>
    <n v="0"/>
    <n v="0"/>
    <n v="0"/>
    <n v="0"/>
    <n v="18000"/>
    <m/>
    <n v="-18000"/>
    <m/>
    <m/>
    <m/>
    <m/>
    <m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0"/>
    <n v="1000"/>
    <n v="4000"/>
    <n v="2000"/>
    <n v="2000"/>
    <n v="2000"/>
    <n v="1000"/>
    <n v="0"/>
    <n v="0"/>
    <n v="2000"/>
    <n v="1000"/>
    <n v="0"/>
    <n v="0"/>
    <n v="1000"/>
    <n v="0"/>
    <n v="0"/>
    <n v="0"/>
    <n v="1000"/>
    <n v="0"/>
    <n v="4000"/>
    <n v="40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x v="0"/>
    <n v="450"/>
    <n v="0"/>
    <n v="0"/>
    <n v="0"/>
    <n v="0"/>
    <n v="0"/>
    <n v="0"/>
    <n v="0"/>
    <n v="0"/>
    <n v="0"/>
    <n v="0"/>
    <n v="0"/>
    <n v="450"/>
    <m/>
    <m/>
    <m/>
    <m/>
    <m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x v="0"/>
    <n v="0"/>
    <m/>
    <m/>
    <m/>
    <m/>
    <m/>
    <m/>
    <m/>
    <m/>
    <m/>
    <m/>
    <m/>
    <m/>
    <n v="450"/>
    <m/>
    <m/>
    <m/>
    <m/>
    <m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x v="0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m/>
    <m/>
    <m/>
    <m/>
    <m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2154.7999999999993"/>
    <n v="0"/>
    <n v="0"/>
    <n v="0"/>
    <n v="6200"/>
    <n v="0"/>
    <n v="4863.95"/>
    <n v="4863.95"/>
    <n v="4863.95"/>
    <n v="7609.55"/>
    <n v="13975.95"/>
    <n v="18814.97"/>
    <n v="18814.97"/>
    <n v="18814.97"/>
    <n v="9500"/>
    <n v="9702.9699999999993"/>
    <n v="9702.9699999999993"/>
    <n v="0"/>
    <n v="0"/>
    <n v="9500"/>
    <n v="0"/>
    <n v="0"/>
    <n v="0"/>
    <n v="0"/>
    <n v="2154.8000000000002"/>
    <n v="0"/>
    <n v="0"/>
    <n v="25833.7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x v="0"/>
    <n v="3000"/>
    <n v="0"/>
    <n v="250"/>
    <n v="250"/>
    <n v="250"/>
    <n v="250"/>
    <n v="250"/>
    <n v="250"/>
    <n v="300"/>
    <n v="300"/>
    <n v="300"/>
    <n v="300"/>
    <n v="300"/>
    <n v="-1500"/>
    <m/>
    <n v="-1000"/>
    <m/>
    <m/>
    <m/>
    <m/>
    <m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x v="0"/>
    <n v="0"/>
    <m/>
    <m/>
    <m/>
    <m/>
    <m/>
    <m/>
    <m/>
    <m/>
    <m/>
    <m/>
    <m/>
    <m/>
    <m/>
    <m/>
    <n v="74267.509999999995"/>
    <m/>
    <m/>
    <m/>
    <m/>
    <m/>
    <n v="74267.509999999995"/>
    <m/>
    <m/>
    <m/>
    <m/>
    <m/>
    <m/>
    <m/>
    <m/>
    <m/>
    <m/>
    <m/>
    <n v="74267.509999999995"/>
    <m/>
    <n v="0"/>
    <n v="0"/>
    <n v="2087.4699999999998"/>
    <m/>
    <m/>
    <n v="0"/>
    <m/>
    <m/>
    <m/>
    <m/>
    <m/>
    <m/>
    <m/>
    <m/>
    <n v="0"/>
    <n v="0"/>
    <m/>
    <m/>
    <n v="0"/>
    <n v="0"/>
    <n v="0"/>
    <n v="0"/>
    <n v="2087.4699999999998"/>
    <n v="72180.039999999994"/>
    <n v="2087.4699999999998"/>
    <n v="2087.4699999999998"/>
    <n v="0"/>
    <n v="72180.039999999994"/>
    <n v="0"/>
    <n v="2087.4699999999998"/>
    <n v="2087.469999999999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x v="0"/>
    <n v="0"/>
    <m/>
    <m/>
    <m/>
    <m/>
    <m/>
    <m/>
    <m/>
    <m/>
    <m/>
    <m/>
    <m/>
    <m/>
    <m/>
    <m/>
    <n v="1000"/>
    <n v="2500"/>
    <m/>
    <m/>
    <m/>
    <m/>
    <n v="3500"/>
    <m/>
    <m/>
    <m/>
    <m/>
    <m/>
    <m/>
    <m/>
    <m/>
    <m/>
    <m/>
    <m/>
    <n v="3500"/>
    <m/>
    <n v="0"/>
    <n v="0"/>
    <n v="1266"/>
    <m/>
    <m/>
    <n v="0"/>
    <m/>
    <m/>
    <m/>
    <m/>
    <m/>
    <m/>
    <m/>
    <m/>
    <n v="0"/>
    <n v="0"/>
    <m/>
    <m/>
    <n v="0"/>
    <n v="0"/>
    <n v="0"/>
    <n v="0"/>
    <n v="0"/>
    <n v="2446"/>
    <n v="0"/>
    <n v="0"/>
    <n v="1266"/>
    <n v="1180"/>
    <n v="1266"/>
    <n v="1266"/>
    <n v="126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x v="0"/>
    <n v="18000"/>
    <n v="1500"/>
    <n v="1500"/>
    <n v="1500"/>
    <n v="1500"/>
    <n v="1500"/>
    <n v="1500"/>
    <n v="1500"/>
    <n v="1500"/>
    <n v="1500"/>
    <n v="1500"/>
    <n v="1500"/>
    <n v="1500"/>
    <m/>
    <m/>
    <m/>
    <m/>
    <m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7500"/>
    <n v="1500"/>
    <n v="0"/>
    <n v="0"/>
    <n v="0"/>
    <n v="18000"/>
    <n v="0"/>
    <n v="3000"/>
    <n v="3000"/>
    <n v="3000"/>
    <n v="0"/>
    <n v="18000"/>
    <n v="1500"/>
    <n v="1500"/>
    <n v="1500"/>
    <n v="0"/>
    <n v="0"/>
    <n v="0"/>
    <n v="0"/>
    <n v="0"/>
    <n v="0"/>
    <n v="0"/>
    <n v="0"/>
    <n v="0"/>
    <n v="0"/>
    <n v="4500"/>
    <n v="0"/>
    <n v="0"/>
    <n v="90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x v="0"/>
    <n v="6600"/>
    <n v="0"/>
    <n v="0"/>
    <n v="0"/>
    <n v="0"/>
    <n v="0"/>
    <n v="0"/>
    <n v="0"/>
    <n v="0"/>
    <n v="0"/>
    <n v="6600"/>
    <n v="0"/>
    <n v="0"/>
    <n v="-5000"/>
    <m/>
    <m/>
    <m/>
    <m/>
    <m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159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x v="0"/>
    <n v="15000"/>
    <n v="0"/>
    <n v="0"/>
    <n v="0"/>
    <n v="0"/>
    <n v="0"/>
    <n v="0"/>
    <n v="15000"/>
    <n v="0"/>
    <n v="0"/>
    <n v="0"/>
    <n v="0"/>
    <n v="0"/>
    <m/>
    <m/>
    <n v="-150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x v="0"/>
    <n v="6600"/>
    <n v="0"/>
    <n v="0"/>
    <n v="0"/>
    <n v="0"/>
    <n v="0"/>
    <n v="0"/>
    <n v="0"/>
    <n v="0"/>
    <n v="0"/>
    <n v="0"/>
    <n v="6600"/>
    <n v="0"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x v="0"/>
    <n v="6600"/>
    <n v="0"/>
    <n v="0"/>
    <n v="0"/>
    <n v="0"/>
    <n v="0"/>
    <n v="0"/>
    <n v="0"/>
    <n v="0"/>
    <n v="0"/>
    <n v="0"/>
    <n v="6600"/>
    <n v="0"/>
    <m/>
    <m/>
    <n v="-66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x v="0"/>
    <n v="1000"/>
    <n v="0"/>
    <n v="0"/>
    <n v="0"/>
    <n v="0"/>
    <n v="0"/>
    <n v="0"/>
    <n v="0"/>
    <n v="0"/>
    <n v="0"/>
    <n v="1000"/>
    <n v="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x v="0"/>
    <n v="180"/>
    <n v="0"/>
    <n v="0"/>
    <n v="90"/>
    <n v="0"/>
    <n v="0"/>
    <n v="0"/>
    <n v="0"/>
    <n v="0"/>
    <n v="90"/>
    <n v="0"/>
    <n v="0"/>
    <n v="0"/>
    <n v="405.85"/>
    <m/>
    <m/>
    <m/>
    <m/>
    <m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x v="0"/>
    <n v="0"/>
    <m/>
    <m/>
    <m/>
    <m/>
    <m/>
    <m/>
    <m/>
    <m/>
    <m/>
    <m/>
    <m/>
    <m/>
    <n v="270.04000000000002"/>
    <m/>
    <m/>
    <m/>
    <m/>
    <m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12-31T00:00:00"/>
    <m/>
    <m/>
    <m/>
    <m/>
    <m/>
    <m/>
    <m/>
    <m/>
    <m/>
    <m/>
    <m/>
    <m/>
    <m/>
    <s v="Servicio de rastreo satelital para los vehículos y motocicleta de la EPMGDT 2026 - 2027"/>
    <m/>
    <s v="01.01.001.209.530105.000.009"/>
    <s v="N/A"/>
    <n v="530105"/>
    <x v="0"/>
    <m/>
    <m/>
    <m/>
    <m/>
    <m/>
    <m/>
    <m/>
    <m/>
    <m/>
    <m/>
    <m/>
    <m/>
    <m/>
    <m/>
    <m/>
    <m/>
    <m/>
    <m/>
    <m/>
    <n v="300"/>
    <m/>
    <n v="300"/>
    <m/>
    <m/>
    <m/>
    <m/>
    <m/>
    <m/>
    <m/>
    <m/>
    <n v="75"/>
    <n v="75"/>
    <n v="75"/>
    <n v="75"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0.009"/>
    <s v="N/A"/>
    <n v="530813"/>
    <x v="0"/>
    <m/>
    <m/>
    <m/>
    <m/>
    <m/>
    <m/>
    <m/>
    <m/>
    <m/>
    <m/>
    <m/>
    <m/>
    <m/>
    <m/>
    <m/>
    <m/>
    <m/>
    <m/>
    <m/>
    <n v="350"/>
    <m/>
    <n v="350"/>
    <m/>
    <m/>
    <m/>
    <m/>
    <m/>
    <m/>
    <m/>
    <m/>
    <m/>
    <m/>
    <m/>
    <n v="350"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1.009"/>
    <s v="N/A"/>
    <n v="530813"/>
    <x v="0"/>
    <m/>
    <m/>
    <m/>
    <m/>
    <m/>
    <m/>
    <m/>
    <m/>
    <m/>
    <m/>
    <m/>
    <m/>
    <m/>
    <m/>
    <m/>
    <m/>
    <m/>
    <m/>
    <m/>
    <n v="280"/>
    <m/>
    <n v="280"/>
    <m/>
    <m/>
    <m/>
    <m/>
    <m/>
    <m/>
    <m/>
    <m/>
    <m/>
    <m/>
    <m/>
    <n v="280"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2.009"/>
    <s v="N/A"/>
    <n v="530813"/>
    <x v="0"/>
    <m/>
    <m/>
    <m/>
    <m/>
    <m/>
    <m/>
    <m/>
    <m/>
    <m/>
    <m/>
    <m/>
    <m/>
    <m/>
    <m/>
    <m/>
    <m/>
    <m/>
    <m/>
    <m/>
    <n v="370"/>
    <m/>
    <n v="370"/>
    <m/>
    <m/>
    <m/>
    <m/>
    <m/>
    <m/>
    <m/>
    <m/>
    <m/>
    <m/>
    <m/>
    <n v="370"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x v="0"/>
    <n v="0"/>
    <m/>
    <m/>
    <m/>
    <m/>
    <m/>
    <m/>
    <m/>
    <m/>
    <m/>
    <m/>
    <m/>
    <m/>
    <n v="230.84"/>
    <m/>
    <m/>
    <m/>
    <m/>
    <m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x v="0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x v="0"/>
    <n v="500"/>
    <n v="0"/>
    <n v="0"/>
    <n v="0"/>
    <n v="0"/>
    <n v="0"/>
    <n v="0"/>
    <n v="0"/>
    <n v="0"/>
    <n v="500"/>
    <n v="0"/>
    <n v="0"/>
    <n v="0"/>
    <m/>
    <m/>
    <m/>
    <m/>
    <m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x v="0"/>
    <n v="6000"/>
    <n v="0"/>
    <n v="0"/>
    <n v="0"/>
    <n v="0"/>
    <n v="0"/>
    <n v="0"/>
    <n v="0"/>
    <n v="0"/>
    <n v="0"/>
    <n v="6000"/>
    <n v="0"/>
    <n v="0"/>
    <m/>
    <m/>
    <n v="17440.7"/>
    <m/>
    <m/>
    <n v="-10000"/>
    <m/>
    <m/>
    <n v="13440.7"/>
    <m/>
    <m/>
    <n v="0"/>
    <n v="0"/>
    <n v="0"/>
    <n v="0"/>
    <n v="0"/>
    <n v="0"/>
    <n v="0"/>
    <m/>
    <n v="0"/>
    <n v="1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x v="0"/>
    <n v="6600"/>
    <n v="0"/>
    <n v="0"/>
    <n v="0"/>
    <n v="0"/>
    <n v="0"/>
    <n v="0"/>
    <n v="0"/>
    <n v="0"/>
    <n v="0"/>
    <n v="6600"/>
    <n v="0"/>
    <n v="0"/>
    <m/>
    <m/>
    <n v="-66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x v="0"/>
    <n v="1000"/>
    <n v="0"/>
    <n v="0"/>
    <n v="0"/>
    <n v="0"/>
    <n v="0"/>
    <n v="0"/>
    <n v="1000"/>
    <n v="0"/>
    <n v="0"/>
    <n v="0"/>
    <n v="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x v="0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-5489.3"/>
    <m/>
    <m/>
    <m/>
    <m/>
    <n v="3599.9999999999991"/>
    <m/>
    <m/>
    <m/>
    <m/>
    <m/>
    <m/>
    <m/>
    <m/>
    <m/>
    <m/>
    <m/>
    <n v="3600"/>
    <m/>
    <n v="0"/>
    <n v="0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0"/>
    <n v="9089.2999999999993"/>
    <n v="0"/>
    <n v="0"/>
    <n v="3600"/>
    <n v="0"/>
    <n v="0"/>
    <n v="0"/>
    <n v="0"/>
    <n v="3600"/>
    <n v="0"/>
    <n v="36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03.000.009"/>
    <s v="N/A"/>
    <n v="530803"/>
    <x v="0"/>
    <m/>
    <m/>
    <m/>
    <m/>
    <m/>
    <m/>
    <m/>
    <m/>
    <m/>
    <m/>
    <m/>
    <m/>
    <m/>
    <m/>
    <m/>
    <m/>
    <n v="900"/>
    <m/>
    <m/>
    <m/>
    <m/>
    <n v="900"/>
    <m/>
    <m/>
    <m/>
    <m/>
    <m/>
    <m/>
    <m/>
    <m/>
    <m/>
    <m/>
    <m/>
    <n v="900"/>
    <m/>
    <n v="0"/>
    <n v="0"/>
    <n v="0"/>
    <m/>
    <m/>
    <m/>
    <m/>
    <m/>
    <m/>
    <m/>
    <m/>
    <m/>
    <m/>
    <m/>
    <m/>
    <n v="0"/>
    <m/>
    <m/>
    <n v="0"/>
    <m/>
    <m/>
    <m/>
    <n v="0"/>
    <n v="900"/>
    <n v="0"/>
    <n v="0"/>
    <n v="0"/>
    <n v="0"/>
    <n v="900"/>
    <n v="0"/>
    <n v="9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13.000.009"/>
    <s v="N/A"/>
    <n v="530813"/>
    <x v="0"/>
    <m/>
    <m/>
    <m/>
    <m/>
    <m/>
    <m/>
    <m/>
    <m/>
    <m/>
    <m/>
    <m/>
    <m/>
    <m/>
    <m/>
    <m/>
    <m/>
    <n v="4589.3"/>
    <m/>
    <m/>
    <m/>
    <m/>
    <n v="4589.3"/>
    <m/>
    <m/>
    <m/>
    <m/>
    <m/>
    <m/>
    <m/>
    <m/>
    <m/>
    <m/>
    <m/>
    <n v="4589.3"/>
    <m/>
    <n v="0"/>
    <n v="0"/>
    <n v="0"/>
    <m/>
    <m/>
    <m/>
    <m/>
    <m/>
    <m/>
    <m/>
    <m/>
    <m/>
    <m/>
    <m/>
    <m/>
    <n v="0"/>
    <m/>
    <m/>
    <n v="0"/>
    <m/>
    <m/>
    <m/>
    <n v="0"/>
    <n v="4589.3"/>
    <n v="0"/>
    <n v="0"/>
    <n v="0"/>
    <n v="58.31"/>
    <n v="4530.99"/>
    <n v="0"/>
    <n v="4530.99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x v="0"/>
    <n v="2500"/>
    <n v="0"/>
    <n v="0"/>
    <n v="250"/>
    <n v="250"/>
    <n v="250"/>
    <n v="250"/>
    <n v="250"/>
    <n v="250"/>
    <n v="250"/>
    <n v="250"/>
    <n v="250"/>
    <n v="250"/>
    <m/>
    <m/>
    <m/>
    <n v="-1500"/>
    <m/>
    <m/>
    <m/>
    <m/>
    <n v="1000"/>
    <m/>
    <m/>
    <m/>
    <m/>
    <m/>
    <m/>
    <m/>
    <m/>
    <m/>
    <m/>
    <m/>
    <n v="1000"/>
    <m/>
    <n v="0"/>
    <n v="0"/>
    <n v="148.18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1000"/>
    <n v="1000"/>
    <n v="148.18"/>
    <n v="0"/>
    <n v="0"/>
    <n v="148.18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03.000.009"/>
    <s v="N/A"/>
    <n v="530803"/>
    <x v="0"/>
    <m/>
    <m/>
    <m/>
    <m/>
    <m/>
    <m/>
    <m/>
    <m/>
    <m/>
    <m/>
    <m/>
    <m/>
    <m/>
    <m/>
    <m/>
    <m/>
    <n v="500"/>
    <m/>
    <m/>
    <m/>
    <m/>
    <n v="500"/>
    <m/>
    <m/>
    <m/>
    <m/>
    <m/>
    <m/>
    <m/>
    <m/>
    <m/>
    <m/>
    <m/>
    <n v="500"/>
    <m/>
    <n v="0"/>
    <n v="0"/>
    <n v="43.98"/>
    <m/>
    <m/>
    <m/>
    <m/>
    <m/>
    <m/>
    <m/>
    <m/>
    <m/>
    <m/>
    <m/>
    <m/>
    <n v="0"/>
    <m/>
    <m/>
    <n v="0"/>
    <m/>
    <m/>
    <m/>
    <n v="0"/>
    <n v="0"/>
    <n v="500"/>
    <n v="500"/>
    <n v="43.98"/>
    <n v="0"/>
    <n v="0"/>
    <n v="43.98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13.000.009"/>
    <s v="N/A"/>
    <n v="530813"/>
    <x v="0"/>
    <m/>
    <m/>
    <m/>
    <m/>
    <m/>
    <m/>
    <m/>
    <m/>
    <m/>
    <m/>
    <m/>
    <m/>
    <m/>
    <m/>
    <m/>
    <m/>
    <n v="1000"/>
    <m/>
    <m/>
    <m/>
    <m/>
    <n v="1000"/>
    <m/>
    <m/>
    <m/>
    <m/>
    <m/>
    <m/>
    <m/>
    <m/>
    <m/>
    <m/>
    <m/>
    <n v="1000"/>
    <m/>
    <n v="0"/>
    <n v="0"/>
    <n v="164.05"/>
    <m/>
    <m/>
    <m/>
    <m/>
    <m/>
    <m/>
    <m/>
    <m/>
    <m/>
    <m/>
    <m/>
    <m/>
    <n v="0"/>
    <m/>
    <m/>
    <n v="0"/>
    <m/>
    <m/>
    <m/>
    <n v="0"/>
    <n v="0"/>
    <n v="1000"/>
    <n v="1000"/>
    <n v="164.05"/>
    <n v="0"/>
    <n v="0"/>
    <n v="164.05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x v="0"/>
    <n v="2500"/>
    <n v="0"/>
    <n v="0"/>
    <n v="250"/>
    <n v="250"/>
    <n v="250"/>
    <n v="250"/>
    <n v="250"/>
    <n v="250"/>
    <n v="250"/>
    <n v="250"/>
    <n v="250"/>
    <n v="250"/>
    <m/>
    <m/>
    <m/>
    <n v="-1200"/>
    <m/>
    <m/>
    <m/>
    <m/>
    <n v="1300"/>
    <m/>
    <m/>
    <m/>
    <m/>
    <m/>
    <m/>
    <m/>
    <m/>
    <m/>
    <m/>
    <m/>
    <n v="13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2002.3"/>
    <n v="0"/>
    <n v="0"/>
    <n v="0"/>
    <n v="0"/>
    <n v="0"/>
    <n v="0"/>
    <n v="802.3"/>
    <n v="802.3"/>
    <n v="0"/>
    <n v="0"/>
    <n v="0"/>
    <n v="0"/>
    <n v="8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03.000.009"/>
    <s v="N/A"/>
    <n v="530803"/>
    <x v="0"/>
    <m/>
    <m/>
    <m/>
    <m/>
    <m/>
    <m/>
    <m/>
    <m/>
    <m/>
    <m/>
    <m/>
    <m/>
    <m/>
    <m/>
    <m/>
    <m/>
    <n v="400"/>
    <m/>
    <m/>
    <m/>
    <m/>
    <n v="400"/>
    <m/>
    <m/>
    <m/>
    <m/>
    <m/>
    <m/>
    <m/>
    <m/>
    <m/>
    <m/>
    <m/>
    <n v="4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400"/>
    <n v="400"/>
    <n v="0"/>
    <n v="0"/>
    <n v="0"/>
    <n v="0"/>
    <n v="4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13.000.009"/>
    <s v="N/A"/>
    <n v="530813"/>
    <x v="0"/>
    <m/>
    <m/>
    <m/>
    <m/>
    <m/>
    <m/>
    <m/>
    <m/>
    <m/>
    <m/>
    <m/>
    <m/>
    <m/>
    <m/>
    <m/>
    <m/>
    <n v="800"/>
    <m/>
    <m/>
    <m/>
    <m/>
    <n v="800"/>
    <m/>
    <m/>
    <m/>
    <m/>
    <m/>
    <m/>
    <m/>
    <m/>
    <m/>
    <m/>
    <m/>
    <n v="8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800"/>
    <n v="800"/>
    <n v="0"/>
    <n v="0"/>
    <n v="0"/>
    <n v="0"/>
    <n v="80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m/>
    <m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12083.35"/>
    <n v="-2212.2500000000018"/>
    <n v="1696.81"/>
    <n v="1696.81"/>
    <n v="1696.81"/>
    <n v="0"/>
    <n v="20361"/>
    <n v="1696.81"/>
    <n v="1696.81"/>
    <n v="1696.81"/>
    <n v="0"/>
    <n v="0"/>
    <n v="1696.81"/>
    <n v="1696.81"/>
    <n v="1696.81"/>
    <n v="0"/>
    <n v="0"/>
    <n v="0"/>
    <n v="1696.81"/>
    <n v="0"/>
    <n v="0"/>
    <n v="1696.81"/>
    <n v="0"/>
    <n v="0"/>
    <n v="0"/>
    <n v="1387.05"/>
    <n v="0"/>
    <n v="0"/>
    <n v="9871.0999999999985"/>
    <n v="20361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x v="0"/>
    <n v="0"/>
    <m/>
    <m/>
    <m/>
    <m/>
    <m/>
    <m/>
    <m/>
    <m/>
    <m/>
    <m/>
    <m/>
    <m/>
    <n v="1100"/>
    <m/>
    <m/>
    <m/>
    <m/>
    <m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"/>
    <n v="1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x v="0"/>
    <n v="0"/>
    <m/>
    <m/>
    <m/>
    <m/>
    <m/>
    <m/>
    <m/>
    <m/>
    <m/>
    <m/>
    <m/>
    <m/>
    <n v="2800"/>
    <m/>
    <m/>
    <m/>
    <m/>
    <m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x v="0"/>
    <n v="3000"/>
    <n v="0"/>
    <n v="0"/>
    <n v="0"/>
    <n v="0"/>
    <n v="0"/>
    <n v="0"/>
    <n v="1500"/>
    <n v="0"/>
    <n v="0"/>
    <n v="0"/>
    <n v="0"/>
    <n v="1500"/>
    <m/>
    <m/>
    <m/>
    <n v="1236"/>
    <m/>
    <m/>
    <m/>
    <m/>
    <n v="4236"/>
    <m/>
    <m/>
    <n v="0"/>
    <n v="0"/>
    <n v="0"/>
    <n v="0"/>
    <n v="2118"/>
    <n v="0"/>
    <n v="0"/>
    <n v="0"/>
    <n v="0"/>
    <n v="21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6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x v="0"/>
    <n v="0"/>
    <m/>
    <m/>
    <m/>
    <m/>
    <m/>
    <m/>
    <m/>
    <m/>
    <m/>
    <m/>
    <m/>
    <m/>
    <n v="150"/>
    <m/>
    <m/>
    <m/>
    <m/>
    <m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32.270000000000003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x v="0"/>
    <n v="0"/>
    <m/>
    <m/>
    <m/>
    <m/>
    <m/>
    <m/>
    <m/>
    <m/>
    <m/>
    <m/>
    <m/>
    <m/>
    <m/>
    <m/>
    <n v="10000"/>
    <m/>
    <m/>
    <m/>
    <m/>
    <m/>
    <n v="10000"/>
    <m/>
    <m/>
    <m/>
    <m/>
    <m/>
    <n v="10000"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x v="0"/>
    <n v="102695.5"/>
    <n v="0"/>
    <n v="0"/>
    <n v="0"/>
    <n v="0"/>
    <n v="0"/>
    <n v="0"/>
    <n v="102695.5"/>
    <n v="0"/>
    <n v="0"/>
    <n v="0"/>
    <n v="0"/>
    <n v="0"/>
    <m/>
    <n v="-102695.5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x v="0"/>
    <n v="2000"/>
    <n v="0"/>
    <n v="0"/>
    <n v="0"/>
    <n v="0"/>
    <n v="0"/>
    <n v="0"/>
    <n v="0"/>
    <n v="0"/>
    <n v="2000"/>
    <n v="0"/>
    <n v="0"/>
    <n v="0"/>
    <m/>
    <m/>
    <m/>
    <m/>
    <m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x v="0"/>
    <n v="40000"/>
    <n v="0"/>
    <n v="0"/>
    <n v="0"/>
    <n v="0"/>
    <n v="0"/>
    <n v="40000"/>
    <n v="0"/>
    <n v="0"/>
    <n v="0"/>
    <n v="0"/>
    <n v="0"/>
    <n v="0"/>
    <m/>
    <n v="-40000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x v="0"/>
    <n v="1000"/>
    <n v="0"/>
    <n v="0"/>
    <n v="0"/>
    <n v="0"/>
    <n v="0"/>
    <n v="0"/>
    <n v="0"/>
    <n v="0"/>
    <n v="1000"/>
    <n v="0"/>
    <n v="0"/>
    <n v="0"/>
    <m/>
    <m/>
    <m/>
    <m/>
    <m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x v="0"/>
    <n v="0"/>
    <m/>
    <m/>
    <m/>
    <m/>
    <m/>
    <m/>
    <m/>
    <m/>
    <m/>
    <m/>
    <m/>
    <m/>
    <n v="60000"/>
    <m/>
    <m/>
    <m/>
    <m/>
    <m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x v="0"/>
    <n v="74600"/>
    <n v="0"/>
    <n v="0"/>
    <n v="0"/>
    <n v="0"/>
    <n v="0"/>
    <n v="74600"/>
    <n v="0"/>
    <n v="0"/>
    <n v="0"/>
    <n v="0"/>
    <n v="0"/>
    <n v="0"/>
    <m/>
    <n v="-74600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x v="0"/>
    <n v="3500"/>
    <n v="0"/>
    <n v="0"/>
    <n v="0"/>
    <n v="0"/>
    <n v="0"/>
    <n v="0"/>
    <n v="0"/>
    <n v="0"/>
    <n v="0"/>
    <n v="3500"/>
    <n v="0"/>
    <n v="0"/>
    <m/>
    <m/>
    <m/>
    <m/>
    <m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x v="0"/>
    <n v="3000"/>
    <n v="0"/>
    <n v="0"/>
    <n v="0"/>
    <n v="0"/>
    <n v="0"/>
    <n v="0"/>
    <n v="0"/>
    <n v="0"/>
    <n v="0"/>
    <n v="3000"/>
    <n v="0"/>
    <n v="0"/>
    <n v="-3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x v="0"/>
    <n v="2000"/>
    <n v="0"/>
    <n v="0"/>
    <n v="0"/>
    <n v="2000"/>
    <n v="0"/>
    <n v="0"/>
    <n v="0"/>
    <n v="0"/>
    <n v="0"/>
    <n v="0"/>
    <n v="0"/>
    <n v="0"/>
    <m/>
    <m/>
    <m/>
    <m/>
    <m/>
    <m/>
    <m/>
    <m/>
    <n v="2000"/>
    <m/>
    <m/>
    <n v="0"/>
    <n v="2000"/>
    <n v="0"/>
    <n v="0"/>
    <n v="0"/>
    <n v="0"/>
    <n v="0"/>
    <n v="0"/>
    <n v="0"/>
    <n v="0"/>
    <m/>
    <n v="0"/>
    <n v="2000"/>
    <n v="-630.01"/>
    <n v="0"/>
    <n v="0"/>
    <n v="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n v="1369.99"/>
    <n v="1369.99"/>
    <n v="1369.99"/>
    <n v="0"/>
    <n v="0"/>
    <n v="1369.99"/>
    <n v="1369.99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x v="0"/>
    <n v="0"/>
    <m/>
    <m/>
    <m/>
    <m/>
    <m/>
    <m/>
    <m/>
    <m/>
    <m/>
    <m/>
    <m/>
    <m/>
    <n v="3000"/>
    <m/>
    <m/>
    <m/>
    <m/>
    <m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x v="0"/>
    <n v="0"/>
    <m/>
    <m/>
    <m/>
    <m/>
    <m/>
    <m/>
    <m/>
    <m/>
    <m/>
    <m/>
    <m/>
    <m/>
    <n v="200"/>
    <m/>
    <m/>
    <m/>
    <m/>
    <m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x v="0"/>
    <n v="1000"/>
    <n v="0"/>
    <n v="0"/>
    <n v="0"/>
    <n v="0"/>
    <n v="0"/>
    <n v="0"/>
    <n v="0"/>
    <n v="0"/>
    <n v="0"/>
    <n v="0"/>
    <n v="100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m/>
    <m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2333.3000000000002"/>
    <n v="367.48"/>
    <n v="0"/>
    <n v="0"/>
    <n v="0"/>
    <n v="0"/>
    <n v="5401.56"/>
    <n v="900.26"/>
    <n v="900.26"/>
    <n v="900.26"/>
    <n v="0"/>
    <n v="0"/>
    <n v="450.13"/>
    <n v="450.13"/>
    <n v="450.13"/>
    <n v="0"/>
    <n v="0"/>
    <n v="0"/>
    <n v="450.13"/>
    <n v="0"/>
    <n v="0"/>
    <n v="450.13"/>
    <n v="0"/>
    <n v="33.450000000000003"/>
    <n v="33.450000000000003"/>
    <n v="450.13"/>
    <n v="0"/>
    <n v="100"/>
    <n v="2700.78"/>
    <n v="5535.0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x v="0"/>
    <n v="3000"/>
    <n v="250"/>
    <n v="250"/>
    <n v="250"/>
    <n v="250"/>
    <n v="250"/>
    <n v="250"/>
    <n v="250"/>
    <n v="250"/>
    <n v="250"/>
    <n v="250"/>
    <n v="250"/>
    <n v="250"/>
    <m/>
    <m/>
    <m/>
    <m/>
    <m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250"/>
    <n v="-903.28"/>
    <n v="237.42"/>
    <n v="237.42"/>
    <n v="237.42"/>
    <n v="0"/>
    <n v="2060"/>
    <n v="13.75"/>
    <n v="13.75"/>
    <n v="13.75"/>
    <n v="0"/>
    <n v="0"/>
    <n v="23.33"/>
    <n v="23.33"/>
    <n v="23.33"/>
    <n v="0"/>
    <n v="0"/>
    <n v="0"/>
    <n v="22.32"/>
    <n v="0"/>
    <n v="0"/>
    <n v="19.53"/>
    <n v="0"/>
    <n v="0"/>
    <n v="0"/>
    <n v="30.37"/>
    <n v="0"/>
    <n v="0"/>
    <n v="346.72"/>
    <n v="206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12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x v="0"/>
    <n v="29311"/>
    <n v="0"/>
    <n v="0"/>
    <n v="0"/>
    <n v="0"/>
    <n v="29311"/>
    <n v="0"/>
    <n v="0"/>
    <n v="0"/>
    <n v="0"/>
    <n v="0"/>
    <n v="0"/>
    <n v="0"/>
    <m/>
    <m/>
    <m/>
    <n v="-9000"/>
    <m/>
    <n v="-2173"/>
    <n v="-1300"/>
    <m/>
    <n v="16838"/>
    <m/>
    <m/>
    <n v="0"/>
    <n v="14426.06"/>
    <m/>
    <n v="0"/>
    <n v="0"/>
    <n v="0"/>
    <n v="0"/>
    <n v="0"/>
    <n v="0"/>
    <n v="2411.94"/>
    <m/>
    <n v="0"/>
    <n v="14426.06"/>
    <n v="0"/>
    <n v="0"/>
    <n v="0"/>
    <n v="0"/>
    <n v="0"/>
    <n v="0"/>
    <n v="0"/>
    <n v="0"/>
    <n v="0"/>
    <n v="0"/>
    <n v="0"/>
    <n v="0"/>
    <n v="0"/>
    <n v="0"/>
    <n v="0"/>
    <n v="0"/>
    <n v="0"/>
    <n v="14426.06"/>
    <n v="0"/>
    <n v="14426.06"/>
    <n v="0"/>
    <n v="0"/>
    <n v="0"/>
    <n v="0"/>
    <n v="0"/>
    <n v="0"/>
    <n v="0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x v="0"/>
    <n v="6000"/>
    <n v="500"/>
    <n v="500"/>
    <n v="500"/>
    <n v="500"/>
    <n v="500"/>
    <n v="500"/>
    <n v="500"/>
    <n v="500"/>
    <n v="500"/>
    <n v="500"/>
    <n v="500"/>
    <n v="500"/>
    <m/>
    <m/>
    <n v="3170"/>
    <m/>
    <m/>
    <m/>
    <m/>
    <m/>
    <n v="9170"/>
    <m/>
    <n v="513.08000000000004"/>
    <n v="769.24"/>
    <n v="815"/>
    <m/>
    <m/>
    <m/>
    <m/>
    <m/>
    <m/>
    <m/>
    <n v="7072.68"/>
    <m/>
    <n v="0"/>
    <n v="2097.3200000000002"/>
    <n v="2248.14"/>
    <n v="2.1"/>
    <n v="2.1"/>
    <n v="2.1"/>
    <n v="0"/>
    <n v="6000"/>
    <n v="513.08000000000004"/>
    <n v="513.08000000000004"/>
    <n v="513.08000000000004"/>
    <n v="0"/>
    <n v="0"/>
    <n v="769.24"/>
    <n v="769.24"/>
    <n v="769.24"/>
    <n v="0"/>
    <n v="0"/>
    <n v="0"/>
    <n v="816.41"/>
    <n v="0"/>
    <n v="0"/>
    <n v="1005.44"/>
    <n v="0"/>
    <n v="0"/>
    <n v="0"/>
    <n v="1239.19"/>
    <n v="0"/>
    <n v="0"/>
    <n v="4345.46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x v="0"/>
    <n v="28000"/>
    <n v="2300"/>
    <n v="2300"/>
    <n v="2300"/>
    <n v="2300"/>
    <n v="2300"/>
    <n v="2300"/>
    <n v="2300"/>
    <n v="2300"/>
    <n v="2300"/>
    <n v="2400"/>
    <n v="2400"/>
    <n v="2500"/>
    <m/>
    <m/>
    <m/>
    <m/>
    <m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11500"/>
    <n v="6267.9600000000028"/>
    <n v="2501.17"/>
    <n v="2501.17"/>
    <n v="2501.17"/>
    <n v="0"/>
    <n v="28000"/>
    <n v="3047.7"/>
    <n v="3047.7"/>
    <n v="3047.7"/>
    <n v="0"/>
    <n v="0"/>
    <n v="2597.65"/>
    <n v="2597.65"/>
    <n v="2597.65"/>
    <n v="0"/>
    <n v="0"/>
    <n v="0"/>
    <n v="3137.38"/>
    <n v="0"/>
    <n v="0"/>
    <n v="3062.91"/>
    <n v="0"/>
    <n v="0"/>
    <n v="0"/>
    <n v="3421.15"/>
    <n v="0"/>
    <n v="0"/>
    <n v="17767.960000000003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x v="0"/>
    <n v="6000"/>
    <n v="500"/>
    <n v="500"/>
    <n v="500"/>
    <n v="500"/>
    <n v="500"/>
    <n v="500"/>
    <n v="500"/>
    <n v="500"/>
    <n v="500"/>
    <n v="500"/>
    <n v="500"/>
    <n v="500"/>
    <m/>
    <m/>
    <m/>
    <m/>
    <m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500"/>
    <n v="-622.62000000000012"/>
    <n v="315.24"/>
    <n v="315.24"/>
    <n v="315.24"/>
    <n v="0"/>
    <n v="6000"/>
    <n v="312.48"/>
    <n v="312.48"/>
    <n v="312.48"/>
    <n v="0"/>
    <n v="0"/>
    <n v="312.08"/>
    <n v="312.08"/>
    <n v="312.08"/>
    <n v="0"/>
    <n v="0"/>
    <n v="0"/>
    <n v="314.45"/>
    <n v="0"/>
    <n v="0"/>
    <n v="312.62"/>
    <n v="0"/>
    <n v="0"/>
    <n v="0"/>
    <n v="310.51"/>
    <n v="0"/>
    <n v="0"/>
    <n v="1877.3799999999999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x v="0"/>
    <n v="49020"/>
    <n v="0"/>
    <n v="0"/>
    <n v="0"/>
    <n v="0"/>
    <n v="0"/>
    <n v="0"/>
    <n v="0"/>
    <n v="0"/>
    <n v="0"/>
    <n v="49020"/>
    <n v="0"/>
    <n v="0"/>
    <m/>
    <n v="-49020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x v="0"/>
    <n v="0"/>
    <m/>
    <m/>
    <m/>
    <m/>
    <m/>
    <m/>
    <m/>
    <m/>
    <m/>
    <m/>
    <m/>
    <m/>
    <m/>
    <m/>
    <n v="2000"/>
    <m/>
    <m/>
    <m/>
    <m/>
    <m/>
    <n v="2000"/>
    <m/>
    <m/>
    <m/>
    <m/>
    <m/>
    <m/>
    <m/>
    <m/>
    <m/>
    <m/>
    <m/>
    <n v="2000"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x v="0"/>
    <n v="6600"/>
    <n v="0"/>
    <n v="0"/>
    <n v="0"/>
    <n v="3000"/>
    <n v="0"/>
    <n v="0"/>
    <n v="0"/>
    <n v="3600"/>
    <n v="0"/>
    <n v="0"/>
    <n v="0"/>
    <n v="0"/>
    <m/>
    <m/>
    <m/>
    <m/>
    <m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0"/>
    <n v="0"/>
    <n v="0"/>
    <n v="1920"/>
    <n v="0"/>
    <n v="0"/>
    <n v="192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x v="0"/>
    <n v="33000"/>
    <n v="0"/>
    <n v="0"/>
    <n v="0"/>
    <n v="0"/>
    <n v="0"/>
    <n v="0"/>
    <n v="0"/>
    <n v="0"/>
    <n v="33000"/>
    <n v="0"/>
    <n v="0"/>
    <n v="0"/>
    <n v="-33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x v="0"/>
    <n v="2000"/>
    <n v="0"/>
    <n v="0"/>
    <n v="0"/>
    <n v="0"/>
    <n v="2000"/>
    <n v="0"/>
    <n v="0"/>
    <n v="0"/>
    <n v="0"/>
    <n v="0"/>
    <n v="0"/>
    <n v="0"/>
    <n v="-2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x v="0"/>
    <n v="7000"/>
    <n v="0"/>
    <n v="0"/>
    <n v="0"/>
    <n v="0"/>
    <n v="0"/>
    <n v="0"/>
    <n v="0"/>
    <n v="7000"/>
    <n v="0"/>
    <n v="0"/>
    <n v="0"/>
    <n v="0"/>
    <m/>
    <m/>
    <m/>
    <m/>
    <m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x v="0"/>
    <n v="7200"/>
    <n v="0"/>
    <n v="0"/>
    <n v="0"/>
    <n v="0"/>
    <n v="0"/>
    <n v="0"/>
    <n v="0"/>
    <n v="0"/>
    <n v="0"/>
    <n v="0"/>
    <n v="0"/>
    <n v="7200"/>
    <m/>
    <m/>
    <m/>
    <m/>
    <m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x v="0"/>
    <n v="8000"/>
    <n v="0"/>
    <n v="0"/>
    <n v="0"/>
    <n v="0"/>
    <n v="0"/>
    <n v="8000"/>
    <n v="0"/>
    <n v="0"/>
    <n v="0"/>
    <n v="0"/>
    <n v="0"/>
    <n v="0"/>
    <m/>
    <m/>
    <m/>
    <m/>
    <m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x v="0"/>
    <n v="7000"/>
    <n v="0"/>
    <n v="0"/>
    <n v="0"/>
    <n v="0"/>
    <n v="0"/>
    <n v="0"/>
    <n v="0"/>
    <n v="0"/>
    <n v="7000"/>
    <n v="0"/>
    <n v="0"/>
    <n v="0"/>
    <m/>
    <m/>
    <m/>
    <m/>
    <m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x v="0"/>
    <n v="7000"/>
    <n v="0"/>
    <n v="0"/>
    <n v="0"/>
    <n v="0"/>
    <n v="0"/>
    <n v="0"/>
    <n v="0"/>
    <n v="0"/>
    <n v="0"/>
    <n v="0"/>
    <n v="7000"/>
    <n v="0"/>
    <m/>
    <m/>
    <m/>
    <m/>
    <m/>
    <n v="-3209.95"/>
    <m/>
    <m/>
    <n v="3790.05"/>
    <m/>
    <m/>
    <n v="0"/>
    <n v="0"/>
    <n v="0"/>
    <n v="0"/>
    <n v="0"/>
    <n v="0"/>
    <n v="0"/>
    <n v="0"/>
    <n v="3790.05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x v="0"/>
    <n v="2000"/>
    <n v="0"/>
    <n v="0"/>
    <n v="0"/>
    <n v="0"/>
    <n v="0"/>
    <n v="0"/>
    <n v="0"/>
    <n v="0"/>
    <n v="0"/>
    <n v="0"/>
    <n v="0"/>
    <n v="2000"/>
    <m/>
    <m/>
    <m/>
    <m/>
    <m/>
    <m/>
    <m/>
    <m/>
    <n v="2000"/>
    <m/>
    <m/>
    <n v="0"/>
    <n v="0"/>
    <n v="0"/>
    <n v="0"/>
    <n v="0"/>
    <n v="0"/>
    <n v="0"/>
    <n v="0"/>
    <n v="0"/>
    <n v="2000"/>
    <m/>
    <n v="0"/>
    <n v="0"/>
    <n v="667.42000000000007"/>
    <n v="0"/>
    <n v="0"/>
    <n v="0"/>
    <n v="0"/>
    <n v="0"/>
    <n v="0"/>
    <n v="0"/>
    <n v="0"/>
    <n v="0"/>
    <n v="0"/>
    <n v="0"/>
    <n v="0"/>
    <n v="0"/>
    <n v="250"/>
    <n v="0"/>
    <n v="0"/>
    <n v="417.42"/>
    <n v="280"/>
    <n v="417.42"/>
    <n v="0"/>
    <n v="30"/>
    <n v="250"/>
    <n v="250"/>
    <n v="250"/>
    <n v="30"/>
    <n v="0"/>
    <n v="667.42000000000007"/>
    <n v="667.42000000000007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x v="0"/>
    <n v="47050"/>
    <n v="15000"/>
    <n v="15000"/>
    <n v="17050"/>
    <n v="0"/>
    <n v="0"/>
    <n v="0"/>
    <n v="0"/>
    <n v="0"/>
    <n v="0"/>
    <n v="0"/>
    <n v="0"/>
    <n v="0"/>
    <m/>
    <m/>
    <m/>
    <m/>
    <m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4960"/>
    <n v="0"/>
    <n v="0"/>
    <n v="27647.98"/>
    <n v="27647.98"/>
    <n v="27647.98"/>
    <n v="0"/>
    <n v="0"/>
    <n v="0"/>
    <n v="14442.02"/>
    <n v="0"/>
    <n v="0"/>
    <n v="0"/>
    <n v="0"/>
    <n v="0"/>
    <n v="0"/>
    <n v="0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x v="0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m/>
    <m/>
    <m/>
    <m/>
    <m/>
    <n v="195000"/>
    <m/>
    <m/>
    <n v="0"/>
    <m/>
    <n v="0"/>
    <n v="0"/>
    <n v="32060.02"/>
    <n v="21900"/>
    <n v="41900"/>
    <n v="31900"/>
    <n v="31900"/>
    <n v="35339.980000000003"/>
    <m/>
    <n v="0"/>
    <n v="0"/>
    <n v="5339.98"/>
    <n v="0"/>
    <n v="0"/>
    <n v="0"/>
    <n v="0"/>
    <n v="0"/>
    <n v="0"/>
    <n v="0"/>
    <n v="0"/>
    <n v="0"/>
    <n v="0"/>
    <n v="0"/>
    <n v="0"/>
    <n v="0"/>
    <n v="195000"/>
    <n v="0"/>
    <n v="0"/>
    <n v="0"/>
    <n v="195000"/>
    <n v="0"/>
    <n v="0"/>
    <n v="0"/>
    <n v="195000"/>
    <n v="195000"/>
    <n v="5339.98"/>
    <n v="0"/>
    <n v="0"/>
    <n v="5339.98"/>
    <n v="195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m/>
    <m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7083.309999999998"/>
    <n v="-1186.5599999999977"/>
    <n v="0"/>
    <n v="0"/>
    <n v="0"/>
    <n v="0"/>
    <n v="63855"/>
    <n v="4611.75"/>
    <n v="4611.75"/>
    <n v="4611.75"/>
    <n v="0"/>
    <n v="0"/>
    <n v="5321.25"/>
    <n v="5321.25"/>
    <n v="5321.25"/>
    <n v="0"/>
    <n v="0"/>
    <n v="0"/>
    <n v="5321.25"/>
    <n v="0"/>
    <n v="0"/>
    <n v="5321.25"/>
    <n v="0"/>
    <n v="0"/>
    <n v="0"/>
    <n v="5321.25"/>
    <n v="0"/>
    <n v="0"/>
    <n v="25896.75"/>
    <n v="6385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x v="0"/>
    <n v="1710"/>
    <n v="227.7"/>
    <n v="227.7"/>
    <n v="227.7"/>
    <n v="227.7"/>
    <n v="227.7"/>
    <n v="227.7"/>
    <n v="343.8"/>
    <n v="0"/>
    <n v="0"/>
    <n v="0"/>
    <n v="0"/>
    <n v="0"/>
    <m/>
    <m/>
    <m/>
    <m/>
    <m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1138.5"/>
    <n v="227.70000000000005"/>
    <n v="227.7"/>
    <n v="227.7"/>
    <n v="227.7"/>
    <n v="49.99"/>
    <n v="1660.01"/>
    <n v="227.7"/>
    <n v="227.7"/>
    <n v="227.7"/>
    <n v="49.99"/>
    <n v="0"/>
    <n v="227.7"/>
    <n v="227.7"/>
    <n v="227.7"/>
    <n v="49.99"/>
    <n v="0"/>
    <n v="0"/>
    <n v="227.7"/>
    <n v="49.99"/>
    <n v="0"/>
    <n v="227.7"/>
    <n v="49.99"/>
    <n v="0"/>
    <n v="0"/>
    <n v="227.7"/>
    <n v="49.99"/>
    <n v="0"/>
    <n v="1366.2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x v="0"/>
    <n v="1400"/>
    <n v="0"/>
    <n v="0"/>
    <n v="0"/>
    <n v="0"/>
    <n v="0"/>
    <n v="0"/>
    <n v="227.7"/>
    <n v="227.7"/>
    <n v="227.7"/>
    <n v="227.7"/>
    <n v="227.7"/>
    <n v="261.5"/>
    <m/>
    <m/>
    <m/>
    <m/>
    <m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x v="0"/>
    <n v="2000"/>
    <n v="0"/>
    <n v="0"/>
    <n v="0"/>
    <n v="0"/>
    <n v="0"/>
    <n v="0"/>
    <n v="0"/>
    <n v="0"/>
    <n v="0"/>
    <n v="0"/>
    <n v="0"/>
    <n v="2000"/>
    <n v="-2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x v="0"/>
    <n v="25000"/>
    <n v="0"/>
    <n v="0"/>
    <n v="0"/>
    <n v="0"/>
    <n v="0"/>
    <n v="0"/>
    <n v="25000"/>
    <n v="0"/>
    <n v="0"/>
    <n v="0"/>
    <n v="0"/>
    <n v="0"/>
    <n v="-2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m/>
    <m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10133.300000000001"/>
    <n v="2026.6599999999999"/>
    <n v="2026.66"/>
    <n v="2026.66"/>
    <n v="2026.66"/>
    <n v="306.08"/>
    <n v="18693.919999999998"/>
    <n v="2026.66"/>
    <n v="2026.66"/>
    <n v="2026.66"/>
    <n v="306.08"/>
    <n v="0"/>
    <n v="2026.66"/>
    <n v="2026.66"/>
    <n v="2026.66"/>
    <n v="306.08"/>
    <n v="0"/>
    <n v="0"/>
    <n v="2026.66"/>
    <n v="306.08"/>
    <n v="0"/>
    <n v="2026.66"/>
    <n v="306.08"/>
    <n v="0"/>
    <n v="0"/>
    <n v="2026.66"/>
    <n v="306.08"/>
    <n v="0"/>
    <n v="12159.960000000001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x v="0"/>
    <n v="12500"/>
    <n v="0"/>
    <n v="0"/>
    <n v="0"/>
    <n v="0"/>
    <n v="0"/>
    <n v="0"/>
    <n v="0"/>
    <n v="2500"/>
    <n v="2500"/>
    <n v="2500"/>
    <n v="2500"/>
    <n v="2500"/>
    <m/>
    <m/>
    <m/>
    <m/>
    <m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x v="0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x v="0"/>
    <n v="0"/>
    <m/>
    <m/>
    <m/>
    <m/>
    <m/>
    <m/>
    <m/>
    <m/>
    <m/>
    <m/>
    <m/>
    <m/>
    <m/>
    <m/>
    <n v="1600"/>
    <m/>
    <m/>
    <m/>
    <m/>
    <m/>
    <n v="1600"/>
    <m/>
    <m/>
    <m/>
    <m/>
    <m/>
    <n v="1600"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x v="0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x v="0"/>
    <n v="2000"/>
    <n v="0"/>
    <n v="0"/>
    <n v="0"/>
    <n v="0"/>
    <n v="0"/>
    <n v="0"/>
    <n v="0"/>
    <n v="0"/>
    <n v="0"/>
    <n v="2000"/>
    <n v="0"/>
    <n v="0"/>
    <m/>
    <m/>
    <m/>
    <m/>
    <m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x v="0"/>
    <n v="1000"/>
    <n v="0"/>
    <n v="0"/>
    <n v="0"/>
    <n v="0"/>
    <n v="0"/>
    <n v="0"/>
    <n v="0"/>
    <n v="0"/>
    <n v="0"/>
    <n v="1000"/>
    <n v="0"/>
    <n v="0"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x v="0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x v="0"/>
    <n v="1100"/>
    <n v="0"/>
    <n v="0"/>
    <n v="0"/>
    <n v="0"/>
    <n v="0"/>
    <n v="0"/>
    <n v="0"/>
    <n v="0"/>
    <n v="0"/>
    <n v="0"/>
    <n v="1100"/>
    <n v="0"/>
    <m/>
    <m/>
    <m/>
    <m/>
    <m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x v="0"/>
    <n v="1000"/>
    <n v="0"/>
    <n v="0"/>
    <n v="0"/>
    <n v="0"/>
    <n v="0"/>
    <n v="0"/>
    <n v="0"/>
    <n v="0"/>
    <n v="0"/>
    <n v="0"/>
    <n v="1000"/>
    <n v="0"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x v="0"/>
    <n v="10000"/>
    <n v="0"/>
    <n v="0"/>
    <n v="0"/>
    <n v="0"/>
    <n v="0"/>
    <n v="0"/>
    <n v="0"/>
    <n v="0"/>
    <n v="0"/>
    <n v="0"/>
    <n v="10000"/>
    <n v="0"/>
    <m/>
    <m/>
    <m/>
    <m/>
    <m/>
    <n v="-1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x v="0"/>
    <n v="1000"/>
    <n v="0"/>
    <n v="0"/>
    <n v="0"/>
    <n v="0"/>
    <n v="0"/>
    <n v="0"/>
    <n v="0"/>
    <n v="0"/>
    <n v="1000"/>
    <n v="0"/>
    <n v="0"/>
    <n v="0"/>
    <m/>
    <m/>
    <n v="-1000"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x v="0"/>
    <n v="6000"/>
    <n v="0"/>
    <n v="0"/>
    <n v="0"/>
    <n v="0"/>
    <n v="0"/>
    <n v="0"/>
    <n v="6000"/>
    <n v="0"/>
    <n v="0"/>
    <n v="0"/>
    <n v="0"/>
    <n v="0"/>
    <n v="-1000"/>
    <m/>
    <m/>
    <m/>
    <m/>
    <m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4004.19"/>
    <n v="0"/>
    <n v="0"/>
    <n v="0"/>
    <n v="4004.19"/>
    <n v="0"/>
    <n v="0"/>
    <n v="4004.19"/>
    <n v="0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x v="0"/>
    <n v="900"/>
    <n v="0"/>
    <n v="0"/>
    <n v="0"/>
    <n v="0"/>
    <n v="0"/>
    <n v="0"/>
    <n v="900"/>
    <n v="0"/>
    <n v="0"/>
    <n v="0"/>
    <n v="0"/>
    <n v="0"/>
    <m/>
    <m/>
    <m/>
    <m/>
    <m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600.63"/>
    <n v="0"/>
    <n v="0"/>
    <n v="0"/>
    <n v="600.63"/>
    <n v="0"/>
    <n v="0"/>
    <n v="600.63"/>
    <n v="0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  <m/>
    <m/>
    <n v="-990"/>
    <m/>
    <m/>
    <m/>
    <m/>
    <m/>
    <n v="5610"/>
    <m/>
    <m/>
    <n v="0"/>
    <n v="0"/>
    <n v="0"/>
    <n v="0"/>
    <n v="5610"/>
    <n v="0"/>
    <n v="0"/>
    <n v="0"/>
    <n v="0"/>
    <n v="0"/>
    <m/>
    <n v="0"/>
    <n v="0"/>
    <n v="559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97.07"/>
    <n v="5597.07"/>
    <n v="5597.07"/>
    <n v="0"/>
    <n v="0"/>
    <n v="5597.07"/>
    <n v="5597.0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x v="0"/>
    <n v="0"/>
    <m/>
    <m/>
    <m/>
    <m/>
    <m/>
    <m/>
    <m/>
    <m/>
    <m/>
    <m/>
    <m/>
    <m/>
    <m/>
    <m/>
    <n v="990"/>
    <m/>
    <m/>
    <m/>
    <m/>
    <m/>
    <n v="990"/>
    <m/>
    <m/>
    <m/>
    <m/>
    <m/>
    <n v="990"/>
    <m/>
    <m/>
    <m/>
    <m/>
    <m/>
    <m/>
    <m/>
    <n v="0"/>
    <n v="0"/>
    <n v="839.56"/>
    <m/>
    <m/>
    <n v="0"/>
    <m/>
    <m/>
    <m/>
    <m/>
    <m/>
    <m/>
    <m/>
    <m/>
    <n v="0"/>
    <n v="0"/>
    <m/>
    <m/>
    <n v="0"/>
    <n v="0"/>
    <n v="0"/>
    <n v="0"/>
    <n v="0"/>
    <n v="0"/>
    <n v="839.56"/>
    <n v="839.56"/>
    <n v="839.56"/>
    <n v="0"/>
    <n v="0"/>
    <n v="839.56"/>
    <n v="839.5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x v="0"/>
    <n v="283"/>
    <n v="0"/>
    <n v="0"/>
    <n v="0"/>
    <n v="0"/>
    <n v="0"/>
    <n v="0"/>
    <n v="0"/>
    <n v="283"/>
    <n v="0"/>
    <n v="0"/>
    <n v="0"/>
    <n v="0"/>
    <m/>
    <m/>
    <m/>
    <m/>
    <m/>
    <m/>
    <m/>
    <m/>
    <n v="283"/>
    <m/>
    <m/>
    <n v="0"/>
    <n v="0"/>
    <n v="0"/>
    <n v="0"/>
    <n v="0"/>
    <n v="283"/>
    <n v="0"/>
    <n v="0"/>
    <n v="0"/>
    <n v="0"/>
    <m/>
    <n v="0"/>
    <n v="0"/>
    <n v="235.75"/>
    <n v="0"/>
    <n v="0"/>
    <n v="0"/>
    <n v="283"/>
    <n v="0"/>
    <n v="80.5"/>
    <n v="80.5"/>
    <n v="80.5"/>
    <n v="0"/>
    <n v="283"/>
    <n v="40.25"/>
    <n v="40.25"/>
    <n v="40.25"/>
    <n v="0"/>
    <n v="0"/>
    <n v="0"/>
    <n v="40.25"/>
    <n v="0"/>
    <n v="0"/>
    <n v="40.25"/>
    <n v="0"/>
    <n v="0"/>
    <n v="0"/>
    <n v="34.5"/>
    <n v="0"/>
    <n v="0"/>
    <n v="235.75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7-31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x v="0"/>
    <n v="96030"/>
    <n v="16005"/>
    <n v="16005"/>
    <n v="16005"/>
    <n v="16005"/>
    <n v="16005"/>
    <n v="16005"/>
    <m/>
    <m/>
    <m/>
    <m/>
    <m/>
    <m/>
    <m/>
    <n v="-19050"/>
    <m/>
    <m/>
    <m/>
    <m/>
    <m/>
    <m/>
    <n v="76980"/>
    <m/>
    <n v="12830"/>
    <n v="12830"/>
    <n v="12830"/>
    <n v="12830"/>
    <n v="12830"/>
    <n v="12830"/>
    <m/>
    <m/>
    <m/>
    <m/>
    <m/>
    <m/>
    <n v="0"/>
    <n v="51320"/>
    <n v="12830"/>
    <n v="0"/>
    <n v="0"/>
    <n v="0"/>
    <n v="0"/>
    <n v="76980"/>
    <n v="12830"/>
    <n v="12830"/>
    <n v="12830"/>
    <n v="0"/>
    <n v="0"/>
    <n v="12830"/>
    <n v="12830"/>
    <n v="12830"/>
    <n v="0"/>
    <n v="0"/>
    <n v="0"/>
    <n v="12830"/>
    <n v="0"/>
    <n v="0"/>
    <n v="12830"/>
    <n v="0"/>
    <n v="0"/>
    <n v="0"/>
    <n v="12830"/>
    <n v="0"/>
    <n v="0"/>
    <n v="6415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x v="0"/>
    <n v="76980"/>
    <m/>
    <m/>
    <m/>
    <m/>
    <m/>
    <m/>
    <n v="12830"/>
    <n v="12830"/>
    <n v="12830"/>
    <n v="12830"/>
    <n v="12830"/>
    <n v="12830"/>
    <m/>
    <m/>
    <n v="48020"/>
    <m/>
    <m/>
    <n v="2173"/>
    <m/>
    <m/>
    <n v="127173"/>
    <m/>
    <m/>
    <m/>
    <m/>
    <m/>
    <m/>
    <m/>
    <m/>
    <m/>
    <m/>
    <m/>
    <n v="12717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173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x v="0"/>
    <n v="0"/>
    <m/>
    <m/>
    <m/>
    <m/>
    <m/>
    <m/>
    <m/>
    <m/>
    <m/>
    <m/>
    <m/>
    <m/>
    <n v="3500"/>
    <m/>
    <m/>
    <m/>
    <m/>
    <m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x v="0"/>
    <n v="1026"/>
    <n v="270"/>
    <n v="270"/>
    <n v="270"/>
    <n v="216"/>
    <n v="0"/>
    <n v="0"/>
    <n v="0"/>
    <n v="0"/>
    <n v="0"/>
    <n v="0"/>
    <n v="0"/>
    <n v="0"/>
    <m/>
    <m/>
    <m/>
    <m/>
    <m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0"/>
    <n v="0"/>
    <n v="0"/>
    <n v="0"/>
    <n v="0"/>
    <n v="1026"/>
    <n v="540"/>
    <n v="540"/>
    <n v="540"/>
    <n v="0"/>
    <n v="0"/>
    <n v="270"/>
    <n v="270"/>
    <n v="270"/>
    <n v="0"/>
    <n v="0"/>
    <n v="0"/>
    <n v="0"/>
    <n v="0"/>
    <n v="0"/>
    <n v="216"/>
    <n v="0"/>
    <n v="0"/>
    <n v="0"/>
    <n v="0"/>
    <n v="0"/>
    <n v="0"/>
    <n v="1026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x v="0"/>
    <n v="3500"/>
    <n v="0"/>
    <n v="0"/>
    <n v="0"/>
    <n v="0"/>
    <n v="400"/>
    <n v="400"/>
    <n v="400"/>
    <n v="400"/>
    <n v="400"/>
    <n v="400"/>
    <n v="400"/>
    <n v="700"/>
    <m/>
    <m/>
    <m/>
    <n v="-1236"/>
    <m/>
    <m/>
    <m/>
    <m/>
    <n v="2264"/>
    <m/>
    <m/>
    <n v="0"/>
    <n v="0"/>
    <n v="117"/>
    <n v="270"/>
    <n v="270"/>
    <n v="270"/>
    <n v="270"/>
    <n v="270"/>
    <n v="270"/>
    <n v="270"/>
    <n v="257"/>
    <n v="0"/>
    <n v="117"/>
    <n v="27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n v="0"/>
    <n v="2007"/>
    <n v="2007"/>
    <n v="387"/>
    <n v="0"/>
    <n v="0"/>
    <n v="387"/>
    <n v="2007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x v="0"/>
    <n v="50000"/>
    <n v="0"/>
    <n v="0"/>
    <n v="0"/>
    <n v="0"/>
    <n v="0"/>
    <n v="0"/>
    <n v="0"/>
    <n v="50000"/>
    <n v="0"/>
    <n v="0"/>
    <n v="0"/>
    <n v="0"/>
    <n v="-5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x v="0"/>
    <n v="0"/>
    <m/>
    <m/>
    <m/>
    <m/>
    <m/>
    <m/>
    <m/>
    <m/>
    <m/>
    <m/>
    <m/>
    <m/>
    <n v="9259.93"/>
    <m/>
    <m/>
    <m/>
    <m/>
    <n v="-9259.93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x v="0"/>
    <n v="0"/>
    <m/>
    <m/>
    <m/>
    <m/>
    <m/>
    <m/>
    <m/>
    <m/>
    <m/>
    <m/>
    <m/>
    <m/>
    <n v="65000"/>
    <m/>
    <n v="-25000"/>
    <m/>
    <m/>
    <m/>
    <m/>
    <m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x v="0"/>
    <n v="28000"/>
    <n v="0"/>
    <n v="0"/>
    <n v="0"/>
    <n v="0"/>
    <n v="0"/>
    <n v="0"/>
    <n v="0"/>
    <n v="0"/>
    <n v="0"/>
    <n v="0"/>
    <n v="28000"/>
    <n v="0"/>
    <n v="-28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x v="0"/>
    <n v="8000"/>
    <n v="0"/>
    <n v="0"/>
    <n v="0"/>
    <n v="0"/>
    <n v="0"/>
    <n v="0"/>
    <n v="0"/>
    <n v="0"/>
    <n v="0"/>
    <n v="0"/>
    <n v="8000"/>
    <n v="0"/>
    <n v="-8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x v="0"/>
    <n v="0"/>
    <m/>
    <m/>
    <m/>
    <m/>
    <m/>
    <m/>
    <m/>
    <m/>
    <m/>
    <m/>
    <m/>
    <m/>
    <n v="26000"/>
    <m/>
    <n v="-26000"/>
    <m/>
    <m/>
    <m/>
    <m/>
    <m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x v="0"/>
    <n v="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x v="0"/>
    <n v="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m/>
    <m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x v="0"/>
    <n v="54000"/>
    <n v="4500"/>
    <n v="4500"/>
    <n v="4500"/>
    <n v="4500"/>
    <n v="4500"/>
    <n v="4500"/>
    <n v="4500"/>
    <n v="4500"/>
    <n v="4500"/>
    <n v="4500"/>
    <n v="4500"/>
    <n v="4500"/>
    <m/>
    <m/>
    <m/>
    <m/>
    <m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22500"/>
    <n v="3657.8099999999977"/>
    <n v="0"/>
    <n v="0"/>
    <n v="0"/>
    <n v="19523.599999999999"/>
    <n v="0"/>
    <n v="0"/>
    <n v="0"/>
    <n v="0"/>
    <n v="27131.21"/>
    <n v="0"/>
    <n v="20616.3"/>
    <n v="20616.3"/>
    <n v="20616.3"/>
    <n v="8562.66"/>
    <n v="20813.93"/>
    <n v="20813.93"/>
    <n v="0"/>
    <n v="9637.91"/>
    <n v="0"/>
    <n v="0"/>
    <n v="7180.71"/>
    <n v="2457.1999999999998"/>
    <n v="2457.1999999999998"/>
    <n v="5541.51"/>
    <n v="14584.05"/>
    <n v="3084.31"/>
    <n v="26157.809999999998"/>
    <n v="26355.440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m/>
    <m/>
    <m/>
    <m/>
    <m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0"/>
    <n v="0"/>
    <n v="0"/>
    <n v="0"/>
    <n v="1300"/>
    <n v="520"/>
    <n v="0"/>
    <n v="52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x v="0"/>
    <n v="0"/>
    <m/>
    <m/>
    <m/>
    <m/>
    <m/>
    <m/>
    <m/>
    <m/>
    <m/>
    <m/>
    <m/>
    <m/>
    <m/>
    <m/>
    <n v="7500"/>
    <m/>
    <m/>
    <m/>
    <m/>
    <m/>
    <n v="7500"/>
    <m/>
    <m/>
    <m/>
    <m/>
    <m/>
    <m/>
    <m/>
    <n v="75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x v="0"/>
    <n v="0"/>
    <m/>
    <m/>
    <m/>
    <m/>
    <m/>
    <m/>
    <m/>
    <m/>
    <m/>
    <m/>
    <m/>
    <m/>
    <m/>
    <n v="35000"/>
    <n v="-35000"/>
    <m/>
    <m/>
    <m/>
    <m/>
    <m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áquinas de estampar o similares"/>
    <m/>
    <s v="01.01.002.071.840104.000.009"/>
    <s v="N/A"/>
    <n v="840104"/>
    <x v="0"/>
    <n v="0"/>
    <m/>
    <m/>
    <m/>
    <m/>
    <m/>
    <m/>
    <m/>
    <m/>
    <m/>
    <m/>
    <m/>
    <m/>
    <m/>
    <m/>
    <n v="15000"/>
    <m/>
    <m/>
    <m/>
    <n v="-15000"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x v="0"/>
    <n v="27795"/>
    <m/>
    <m/>
    <m/>
    <m/>
    <m/>
    <m/>
    <m/>
    <m/>
    <n v="27795"/>
    <m/>
    <m/>
    <m/>
    <m/>
    <m/>
    <n v="20980"/>
    <m/>
    <m/>
    <m/>
    <m/>
    <m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x v="0"/>
    <n v="0"/>
    <m/>
    <m/>
    <m/>
    <m/>
    <m/>
    <m/>
    <m/>
    <m/>
    <m/>
    <m/>
    <m/>
    <m/>
    <m/>
    <m/>
    <n v="7500"/>
    <m/>
    <m/>
    <m/>
    <m/>
    <m/>
    <n v="7500"/>
    <m/>
    <m/>
    <m/>
    <m/>
    <m/>
    <m/>
    <m/>
    <n v="75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840104.000.009"/>
    <s v="Promoción"/>
    <n v="840104"/>
    <x v="0"/>
    <m/>
    <m/>
    <m/>
    <m/>
    <m/>
    <m/>
    <m/>
    <m/>
    <m/>
    <m/>
    <m/>
    <m/>
    <m/>
    <m/>
    <m/>
    <m/>
    <m/>
    <m/>
    <m/>
    <n v="15000"/>
    <m/>
    <n v="15000"/>
    <m/>
    <m/>
    <m/>
    <m/>
    <m/>
    <m/>
    <m/>
    <n v="15000"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630804.000.009"/>
    <s v="Promoción"/>
    <n v="630804"/>
    <x v="0"/>
    <m/>
    <m/>
    <m/>
    <m/>
    <m/>
    <m/>
    <m/>
    <m/>
    <m/>
    <m/>
    <m/>
    <m/>
    <m/>
    <m/>
    <m/>
    <m/>
    <m/>
    <m/>
    <m/>
    <n v="5000"/>
    <m/>
    <n v="5000"/>
    <m/>
    <m/>
    <m/>
    <m/>
    <m/>
    <m/>
    <m/>
    <n v="5000"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x v="0"/>
    <n v="0"/>
    <m/>
    <m/>
    <m/>
    <m/>
    <m/>
    <m/>
    <m/>
    <m/>
    <m/>
    <m/>
    <m/>
    <m/>
    <m/>
    <m/>
    <n v="5000"/>
    <m/>
    <m/>
    <m/>
    <n v="-5000"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x v="0"/>
    <n v="0"/>
    <m/>
    <m/>
    <m/>
    <m/>
    <m/>
    <m/>
    <m/>
    <m/>
    <m/>
    <m/>
    <m/>
    <m/>
    <m/>
    <m/>
    <n v="14000"/>
    <m/>
    <m/>
    <m/>
    <m/>
    <m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m/>
    <m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x v="0"/>
    <n v="0"/>
    <m/>
    <m/>
    <m/>
    <m/>
    <m/>
    <m/>
    <m/>
    <m/>
    <m/>
    <m/>
    <m/>
    <m/>
    <m/>
    <m/>
    <n v="6000"/>
    <m/>
    <m/>
    <m/>
    <n v="6600"/>
    <m/>
    <n v="12600"/>
    <m/>
    <m/>
    <m/>
    <m/>
    <m/>
    <m/>
    <m/>
    <n v="126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m/>
    <m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x v="0"/>
    <n v="0"/>
    <m/>
    <m/>
    <m/>
    <m/>
    <m/>
    <m/>
    <m/>
    <m/>
    <m/>
    <m/>
    <m/>
    <m/>
    <m/>
    <n v="20000"/>
    <n v="-20000"/>
    <m/>
    <m/>
    <m/>
    <m/>
    <m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x v="0"/>
    <n v="0"/>
    <m/>
    <m/>
    <m/>
    <m/>
    <m/>
    <m/>
    <m/>
    <m/>
    <m/>
    <m/>
    <m/>
    <m/>
    <m/>
    <n v="25000"/>
    <n v="-25000"/>
    <m/>
    <m/>
    <m/>
    <m/>
    <m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Desarrollo"/>
    <n v="530801"/>
    <x v="0"/>
    <n v="0"/>
    <m/>
    <m/>
    <m/>
    <m/>
    <m/>
    <m/>
    <m/>
    <m/>
    <m/>
    <m/>
    <m/>
    <m/>
    <n v="14500"/>
    <m/>
    <m/>
    <m/>
    <m/>
    <m/>
    <m/>
    <m/>
    <n v="14500"/>
    <m/>
    <m/>
    <m/>
    <n v="0"/>
    <n v="0"/>
    <n v="3625"/>
    <n v="3625"/>
    <n v="72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00"/>
    <n v="0"/>
    <n v="0"/>
    <n v="0"/>
    <n v="0"/>
    <n v="0"/>
    <n v="0"/>
    <n v="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Desarrollo"/>
    <n v="530606"/>
    <x v="0"/>
    <n v="12500"/>
    <n v="2500"/>
    <n v="2500"/>
    <n v="2500"/>
    <n v="2500"/>
    <n v="2500"/>
    <m/>
    <m/>
    <m/>
    <m/>
    <m/>
    <m/>
    <m/>
    <m/>
    <m/>
    <m/>
    <m/>
    <m/>
    <m/>
    <m/>
    <m/>
    <n v="12500"/>
    <m/>
    <m/>
    <m/>
    <m/>
    <m/>
    <m/>
    <n v="2500"/>
    <n v="10000"/>
    <m/>
    <m/>
    <m/>
    <m/>
    <m/>
    <n v="0"/>
    <n v="0"/>
    <n v="0"/>
    <n v="0"/>
    <n v="0"/>
    <n v="0"/>
    <n v="12500"/>
    <n v="0"/>
    <n v="0"/>
    <n v="0"/>
    <n v="0"/>
    <n v="12500"/>
    <n v="0"/>
    <n v="0"/>
    <n v="0"/>
    <n v="0"/>
    <n v="12500"/>
    <n v="0"/>
    <n v="0"/>
    <n v="0"/>
    <n v="0"/>
    <n v="12500"/>
    <n v="0"/>
    <n v="0"/>
    <n v="0"/>
    <n v="0"/>
    <n v="0"/>
    <n v="0"/>
    <n v="0"/>
    <n v="0"/>
    <n v="125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x v="0"/>
    <n v="0"/>
    <m/>
    <m/>
    <m/>
    <m/>
    <m/>
    <m/>
    <m/>
    <m/>
    <m/>
    <m/>
    <m/>
    <m/>
    <m/>
    <n v="25000"/>
    <n v="-10000"/>
    <m/>
    <m/>
    <m/>
    <m/>
    <m/>
    <n v="15000"/>
    <m/>
    <m/>
    <m/>
    <m/>
    <m/>
    <n v="2500"/>
    <n v="2500"/>
    <n v="2500"/>
    <n v="2500"/>
    <n v="2500"/>
    <n v="2500"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15000"/>
    <n v="0"/>
    <n v="0"/>
    <n v="15000"/>
    <n v="0"/>
    <n v="0"/>
    <n v="0"/>
    <n v="1500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x v="0"/>
    <n v="0"/>
    <m/>
    <m/>
    <m/>
    <m/>
    <m/>
    <m/>
    <m/>
    <m/>
    <m/>
    <m/>
    <m/>
    <m/>
    <m/>
    <m/>
    <n v="25000"/>
    <m/>
    <m/>
    <m/>
    <m/>
    <n v="-12500"/>
    <n v="12500"/>
    <m/>
    <m/>
    <m/>
    <n v="0"/>
    <n v="0"/>
    <n v="0"/>
    <m/>
    <m/>
    <m/>
    <m/>
    <m/>
    <m/>
    <n v="12500"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1750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1-30T00:00:00"/>
    <m/>
    <m/>
    <m/>
    <m/>
    <m/>
    <m/>
    <m/>
    <m/>
    <m/>
    <m/>
    <m/>
    <m/>
    <m/>
    <s v="Contratación servicios profesionales para la estructuración del modelo de gestión asociativo de la Plaza de espectáculos Bicentenario"/>
    <m/>
    <s v="01.01.002.086.530606.000.009"/>
    <s v="Promoción"/>
    <n v="530606"/>
    <x v="0"/>
    <m/>
    <m/>
    <m/>
    <m/>
    <m/>
    <m/>
    <m/>
    <m/>
    <m/>
    <m/>
    <m/>
    <m/>
    <m/>
    <m/>
    <m/>
    <m/>
    <m/>
    <m/>
    <m/>
    <m/>
    <n v="12500"/>
    <n v="12500"/>
    <m/>
    <m/>
    <m/>
    <m/>
    <m/>
    <m/>
    <n v="2500"/>
    <n v="2500"/>
    <n v="2500"/>
    <n v="2500"/>
    <n v="2500"/>
    <m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125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x v="0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m/>
    <m/>
    <m/>
    <m/>
    <m/>
    <n v="80266.28"/>
    <m/>
    <m/>
    <m/>
    <m/>
    <n v="5394.14"/>
    <n v="24289.14"/>
    <n v="8430.5"/>
    <n v="8430.5"/>
    <n v="8430.5"/>
    <n v="8430.5"/>
    <n v="8430.5"/>
    <n v="8430.5"/>
    <m/>
    <n v="0"/>
    <n v="5394.14"/>
    <n v="12529.18"/>
    <n v="0"/>
    <n v="0"/>
    <n v="0"/>
    <n v="0"/>
    <n v="80266.28"/>
    <n v="0"/>
    <n v="0"/>
    <n v="0"/>
    <n v="0"/>
    <n v="0"/>
    <n v="0"/>
    <n v="0"/>
    <n v="0"/>
    <n v="0"/>
    <n v="0"/>
    <n v="0"/>
    <n v="5371.34"/>
    <n v="0"/>
    <n v="0"/>
    <n v="0"/>
    <n v="0"/>
    <n v="0"/>
    <n v="0"/>
    <n v="12551.98"/>
    <n v="0"/>
    <n v="0"/>
    <n v="17923.32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x v="0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m/>
    <m/>
    <m/>
    <m/>
    <m/>
    <n v="80266.28"/>
    <m/>
    <m/>
    <m/>
    <n v="3274.46"/>
    <m/>
    <n v="21149.61"/>
    <m/>
    <m/>
    <n v="20000"/>
    <m/>
    <m/>
    <n v="35842.21"/>
    <m/>
    <n v="0"/>
    <n v="3274.46"/>
    <n v="21149.61"/>
    <n v="0"/>
    <n v="0"/>
    <n v="0"/>
    <n v="0"/>
    <n v="80266.28"/>
    <n v="0"/>
    <n v="0"/>
    <n v="0"/>
    <n v="0"/>
    <n v="0"/>
    <n v="0"/>
    <n v="0"/>
    <n v="0"/>
    <n v="0"/>
    <n v="0"/>
    <n v="0"/>
    <n v="3274.46"/>
    <n v="0"/>
    <n v="0"/>
    <n v="0"/>
    <n v="0"/>
    <n v="0"/>
    <n v="0"/>
    <n v="21149.61"/>
    <n v="0"/>
    <n v="0"/>
    <n v="24424.07"/>
    <n v="80266.28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x v="0"/>
    <n v="25485.23"/>
    <n v="0"/>
    <n v="0"/>
    <n v="0"/>
    <n v="0"/>
    <n v="0"/>
    <n v="25485.23"/>
    <n v="0"/>
    <n v="0"/>
    <n v="0"/>
    <n v="0"/>
    <n v="0"/>
    <n v="0"/>
    <m/>
    <n v="-1405.33"/>
    <m/>
    <m/>
    <m/>
    <m/>
    <m/>
    <m/>
    <n v="24079.9"/>
    <m/>
    <m/>
    <n v="0"/>
    <n v="0"/>
    <n v="0"/>
    <n v="24079.9"/>
    <n v="0"/>
    <n v="0"/>
    <n v="0"/>
    <n v="0"/>
    <n v="0"/>
    <n v="0"/>
    <m/>
    <n v="0"/>
    <n v="0"/>
    <n v="13410.34"/>
    <n v="0"/>
    <n v="0"/>
    <n v="0"/>
    <n v="0"/>
    <n v="24079.9"/>
    <n v="0"/>
    <n v="0"/>
    <n v="0"/>
    <n v="0"/>
    <n v="0"/>
    <n v="0"/>
    <n v="0"/>
    <n v="0"/>
    <n v="0"/>
    <n v="0"/>
    <n v="0"/>
    <n v="713.07"/>
    <n v="0"/>
    <n v="0"/>
    <n v="0"/>
    <n v="0"/>
    <n v="0"/>
    <n v="0"/>
    <n v="12697.27"/>
    <n v="0"/>
    <n v="0"/>
    <n v="13410.34"/>
    <n v="24079.9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x v="0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x v="0"/>
    <n v="40000"/>
    <n v="0"/>
    <n v="0"/>
    <n v="0"/>
    <n v="0"/>
    <n v="0"/>
    <n v="0"/>
    <n v="15000"/>
    <n v="25000"/>
    <n v="0"/>
    <n v="0"/>
    <n v="0"/>
    <n v="0"/>
    <n v="-40000"/>
    <m/>
    <m/>
    <m/>
    <m/>
    <m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m/>
    <m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1090.8900000000001"/>
    <n v="953.8599999999999"/>
    <n v="361.1"/>
    <n v="361.1"/>
    <n v="428.83"/>
    <n v="0"/>
    <n v="3000"/>
    <n v="4.96"/>
    <n v="388.16"/>
    <n v="392.13"/>
    <n v="0"/>
    <n v="0"/>
    <n v="277.31"/>
    <n v="310.7"/>
    <n v="326.72000000000003"/>
    <n v="0"/>
    <n v="0"/>
    <n v="0"/>
    <n v="255.49"/>
    <n v="0"/>
    <n v="0"/>
    <n v="322.08999999999997"/>
    <n v="0"/>
    <n v="0"/>
    <n v="0"/>
    <n v="319.49"/>
    <n v="0"/>
    <n v="0"/>
    <n v="2044.75"/>
    <n v="3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x v="0"/>
    <n v="0"/>
    <m/>
    <m/>
    <m/>
    <m/>
    <m/>
    <m/>
    <m/>
    <m/>
    <m/>
    <m/>
    <m/>
    <m/>
    <n v="50000"/>
    <n v="-18000"/>
    <m/>
    <m/>
    <m/>
    <m/>
    <m/>
    <m/>
    <n v="32000"/>
    <m/>
    <m/>
    <m/>
    <m/>
    <m/>
    <n v="32000"/>
    <m/>
    <m/>
    <m/>
    <m/>
    <m/>
    <m/>
    <m/>
    <n v="0"/>
    <n v="0"/>
    <n v="32000"/>
    <n v="0"/>
    <n v="0"/>
    <n v="0"/>
    <n v="0"/>
    <n v="0"/>
    <n v="0"/>
    <n v="0"/>
    <n v="0"/>
    <n v="0"/>
    <n v="0"/>
    <n v="0"/>
    <n v="0"/>
    <n v="0"/>
    <n v="32000"/>
    <n v="0"/>
    <n v="0"/>
    <n v="0"/>
    <n v="32000"/>
    <n v="0"/>
    <n v="0"/>
    <n v="0"/>
    <n v="32000"/>
    <n v="0"/>
    <n v="32000"/>
    <n v="0"/>
    <n v="32000"/>
    <n v="32000"/>
    <n v="32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x v="0"/>
    <n v="0"/>
    <m/>
    <m/>
    <m/>
    <m/>
    <m/>
    <m/>
    <m/>
    <m/>
    <m/>
    <m/>
    <m/>
    <m/>
    <m/>
    <n v="10000"/>
    <m/>
    <m/>
    <m/>
    <m/>
    <m/>
    <m/>
    <n v="10000"/>
    <m/>
    <m/>
    <m/>
    <m/>
    <m/>
    <n v="10000"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10000"/>
    <n v="0"/>
    <n v="0"/>
    <n v="0"/>
    <n v="10000"/>
    <n v="0"/>
    <n v="0"/>
    <n v="10000"/>
    <n v="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m/>
    <s v="Impulso y Atracción especializada MICE para la Captación de Eventos de Gran Formato en el destino Quito 06"/>
    <m/>
    <s v="01.01.002.082.630207.000.009"/>
    <s v="MICE"/>
    <n v="630207"/>
    <x v="0"/>
    <m/>
    <m/>
    <m/>
    <m/>
    <m/>
    <m/>
    <m/>
    <m/>
    <m/>
    <m/>
    <m/>
    <m/>
    <m/>
    <m/>
    <m/>
    <m/>
    <m/>
    <n v="100000"/>
    <m/>
    <m/>
    <m/>
    <n v="100000"/>
    <m/>
    <m/>
    <m/>
    <m/>
    <m/>
    <m/>
    <m/>
    <m/>
    <m/>
    <m/>
    <m/>
    <n v="100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0-31T00:00:00"/>
    <m/>
    <m/>
    <m/>
    <m/>
    <m/>
    <m/>
    <m/>
    <m/>
    <m/>
    <m/>
    <m/>
    <m/>
    <m/>
    <s v="Impulso y Atracción especializada MICE para la Captación de Eventos de Gran Formato en el destino Quito 05"/>
    <m/>
    <s v="01.01.002.084.630207.000.009"/>
    <s v="MICE"/>
    <n v="630207"/>
    <x v="0"/>
    <m/>
    <m/>
    <m/>
    <m/>
    <m/>
    <m/>
    <m/>
    <m/>
    <m/>
    <m/>
    <m/>
    <m/>
    <m/>
    <m/>
    <m/>
    <m/>
    <m/>
    <n v="100000"/>
    <m/>
    <m/>
    <m/>
    <n v="100000"/>
    <m/>
    <m/>
    <m/>
    <m/>
    <m/>
    <m/>
    <m/>
    <m/>
    <m/>
    <n v="100000"/>
    <m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Impulso y Atracción especializada MICE para la Captación de Eventos de Gran Formato en el destino Quito 04"/>
    <m/>
    <s v="01.01.002.083.630207.000.009"/>
    <s v="MICE"/>
    <n v="630207"/>
    <x v="0"/>
    <m/>
    <m/>
    <m/>
    <m/>
    <m/>
    <m/>
    <m/>
    <m/>
    <m/>
    <m/>
    <m/>
    <m/>
    <m/>
    <m/>
    <m/>
    <m/>
    <m/>
    <n v="50000"/>
    <m/>
    <m/>
    <m/>
    <n v="50000"/>
    <m/>
    <m/>
    <m/>
    <m/>
    <m/>
    <m/>
    <m/>
    <n v="50000"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x v="0"/>
    <n v="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x v="0"/>
    <n v="0"/>
    <m/>
    <m/>
    <m/>
    <m/>
    <m/>
    <m/>
    <m/>
    <m/>
    <m/>
    <m/>
    <m/>
    <m/>
    <m/>
    <m/>
    <n v="14000"/>
    <m/>
    <m/>
    <m/>
    <m/>
    <m/>
    <n v="14000"/>
    <m/>
    <m/>
    <m/>
    <m/>
    <m/>
    <n v="14000"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13000"/>
    <n v="0"/>
    <n v="0"/>
    <n v="0"/>
    <n v="1300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Organización de eventos a clientes externos"/>
    <m/>
    <s v="01.01.002.061.530249.000.009"/>
    <s v="Promoción"/>
    <n v="530249"/>
    <x v="0"/>
    <n v="0"/>
    <m/>
    <m/>
    <m/>
    <m/>
    <m/>
    <m/>
    <m/>
    <m/>
    <m/>
    <m/>
    <m/>
    <m/>
    <m/>
    <n v="50000"/>
    <m/>
    <m/>
    <m/>
    <m/>
    <n v="-50000"/>
    <m/>
    <n v="0"/>
    <m/>
    <m/>
    <m/>
    <m/>
    <m/>
    <m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x v="0"/>
    <n v="50000"/>
    <n v="0"/>
    <n v="0"/>
    <n v="0"/>
    <n v="0"/>
    <n v="0"/>
    <n v="50000"/>
    <n v="0"/>
    <n v="0"/>
    <n v="0"/>
    <n v="0"/>
    <n v="0"/>
    <n v="0"/>
    <n v="-5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x v="0"/>
    <n v="0"/>
    <m/>
    <m/>
    <m/>
    <m/>
    <m/>
    <m/>
    <m/>
    <m/>
    <m/>
    <m/>
    <m/>
    <m/>
    <m/>
    <n v="40000"/>
    <m/>
    <m/>
    <m/>
    <m/>
    <m/>
    <m/>
    <n v="40000"/>
    <m/>
    <m/>
    <m/>
    <m/>
    <m/>
    <n v="40000"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40000"/>
    <n v="0"/>
    <n v="0"/>
    <n v="0"/>
    <n v="4000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m/>
    <m/>
    <m/>
    <n v="50000"/>
    <m/>
    <n v="100000"/>
    <m/>
    <n v="12208.1"/>
    <n v="5860.59"/>
    <n v="5840.31"/>
    <n v="4442.68"/>
    <n v="3092.61"/>
    <n v="3092.61"/>
    <n v="3092.61"/>
    <n v="3092.61"/>
    <n v="3092.61"/>
    <n v="3092.61"/>
    <n v="53092.66"/>
    <m/>
    <n v="0"/>
    <n v="28351.680000000004"/>
    <n v="6253.6799999999967"/>
    <n v="0"/>
    <n v="0"/>
    <n v="0"/>
    <n v="50000"/>
    <n v="0"/>
    <n v="12208.1"/>
    <n v="12208.1"/>
    <n v="12208.1"/>
    <n v="37791.9"/>
    <n v="12208.1"/>
    <n v="5979.59"/>
    <n v="5860.59"/>
    <n v="5860.59"/>
    <n v="31812.3"/>
    <n v="5979.6"/>
    <n v="5979.6"/>
    <n v="5840.31"/>
    <n v="25893.99"/>
    <n v="5918.31"/>
    <n v="4442.68"/>
    <n v="21648.31"/>
    <n v="4245.68"/>
    <n v="4245.68"/>
    <n v="6253.68"/>
    <n v="15394.63"/>
    <n v="6253.68"/>
    <n v="34605.360000000001"/>
    <n v="34605.370000000003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x v="0"/>
    <n v="60000"/>
    <n v="0"/>
    <n v="0"/>
    <n v="0"/>
    <n v="0"/>
    <n v="0"/>
    <n v="0"/>
    <n v="0"/>
    <n v="0"/>
    <n v="0"/>
    <n v="0"/>
    <n v="0"/>
    <n v="60000"/>
    <m/>
    <n v="-60000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Posicionamiento de marca turística en Festival Musical"/>
    <m/>
    <s v="02.01.001.075.730207.000.002"/>
    <s v="Promoción"/>
    <n v="730207"/>
    <x v="1"/>
    <m/>
    <m/>
    <m/>
    <m/>
    <m/>
    <m/>
    <m/>
    <m/>
    <m/>
    <m/>
    <m/>
    <m/>
    <m/>
    <m/>
    <m/>
    <m/>
    <m/>
    <m/>
    <n v="300000"/>
    <m/>
    <m/>
    <n v="300000"/>
    <m/>
    <m/>
    <m/>
    <m/>
    <m/>
    <m/>
    <m/>
    <m/>
    <m/>
    <m/>
    <m/>
    <n v="300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Elaboración de estudios para el desarrollo de una Arena de Eventos en el DMQ"/>
    <d v="2026-02-01T00:00:00"/>
    <d v="2026-08-31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x v="1"/>
    <n v="200000"/>
    <n v="0"/>
    <n v="0"/>
    <n v="200000"/>
    <n v="0"/>
    <n v="0"/>
    <n v="0"/>
    <n v="0"/>
    <n v="0"/>
    <n v="0"/>
    <n v="0"/>
    <n v="0"/>
    <n v="0"/>
    <n v="42000"/>
    <m/>
    <m/>
    <m/>
    <m/>
    <m/>
    <m/>
    <m/>
    <n v="242000"/>
    <m/>
    <n v="72600"/>
    <m/>
    <m/>
    <n v="0"/>
    <n v="0"/>
    <n v="0"/>
    <n v="169400"/>
    <n v="0"/>
    <n v="0"/>
    <n v="0"/>
    <n v="0"/>
    <m/>
    <n v="0"/>
    <n v="72600"/>
    <n v="84700"/>
    <n v="0"/>
    <n v="0"/>
    <n v="0"/>
    <n v="169400"/>
    <n v="0"/>
    <n v="72600"/>
    <n v="72600"/>
    <n v="72600"/>
    <n v="0"/>
    <n v="242000"/>
    <n v="0"/>
    <n v="0"/>
    <n v="0"/>
    <n v="0"/>
    <n v="0"/>
    <n v="0"/>
    <n v="0"/>
    <n v="0"/>
    <n v="0"/>
    <n v="0"/>
    <n v="0"/>
    <n v="0"/>
    <n v="0"/>
    <n v="84700"/>
    <n v="0"/>
    <n v="0"/>
    <n v="157300"/>
    <n v="242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6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x v="1"/>
    <n v="302000"/>
    <n v="0"/>
    <n v="0"/>
    <n v="0"/>
    <n v="0"/>
    <n v="0"/>
    <n v="0"/>
    <n v="151000"/>
    <n v="0"/>
    <n v="0"/>
    <n v="0"/>
    <n v="0"/>
    <n v="151000"/>
    <n v="-67200"/>
    <m/>
    <m/>
    <m/>
    <m/>
    <m/>
    <m/>
    <m/>
    <n v="234800"/>
    <m/>
    <m/>
    <n v="0"/>
    <n v="0"/>
    <n v="0"/>
    <n v="92400"/>
    <n v="0"/>
    <n v="0"/>
    <n v="0"/>
    <n v="0"/>
    <n v="92400"/>
    <n v="50000"/>
    <m/>
    <n v="0"/>
    <n v="0"/>
    <n v="92400"/>
    <n v="0"/>
    <n v="0"/>
    <n v="0"/>
    <n v="234800"/>
    <n v="0"/>
    <n v="0"/>
    <n v="0"/>
    <n v="0"/>
    <n v="234800"/>
    <n v="0"/>
    <n v="0"/>
    <n v="0"/>
    <n v="0"/>
    <n v="234800"/>
    <n v="0"/>
    <n v="0"/>
    <n v="0"/>
    <n v="234800"/>
    <n v="0"/>
    <n v="92400"/>
    <n v="0"/>
    <n v="234800"/>
    <n v="234800"/>
    <n v="0"/>
    <n v="0"/>
    <n v="0"/>
    <n v="92400"/>
    <n v="2348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4-01T00:00:00"/>
    <d v="2026-08-31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x v="1"/>
    <n v="140000"/>
    <n v="0"/>
    <n v="0"/>
    <n v="0"/>
    <n v="0"/>
    <n v="0"/>
    <n v="0"/>
    <n v="0"/>
    <n v="50000"/>
    <n v="50000"/>
    <n v="40000"/>
    <n v="0"/>
    <n v="0"/>
    <n v="7000"/>
    <m/>
    <n v="-12000"/>
    <m/>
    <m/>
    <m/>
    <m/>
    <m/>
    <n v="135000"/>
    <m/>
    <m/>
    <n v="0"/>
    <n v="51570"/>
    <n v="0"/>
    <n v="22900"/>
    <n v="0"/>
    <n v="60530"/>
    <n v="0"/>
    <m/>
    <n v="0"/>
    <n v="0"/>
    <m/>
    <n v="0"/>
    <n v="51570"/>
    <n v="22900"/>
    <n v="0"/>
    <n v="0"/>
    <n v="0"/>
    <n v="146595"/>
    <n v="0"/>
    <n v="0"/>
    <n v="0"/>
    <n v="0"/>
    <n v="146595"/>
    <n v="0"/>
    <n v="0"/>
    <n v="0"/>
    <n v="0"/>
    <n v="146595"/>
    <n v="0"/>
    <n v="0"/>
    <n v="51570"/>
    <n v="0"/>
    <n v="135000"/>
    <n v="0"/>
    <n v="0"/>
    <n v="0"/>
    <n v="0"/>
    <n v="22900"/>
    <n v="0"/>
    <n v="0"/>
    <n v="74470"/>
    <n v="135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x v="0"/>
    <n v="100000"/>
    <n v="0"/>
    <n v="0"/>
    <n v="20000"/>
    <n v="0"/>
    <n v="50000"/>
    <n v="30000"/>
    <n v="0"/>
    <n v="0"/>
    <n v="0"/>
    <n v="0"/>
    <n v="0"/>
    <n v="0"/>
    <m/>
    <m/>
    <m/>
    <m/>
    <m/>
    <m/>
    <m/>
    <m/>
    <n v="100000"/>
    <m/>
    <m/>
    <n v="0"/>
    <n v="51471.62"/>
    <n v="0"/>
    <n v="0"/>
    <n v="48528.38"/>
    <n v="0"/>
    <n v="0"/>
    <n v="0"/>
    <n v="0"/>
    <n v="0"/>
    <m/>
    <n v="0"/>
    <n v="51471.62"/>
    <n v="0"/>
    <n v="0"/>
    <n v="0"/>
    <n v="0"/>
    <n v="100000"/>
    <n v="0"/>
    <n v="0"/>
    <n v="0"/>
    <n v="0"/>
    <n v="100000"/>
    <n v="0"/>
    <n v="0"/>
    <n v="0"/>
    <n v="0"/>
    <n v="100000"/>
    <n v="0"/>
    <n v="0"/>
    <n v="51471.62"/>
    <n v="0"/>
    <n v="100000"/>
    <n v="0"/>
    <n v="0"/>
    <n v="0"/>
    <n v="0"/>
    <n v="0"/>
    <n v="0"/>
    <n v="0"/>
    <n v="51471.62"/>
    <n v="10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x v="0"/>
    <n v="10000"/>
    <n v="0"/>
    <n v="0"/>
    <n v="5000"/>
    <n v="5000"/>
    <n v="0"/>
    <n v="0"/>
    <n v="0"/>
    <n v="0"/>
    <n v="0"/>
    <n v="0"/>
    <n v="0"/>
    <n v="0"/>
    <m/>
    <m/>
    <m/>
    <m/>
    <m/>
    <m/>
    <m/>
    <m/>
    <n v="10000"/>
    <m/>
    <m/>
    <m/>
    <n v="3640.1"/>
    <n v="0"/>
    <n v="6138"/>
    <n v="221.9"/>
    <n v="0"/>
    <n v="0"/>
    <n v="0"/>
    <n v="0"/>
    <n v="0"/>
    <m/>
    <n v="0"/>
    <n v="3640.1"/>
    <n v="0"/>
    <n v="0"/>
    <n v="0"/>
    <n v="0"/>
    <n v="10000"/>
    <n v="0"/>
    <n v="0"/>
    <n v="0"/>
    <n v="0"/>
    <n v="10000"/>
    <n v="0"/>
    <n v="0"/>
    <n v="0"/>
    <n v="0"/>
    <n v="10000"/>
    <n v="0"/>
    <n v="0"/>
    <n v="3640.1"/>
    <n v="0"/>
    <n v="10000"/>
    <n v="0"/>
    <n v="0"/>
    <n v="0"/>
    <n v="0"/>
    <n v="0"/>
    <n v="0"/>
    <n v="0"/>
    <n v="3640.1"/>
    <n v="1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x v="0"/>
    <n v="67500"/>
    <n v="0"/>
    <n v="0"/>
    <n v="0"/>
    <n v="0"/>
    <n v="0"/>
    <n v="0"/>
    <n v="0"/>
    <n v="0"/>
    <n v="27500"/>
    <n v="0"/>
    <n v="0"/>
    <n v="40000"/>
    <n v="-67500"/>
    <m/>
    <m/>
    <m/>
    <n v="60000"/>
    <m/>
    <m/>
    <m/>
    <n v="60000"/>
    <m/>
    <m/>
    <n v="0"/>
    <n v="0"/>
    <n v="0"/>
    <n v="0"/>
    <n v="0"/>
    <m/>
    <m/>
    <n v="10000"/>
    <n v="10000"/>
    <n v="40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3.009"/>
    <s v="Promoción"/>
    <n v="630207"/>
    <x v="0"/>
    <n v="20000"/>
    <n v="0"/>
    <n v="0"/>
    <n v="0"/>
    <n v="0"/>
    <n v="0"/>
    <n v="0"/>
    <n v="0"/>
    <n v="0"/>
    <n v="0"/>
    <n v="0"/>
    <n v="20000"/>
    <n v="0"/>
    <n v="-20000"/>
    <m/>
    <m/>
    <m/>
    <n v="20000"/>
    <m/>
    <m/>
    <m/>
    <n v="20000"/>
    <m/>
    <m/>
    <n v="0"/>
    <n v="0"/>
    <n v="0"/>
    <n v="0"/>
    <n v="0"/>
    <n v="0"/>
    <n v="0"/>
    <n v="0"/>
    <m/>
    <n v="2000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x v="0"/>
    <n v="50000"/>
    <n v="0"/>
    <n v="0"/>
    <n v="5000"/>
    <n v="5000"/>
    <n v="5000"/>
    <n v="5000"/>
    <n v="5000"/>
    <n v="5000"/>
    <n v="5000"/>
    <n v="5000"/>
    <n v="5000"/>
    <n v="5000"/>
    <n v="-50000"/>
    <m/>
    <m/>
    <m/>
    <n v="20000"/>
    <m/>
    <m/>
    <m/>
    <n v="20000"/>
    <m/>
    <m/>
    <m/>
    <m/>
    <m/>
    <m/>
    <m/>
    <m/>
    <m/>
    <n v="5000"/>
    <n v="5000"/>
    <n v="10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x v="0"/>
    <n v="0"/>
    <m/>
    <m/>
    <m/>
    <m/>
    <m/>
    <m/>
    <m/>
    <m/>
    <m/>
    <m/>
    <m/>
    <m/>
    <m/>
    <n v="150000"/>
    <m/>
    <m/>
    <m/>
    <m/>
    <m/>
    <m/>
    <n v="150000"/>
    <m/>
    <m/>
    <m/>
    <m/>
    <m/>
    <m/>
    <m/>
    <m/>
    <m/>
    <m/>
    <m/>
    <m/>
    <n v="150000"/>
    <n v="0"/>
    <n v="0"/>
    <n v="0"/>
    <m/>
    <n v="0"/>
    <n v="0"/>
    <m/>
    <n v="0"/>
    <m/>
    <n v="0"/>
    <m/>
    <m/>
    <n v="0"/>
    <n v="0"/>
    <n v="0"/>
    <n v="0"/>
    <n v="149389.5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x v="0"/>
    <n v="0"/>
    <m/>
    <m/>
    <m/>
    <m/>
    <m/>
    <m/>
    <m/>
    <m/>
    <m/>
    <m/>
    <m/>
    <m/>
    <m/>
    <n v="88500"/>
    <m/>
    <m/>
    <m/>
    <m/>
    <m/>
    <m/>
    <n v="88500"/>
    <m/>
    <m/>
    <m/>
    <m/>
    <m/>
    <m/>
    <m/>
    <m/>
    <m/>
    <m/>
    <m/>
    <m/>
    <n v="88500"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87500"/>
    <n v="0"/>
    <n v="0"/>
    <n v="87500"/>
    <n v="0"/>
    <n v="0"/>
    <n v="0"/>
    <n v="875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x v="0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m/>
    <m/>
    <m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438975"/>
    <n v="0"/>
    <n v="0"/>
    <n v="0"/>
    <n v="438975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x v="0"/>
    <n v="125000"/>
    <n v="0"/>
    <m/>
    <m/>
    <m/>
    <n v="20025"/>
    <n v="20025"/>
    <n v="22025"/>
    <n v="28025"/>
    <n v="14875"/>
    <n v="20025"/>
    <m/>
    <m/>
    <m/>
    <m/>
    <m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125000"/>
    <n v="0"/>
    <n v="0"/>
    <n v="0"/>
    <n v="12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x v="0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m/>
    <m/>
    <m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495000"/>
    <n v="0"/>
    <n v="0"/>
    <n v="0"/>
    <n v="49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x v="0"/>
    <n v="33500"/>
    <n v="0"/>
    <n v="0"/>
    <n v="0"/>
    <n v="0"/>
    <n v="7500"/>
    <n v="0"/>
    <n v="0"/>
    <n v="7500"/>
    <n v="0"/>
    <n v="0"/>
    <n v="0"/>
    <n v="18500"/>
    <m/>
    <m/>
    <m/>
    <m/>
    <m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33500"/>
    <n v="0"/>
    <n v="0"/>
    <n v="0"/>
    <n v="335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x v="0"/>
    <n v="12500"/>
    <n v="2500"/>
    <n v="2500"/>
    <n v="2500"/>
    <n v="2500"/>
    <n v="2500"/>
    <m/>
    <m/>
    <m/>
    <m/>
    <m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2500"/>
    <n v="-2500"/>
    <n v="0"/>
    <n v="0"/>
    <n v="0"/>
    <n v="12500"/>
    <n v="0"/>
    <n v="2500"/>
    <n v="2500"/>
    <n v="2500"/>
    <n v="0"/>
    <n v="12500"/>
    <n v="5000"/>
    <n v="5000"/>
    <n v="5000"/>
    <n v="0"/>
    <n v="0"/>
    <n v="0"/>
    <n v="2500"/>
    <n v="0"/>
    <n v="0"/>
    <n v="0"/>
    <n v="0"/>
    <n v="0"/>
    <n v="0"/>
    <n v="0"/>
    <n v="0"/>
    <n v="0"/>
    <n v="1000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x v="0"/>
    <n v="117500"/>
    <m/>
    <m/>
    <m/>
    <m/>
    <m/>
    <m/>
    <n v="117500"/>
    <m/>
    <m/>
    <m/>
    <m/>
    <m/>
    <n v="-117500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x v="0"/>
    <m/>
    <m/>
    <m/>
    <m/>
    <m/>
    <m/>
    <m/>
    <m/>
    <m/>
    <m/>
    <m/>
    <m/>
    <m/>
    <m/>
    <n v="900"/>
    <m/>
    <m/>
    <m/>
    <m/>
    <m/>
    <m/>
    <n v="900"/>
    <m/>
    <m/>
    <m/>
    <n v="808.4"/>
    <m/>
    <m/>
    <m/>
    <m/>
    <m/>
    <m/>
    <m/>
    <n v="91.6"/>
    <m/>
    <n v="0"/>
    <n v="808.4"/>
    <n v="0"/>
    <m/>
    <n v="0"/>
    <n v="0"/>
    <m/>
    <n v="0"/>
    <m/>
    <n v="0"/>
    <m/>
    <m/>
    <n v="0"/>
    <n v="0"/>
    <n v="0"/>
    <n v="0"/>
    <n v="0"/>
    <n v="0"/>
    <n v="0"/>
    <n v="0"/>
    <n v="0"/>
    <n v="808.4"/>
    <n v="808.4"/>
    <n v="0"/>
    <n v="0"/>
    <n v="0"/>
    <n v="0"/>
    <n v="0"/>
    <n v="0"/>
    <n v="808.4"/>
    <n v="808.4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x v="0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n v="100"/>
    <m/>
    <m/>
    <n v="0"/>
    <n v="0"/>
    <n v="41.4"/>
    <n v="0"/>
    <n v="0"/>
    <n v="0"/>
    <n v="0"/>
    <n v="0"/>
    <n v="0"/>
    <n v="58.6"/>
    <m/>
    <n v="0"/>
    <n v="4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"/>
    <n v="41.4"/>
    <n v="41.4"/>
    <n v="0"/>
    <n v="0"/>
    <n v="41.4"/>
    <n v="41.4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x v="0"/>
    <n v="85000"/>
    <m/>
    <m/>
    <m/>
    <m/>
    <m/>
    <m/>
    <m/>
    <m/>
    <m/>
    <m/>
    <m/>
    <n v="85000"/>
    <m/>
    <m/>
    <n v="-42500"/>
    <m/>
    <m/>
    <m/>
    <m/>
    <m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00"/>
    <n v="0"/>
    <n v="0"/>
    <n v="0"/>
    <n v="4250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Auditoría CCMQ"/>
    <m/>
    <s v="01.01.002.002.630602.000.009"/>
    <s v="N/A"/>
    <n v="630602"/>
    <x v="0"/>
    <n v="6600"/>
    <s v="-"/>
    <s v="-"/>
    <s v="-"/>
    <s v="-"/>
    <n v="6600"/>
    <s v="-"/>
    <s v="-"/>
    <s v="-"/>
    <s v="-"/>
    <s v="-"/>
    <s v="-"/>
    <s v="-"/>
    <m/>
    <m/>
    <m/>
    <m/>
    <m/>
    <m/>
    <n v="-6600"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x v="0"/>
    <n v="0"/>
    <m/>
    <m/>
    <m/>
    <m/>
    <m/>
    <m/>
    <m/>
    <m/>
    <m/>
    <m/>
    <m/>
    <m/>
    <m/>
    <n v="20"/>
    <m/>
    <m/>
    <m/>
    <m/>
    <m/>
    <m/>
    <n v="20"/>
    <m/>
    <m/>
    <m/>
    <n v="4"/>
    <n v="2"/>
    <n v="2"/>
    <n v="2"/>
    <n v="2"/>
    <n v="2"/>
    <n v="2"/>
    <n v="2"/>
    <n v="2"/>
    <m/>
    <n v="0"/>
    <n v="6"/>
    <n v="-6"/>
    <m/>
    <n v="0"/>
    <n v="0"/>
    <m/>
    <n v="0"/>
    <m/>
    <n v="0"/>
    <m/>
    <m/>
    <n v="0"/>
    <n v="0"/>
    <n v="0"/>
    <n v="0"/>
    <n v="0"/>
    <n v="0"/>
    <n v="0"/>
    <n v="0"/>
    <n v="20"/>
    <n v="0"/>
    <n v="0"/>
    <n v="0"/>
    <n v="20"/>
    <n v="20"/>
    <n v="0"/>
    <n v="0"/>
    <n v="0"/>
    <n v="0"/>
    <n v="2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x v="0"/>
    <n v="51996.95"/>
    <n v="0"/>
    <n v="0"/>
    <n v="0"/>
    <n v="51996.95"/>
    <n v="0"/>
    <n v="0"/>
    <n v="0"/>
    <n v="0"/>
    <n v="0"/>
    <n v="0"/>
    <n v="0"/>
    <n v="0"/>
    <n v="-11348.45"/>
    <m/>
    <m/>
    <m/>
    <m/>
    <m/>
    <m/>
    <m/>
    <n v="40648.5"/>
    <m/>
    <m/>
    <n v="0"/>
    <m/>
    <n v="40648.5"/>
    <n v="0"/>
    <n v="0"/>
    <n v="0"/>
    <n v="0"/>
    <n v="0"/>
    <n v="0"/>
    <n v="0"/>
    <m/>
    <n v="0"/>
    <n v="40648.5"/>
    <n v="0"/>
    <n v="0"/>
    <n v="0"/>
    <n v="0"/>
    <n v="40648.5"/>
    <n v="0"/>
    <n v="0"/>
    <n v="0"/>
    <n v="0"/>
    <n v="40648.5"/>
    <n v="0"/>
    <n v="0"/>
    <n v="0"/>
    <n v="0"/>
    <n v="40648.5"/>
    <n v="0"/>
    <n v="0"/>
    <n v="0"/>
    <n v="40648.5"/>
    <n v="0"/>
    <n v="40648.5"/>
    <n v="0"/>
    <n v="40648.5"/>
    <n v="40648.5"/>
    <n v="0"/>
    <n v="0"/>
    <n v="0"/>
    <n v="40648.5"/>
    <n v="40648.5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x v="0"/>
    <n v="0"/>
    <m/>
    <m/>
    <m/>
    <m/>
    <m/>
    <m/>
    <m/>
    <m/>
    <m/>
    <m/>
    <m/>
    <m/>
    <n v="1492.25"/>
    <m/>
    <m/>
    <m/>
    <m/>
    <m/>
    <m/>
    <m/>
    <n v="1492.25"/>
    <m/>
    <m/>
    <m/>
    <m/>
    <n v="1492.25"/>
    <m/>
    <m/>
    <m/>
    <m/>
    <m/>
    <m/>
    <m/>
    <m/>
    <n v="0"/>
    <n v="149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2.25"/>
    <n v="0"/>
    <n v="1492.25"/>
    <n v="1492.25"/>
    <n v="0"/>
    <n v="0"/>
    <n v="0"/>
    <n v="1492.25"/>
    <n v="1492.25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x v="0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m/>
    <m/>
    <m/>
    <m/>
    <m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x v="0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m/>
    <m/>
    <m/>
    <m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355.64"/>
    <n v="-355.64"/>
    <n v="0"/>
    <n v="0"/>
    <n v="0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n v="980"/>
    <n v="980"/>
    <n v="0"/>
    <n v="0"/>
    <n v="0"/>
    <n v="0"/>
    <n v="98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x v="0"/>
    <n v="9000"/>
    <m/>
    <m/>
    <m/>
    <m/>
    <m/>
    <m/>
    <n v="9000"/>
    <m/>
    <m/>
    <m/>
    <m/>
    <m/>
    <m/>
    <m/>
    <m/>
    <n v="-9000"/>
    <m/>
    <m/>
    <m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m/>
    <s v="Alquiler de instalaciones para las evaluaciones prácticas de la Certificación en Competencias Laborales del sector turístico del Distrito Metropolitano de Quito, que incluya: mobiliario, equipos e insumos."/>
    <m/>
    <s v="01.01.002.079.630207.000.009"/>
    <s v="Capacitación"/>
    <n v="630207"/>
    <x v="0"/>
    <m/>
    <m/>
    <m/>
    <m/>
    <m/>
    <m/>
    <m/>
    <m/>
    <m/>
    <m/>
    <m/>
    <m/>
    <m/>
    <m/>
    <m/>
    <m/>
    <n v="9000"/>
    <m/>
    <m/>
    <m/>
    <m/>
    <n v="9000"/>
    <m/>
    <m/>
    <m/>
    <m/>
    <m/>
    <m/>
    <m/>
    <n v="3000"/>
    <m/>
    <n v="3000"/>
    <m/>
    <n v="30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x v="0"/>
    <n v="4000"/>
    <n v="0"/>
    <n v="0"/>
    <n v="0"/>
    <n v="0"/>
    <n v="0"/>
    <n v="0"/>
    <n v="0"/>
    <n v="0"/>
    <n v="4000"/>
    <n v="0"/>
    <n v="0"/>
    <n v="0"/>
    <m/>
    <m/>
    <m/>
    <m/>
    <m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x v="0"/>
    <n v="2500"/>
    <n v="0"/>
    <n v="150"/>
    <n v="150"/>
    <n v="150"/>
    <n v="150"/>
    <n v="150"/>
    <n v="150"/>
    <n v="150"/>
    <n v="150"/>
    <n v="150"/>
    <n v="150"/>
    <n v="1000"/>
    <m/>
    <n v="-2500"/>
    <m/>
    <m/>
    <m/>
    <m/>
    <m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x v="0"/>
    <n v="70000"/>
    <m/>
    <m/>
    <m/>
    <m/>
    <m/>
    <m/>
    <n v="70000"/>
    <m/>
    <m/>
    <m/>
    <m/>
    <m/>
    <n v="-9500"/>
    <n v="-60500"/>
    <m/>
    <m/>
    <m/>
    <m/>
    <m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x v="0"/>
    <n v="25000"/>
    <n v="0"/>
    <n v="0"/>
    <n v="0"/>
    <n v="0"/>
    <n v="0"/>
    <n v="0"/>
    <n v="0"/>
    <n v="0"/>
    <n v="0"/>
    <n v="0"/>
    <n v="25000"/>
    <n v="0"/>
    <m/>
    <n v="-25000"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x v="0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m/>
    <m/>
    <n v="403.2"/>
    <m/>
    <m/>
    <n v="4161.6000000000004"/>
    <n v="280.8"/>
    <n v="241.2"/>
    <n v="316.8"/>
    <n v="313.2"/>
    <n v="277.2"/>
    <n v="390.34"/>
    <n v="390.34"/>
    <n v="390.34"/>
    <n v="390.34"/>
    <n v="390.34"/>
    <n v="390.34"/>
    <n v="390.36"/>
    <m/>
    <n v="0"/>
    <n v="1429.2"/>
    <n v="277.19999999999982"/>
    <n v="280.8"/>
    <n v="280.8"/>
    <n v="280.8"/>
    <n v="0"/>
    <n v="280.8"/>
    <n v="241.2"/>
    <n v="241.2"/>
    <n v="241.2"/>
    <n v="0"/>
    <n v="241.2"/>
    <n v="316.8"/>
    <n v="316.8"/>
    <n v="316.8"/>
    <n v="0"/>
    <n v="316.8"/>
    <n v="316.8"/>
    <n v="277.2"/>
    <n v="0"/>
    <n v="277.2"/>
    <n v="273.60000000000002"/>
    <n v="0"/>
    <n v="273.60000000000002"/>
    <n v="273.60000000000002"/>
    <n v="316.8"/>
    <n v="0"/>
    <n v="316.8"/>
    <n v="1706.3999999999999"/>
    <n v="1706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m/>
    <m/>
    <n v="10666.39"/>
    <m/>
    <m/>
    <n v="214035.32"/>
    <n v="16359.85"/>
    <n v="15632.27"/>
    <n v="16304.95"/>
    <n v="17042.32"/>
    <n v="17304.95"/>
    <n v="18770.14"/>
    <n v="18770.14"/>
    <n v="18770.14"/>
    <n v="18770.14"/>
    <n v="18770.14"/>
    <n v="18770.14"/>
    <n v="18770.14"/>
    <m/>
    <n v="0"/>
    <n v="82644.340000000011"/>
    <n v="18416.479999999981"/>
    <n v="16359.85"/>
    <n v="16359.85"/>
    <n v="16359.85"/>
    <n v="5811.77"/>
    <n v="16359.85"/>
    <n v="15632.27"/>
    <n v="15632.27"/>
    <n v="15632.27"/>
    <n v="21471.1"/>
    <n v="15632.27"/>
    <n v="16304.95"/>
    <n v="16304.95"/>
    <n v="16304.95"/>
    <n v="30049.33"/>
    <n v="16304.95"/>
    <n v="16304.95"/>
    <n v="17042.32"/>
    <n v="28287.88"/>
    <n v="17042.32"/>
    <n v="17441.419999999998"/>
    <n v="26021.52"/>
    <n v="17444.419999999998"/>
    <n v="17444.419999999998"/>
    <n v="18280.009999999998"/>
    <n v="28115.26"/>
    <n v="18280.009999999998"/>
    <n v="101060.81999999999"/>
    <n v="101063.81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x v="0"/>
    <n v="522"/>
    <n v="43.5"/>
    <n v="43.5"/>
    <n v="43.5"/>
    <n v="43.5"/>
    <n v="43.5"/>
    <n v="43.5"/>
    <n v="43.5"/>
    <n v="43.5"/>
    <n v="43.5"/>
    <n v="43.5"/>
    <n v="43.5"/>
    <n v="43.5"/>
    <m/>
    <m/>
    <m/>
    <m/>
    <m/>
    <n v="56"/>
    <m/>
    <m/>
    <n v="578"/>
    <n v="39"/>
    <n v="33.5"/>
    <n v="44"/>
    <n v="38.5"/>
    <n v="38"/>
    <n v="55"/>
    <n v="55"/>
    <n v="55"/>
    <n v="55"/>
    <n v="55"/>
    <n v="55"/>
    <n v="55"/>
    <m/>
    <n v="0"/>
    <n v="193"/>
    <n v="44"/>
    <n v="39"/>
    <n v="39"/>
    <n v="39"/>
    <n v="0"/>
    <n v="39"/>
    <n v="33.5"/>
    <n v="33.5"/>
    <n v="33.5"/>
    <n v="0"/>
    <n v="33.5"/>
    <n v="44"/>
    <n v="44"/>
    <n v="44"/>
    <n v="0"/>
    <n v="44"/>
    <n v="44"/>
    <n v="38.5"/>
    <n v="0"/>
    <n v="38.5"/>
    <n v="38"/>
    <n v="0"/>
    <n v="38"/>
    <n v="38"/>
    <n v="44"/>
    <n v="0"/>
    <n v="44"/>
    <n v="237"/>
    <n v="23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m/>
    <m/>
    <m/>
    <m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7833.77"/>
    <n v="723.52000000000044"/>
    <n v="2166.06"/>
    <n v="2166.06"/>
    <n v="2166.06"/>
    <n v="0"/>
    <n v="2166.06"/>
    <n v="0"/>
    <n v="0"/>
    <n v="0"/>
    <n v="0"/>
    <n v="0"/>
    <n v="2611.86"/>
    <n v="2611.86"/>
    <n v="2611.86"/>
    <n v="0"/>
    <n v="2611.86"/>
    <n v="2611.86"/>
    <n v="2161.36"/>
    <n v="0"/>
    <n v="2161.36"/>
    <n v="956.42"/>
    <n v="0"/>
    <n v="956.42"/>
    <n v="956.42"/>
    <n v="661.59"/>
    <n v="0"/>
    <n v="661.59"/>
    <n v="8557.2900000000009"/>
    <n v="8557.290000000000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x v="0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m/>
    <m/>
    <n v="1166.04"/>
    <m/>
    <m/>
    <n v="49302.54"/>
    <n v="3724.55"/>
    <n v="3439.88"/>
    <n v="3779.69"/>
    <n v="4351.3500000000004"/>
    <n v="4453.45"/>
    <n v="4221.92"/>
    <n v="4221.95"/>
    <n v="4221.95"/>
    <n v="4221.95"/>
    <n v="4221.95"/>
    <n v="4221.95"/>
    <n v="4221.95"/>
    <m/>
    <n v="0"/>
    <n v="19748.920000000002"/>
    <n v="2167.0299999999988"/>
    <n v="870.69"/>
    <n v="3428.17"/>
    <n v="3428.17"/>
    <n v="1792.76"/>
    <n v="3428.17"/>
    <n v="873.02"/>
    <n v="3439.88"/>
    <n v="3439.88"/>
    <n v="5502.82"/>
    <n v="3439.88"/>
    <n v="3532.09"/>
    <n v="3532.09"/>
    <n v="3532.09"/>
    <n v="9645.33"/>
    <n v="3532.09"/>
    <n v="3532.09"/>
    <n v="3817.72"/>
    <n v="9645.33"/>
    <n v="3817.72"/>
    <n v="3820.73"/>
    <n v="9524.82"/>
    <n v="3820.73"/>
    <n v="3820.73"/>
    <n v="3877.36"/>
    <n v="9966.65"/>
    <n v="3877.36"/>
    <n v="21915.95"/>
    <n v="21915.9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m/>
    <m/>
    <n v="8639.94"/>
    <m/>
    <m/>
    <n v="152145.84"/>
    <n v="12469.16"/>
    <n v="11073.26"/>
    <n v="12169.66"/>
    <n v="12678.78"/>
    <n v="12862.57"/>
    <n v="12984.63"/>
    <n v="12984.63"/>
    <n v="12984.63"/>
    <n v="12984.63"/>
    <n v="12984.63"/>
    <n v="12984.63"/>
    <n v="12984.63"/>
    <m/>
    <n v="0"/>
    <n v="61253.43"/>
    <n v="9744.4700000000084"/>
    <n v="3362.72"/>
    <n v="11550.7"/>
    <n v="11550.7"/>
    <n v="4157.21"/>
    <n v="11550.7"/>
    <n v="3285.42"/>
    <n v="11073.26"/>
    <n v="11073.26"/>
    <n v="15803.6"/>
    <n v="11073.26"/>
    <n v="11571.51"/>
    <n v="11571.51"/>
    <n v="11571.51"/>
    <n v="22563.55"/>
    <n v="11571.51"/>
    <n v="11571.51"/>
    <n v="11858.76"/>
    <n v="22216.35"/>
    <n v="11858.76"/>
    <n v="12192.58"/>
    <n v="21698"/>
    <n v="12192.58"/>
    <n v="12192.58"/>
    <n v="12751.09"/>
    <n v="23195.66"/>
    <n v="12751.09"/>
    <n v="70997.900000000009"/>
    <n v="70997.90000000000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m/>
    <m/>
    <n v="10637.88"/>
    <m/>
    <m/>
    <n v="36233"/>
    <n v="1870.5"/>
    <n v="1164.27"/>
    <n v="1947.7"/>
    <n v="3722.53"/>
    <n v="3441"/>
    <n v="3441"/>
    <n v="3441"/>
    <n v="3441"/>
    <n v="3441"/>
    <n v="3441"/>
    <n v="3441"/>
    <n v="3441"/>
    <m/>
    <n v="0"/>
    <n v="12146"/>
    <n v="3512"/>
    <n v="1870.5"/>
    <n v="1870.5"/>
    <n v="1870.5"/>
    <n v="8896.1299999999992"/>
    <n v="1870.5"/>
    <n v="1164.27"/>
    <n v="1164.27"/>
    <n v="1164.27"/>
    <n v="7731.86"/>
    <n v="1164.27"/>
    <n v="1947.7"/>
    <n v="1947.7"/>
    <n v="1947.7"/>
    <n v="5784.16"/>
    <n v="1947.7"/>
    <n v="1947.7"/>
    <n v="3722.53"/>
    <n v="16890.12"/>
    <n v="3722.53"/>
    <n v="3441"/>
    <n v="13449.12"/>
    <n v="3441"/>
    <n v="3441"/>
    <n v="3512"/>
    <n v="20575"/>
    <n v="3512"/>
    <n v="15658"/>
    <n v="156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m/>
    <m/>
    <n v="1167.94"/>
    <m/>
    <m/>
    <n v="107469.66"/>
    <n v="8564.68"/>
    <n v="7808.76"/>
    <n v="8028.28"/>
    <n v="8601.86"/>
    <n v="8958.26"/>
    <n v="9358.26"/>
    <n v="9358.26"/>
    <n v="9358.26"/>
    <n v="9358.26"/>
    <n v="9358.26"/>
    <n v="9358.26"/>
    <n v="9358.26"/>
    <m/>
    <n v="0"/>
    <n v="41961.840000000004"/>
    <n v="9693.3099999999977"/>
    <n v="8564.68"/>
    <n v="8564.68"/>
    <n v="8564.68"/>
    <n v="865.71"/>
    <n v="8564.68"/>
    <n v="7735.4"/>
    <n v="7808.76"/>
    <n v="7808.76"/>
    <n v="6798.35"/>
    <n v="7808.76"/>
    <n v="8028.28"/>
    <n v="8028.28"/>
    <n v="8028.28"/>
    <n v="13596.48"/>
    <n v="8028.28"/>
    <n v="8028.28"/>
    <n v="8601.86"/>
    <n v="13329.01"/>
    <n v="8601.86"/>
    <n v="8958.26"/>
    <n v="13061.54"/>
    <n v="8958.26"/>
    <n v="8958.26"/>
    <n v="9693.31"/>
    <n v="13867.21"/>
    <n v="9693.31"/>
    <n v="51655.15"/>
    <n v="51655.1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m/>
    <m/>
    <n v="20290.759999999998"/>
    <m/>
    <m/>
    <n v="82888.73"/>
    <n v="13115.94"/>
    <n v="3583.21"/>
    <n v="8013.49"/>
    <n v="8403.5400000000009"/>
    <n v="11996.97"/>
    <n v="5396.51"/>
    <n v="5396.51"/>
    <n v="5396.51"/>
    <n v="5396.51"/>
    <n v="5396.51"/>
    <n v="5396.51"/>
    <n v="5396.52"/>
    <m/>
    <n v="0"/>
    <n v="45113.15"/>
    <n v="16710.760000000002"/>
    <n v="13115.94"/>
    <n v="13115.94"/>
    <n v="13115.94"/>
    <n v="35580.730000000003"/>
    <n v="13115.94"/>
    <n v="3583.21"/>
    <n v="3583.21"/>
    <n v="3583.21"/>
    <n v="31997.52"/>
    <n v="3583.21"/>
    <n v="8013.49"/>
    <n v="8013.49"/>
    <n v="8013.49"/>
    <n v="26214.65"/>
    <n v="8013.49"/>
    <n v="8013.49"/>
    <n v="8403.5400000000009"/>
    <n v="27406.35"/>
    <n v="8403.5400000000009"/>
    <n v="11996.97"/>
    <n v="16666.2"/>
    <n v="11996.97"/>
    <n v="11996.97"/>
    <n v="16710.759999999998"/>
    <n v="20110.53"/>
    <n v="16710.759999999998"/>
    <n v="61823.91"/>
    <n v="61823.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x v="0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m/>
    <m/>
    <m/>
    <m/>
    <m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310833.32"/>
    <n v="62640"/>
    <n v="57356.66"/>
    <n v="57356.66"/>
    <n v="57356.66"/>
    <n v="45600"/>
    <n v="57356.66"/>
    <n v="64473.33"/>
    <n v="64473.33"/>
    <n v="64473.33"/>
    <n v="66600"/>
    <n v="64473.33"/>
    <n v="63723.33"/>
    <n v="63723.33"/>
    <n v="63723.33"/>
    <n v="59700"/>
    <n v="63723.33"/>
    <n v="63723.33"/>
    <n v="62640"/>
    <n v="53200"/>
    <n v="62640"/>
    <n v="62640"/>
    <n v="46700"/>
    <n v="62640"/>
    <n v="62640"/>
    <n v="62640"/>
    <n v="40200"/>
    <n v="62640"/>
    <n v="373473.32"/>
    <n v="37347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x v="0"/>
    <n v="34656"/>
    <n v="2888"/>
    <n v="2888"/>
    <n v="2888"/>
    <n v="2888"/>
    <n v="2888"/>
    <n v="2888"/>
    <n v="2888"/>
    <n v="2888"/>
    <n v="2888"/>
    <n v="2888"/>
    <n v="2888"/>
    <n v="2888"/>
    <m/>
    <m/>
    <m/>
    <m/>
    <m/>
    <n v="4717.07"/>
    <m/>
    <m/>
    <n v="39373.07"/>
    <n v="2888"/>
    <n v="2888"/>
    <n v="2888"/>
    <n v="2888"/>
    <n v="2888"/>
    <n v="3273.07"/>
    <n v="3610"/>
    <n v="3610"/>
    <n v="3610"/>
    <n v="3610"/>
    <n v="3610"/>
    <n v="3610"/>
    <m/>
    <n v="0"/>
    <n v="14440"/>
    <n v="2888"/>
    <n v="2888"/>
    <n v="2888"/>
    <n v="2888"/>
    <n v="0"/>
    <n v="2888"/>
    <n v="2888"/>
    <n v="2888"/>
    <n v="2888"/>
    <n v="0"/>
    <n v="2888"/>
    <n v="2888"/>
    <n v="2888"/>
    <n v="2888"/>
    <n v="0"/>
    <n v="2888"/>
    <n v="2888"/>
    <n v="2888"/>
    <n v="0"/>
    <n v="2888"/>
    <n v="2888"/>
    <n v="0"/>
    <n v="2888"/>
    <n v="2888"/>
    <n v="2888"/>
    <n v="0"/>
    <n v="2888"/>
    <n v="17328"/>
    <n v="1732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x v="0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m/>
    <m/>
    <n v="3294.99"/>
    <m/>
    <m/>
    <n v="886974.53"/>
    <n v="64055.03"/>
    <n v="61936.13"/>
    <n v="63073.57"/>
    <n v="68602.73"/>
    <n v="68787.570000000007"/>
    <n v="80074.240000000005"/>
    <n v="80074.210000000006"/>
    <n v="80074.210000000006"/>
    <n v="80074.210000000006"/>
    <n v="80074.210000000006"/>
    <n v="80074.210000000006"/>
    <n v="80074.210000000006"/>
    <m/>
    <n v="0"/>
    <n v="326455.03000000003"/>
    <n v="70775.400000000023"/>
    <n v="64055.03"/>
    <n v="64055.03"/>
    <n v="64055.03"/>
    <n v="61464.71"/>
    <n v="64055.03"/>
    <n v="61936.13"/>
    <n v="61936.13"/>
    <n v="61936.13"/>
    <n v="169878.58"/>
    <n v="61936.13"/>
    <n v="63073.57"/>
    <n v="63073.57"/>
    <n v="63073.57"/>
    <n v="684240.7"/>
    <n v="63073.57"/>
    <n v="63073.57"/>
    <n v="68602.73"/>
    <n v="617249.97"/>
    <n v="68602.73"/>
    <n v="68787.570000000007"/>
    <n v="548462.4"/>
    <n v="68787.570000000007"/>
    <n v="68787.570000000007"/>
    <n v="70775.399999999994"/>
    <n v="487159"/>
    <n v="70775.399999999994"/>
    <n v="397230.43000000005"/>
    <n v="397230.430000000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m/>
    <m/>
    <m/>
    <m/>
    <m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540.56"/>
    <n v="-294.03999999999996"/>
    <n v="1186.6600000000001"/>
    <n v="1186.6600000000001"/>
    <n v="1186.6600000000001"/>
    <n v="9579.9699999999993"/>
    <n v="1186.6600000000001"/>
    <n v="200"/>
    <n v="200"/>
    <n v="200"/>
    <n v="9379.9699999999993"/>
    <n v="200"/>
    <n v="353.9"/>
    <n v="353.9"/>
    <n v="353.9"/>
    <n v="9026.07"/>
    <n v="353.9"/>
    <n v="353.9"/>
    <n v="81.8"/>
    <n v="3518.2"/>
    <n v="81.8"/>
    <n v="0"/>
    <n v="3518.2"/>
    <n v="0"/>
    <n v="0"/>
    <n v="424.16"/>
    <n v="3094.04"/>
    <n v="424.16"/>
    <n v="2246.52"/>
    <n v="2246.52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s v="N/A"/>
    <s v="N/A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n v="0"/>
    <m/>
    <m/>
    <n v="0"/>
    <n v="0"/>
    <m/>
    <n v="0"/>
    <m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s v="N/A"/>
    <s v="N/A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n v="0"/>
    <m/>
    <m/>
    <n v="0"/>
    <n v="0"/>
    <m/>
    <n v="0"/>
    <m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s v="N/A"/>
    <s v="N/A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n v="0"/>
    <m/>
    <m/>
    <n v="0"/>
    <n v="0"/>
    <m/>
    <n v="0"/>
    <m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s v="N/A"/>
    <s v="N/A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n v="0"/>
    <m/>
    <m/>
    <n v="0"/>
    <n v="0"/>
    <m/>
    <n v="0"/>
    <m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s v="N/A"/>
    <s v="N/A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n v="0"/>
    <m/>
    <m/>
    <n v="0"/>
    <n v="0"/>
    <m/>
    <n v="0"/>
    <m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x v="1"/>
    <n v="100000"/>
    <n v="0"/>
    <n v="0"/>
    <n v="0"/>
    <n v="0"/>
    <n v="0"/>
    <n v="0"/>
    <n v="12500"/>
    <n v="17500"/>
    <n v="17500"/>
    <n v="17500"/>
    <n v="17500"/>
    <n v="17500"/>
    <n v="-100000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x v="1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x v="1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m/>
    <m/>
    <m/>
    <m/>
    <m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x v="1"/>
    <n v="0"/>
    <m/>
    <m/>
    <m/>
    <m/>
    <m/>
    <m/>
    <m/>
    <m/>
    <m/>
    <m/>
    <m/>
    <m/>
    <n v="30800"/>
    <m/>
    <n v="-30800"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2800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1-01T00:00:00"/>
    <d v="2026-11-30T00:00:00"/>
    <m/>
    <m/>
    <m/>
    <m/>
    <m/>
    <m/>
    <m/>
    <m/>
    <m/>
    <m/>
    <m/>
    <m/>
    <m/>
    <s v="Adquisición de infraestructura tecnológica de servidores y almacenamiento"/>
    <m/>
    <s v="02.01.001.074.840107.000.002"/>
    <s v="N/A"/>
    <n v="840107"/>
    <x v="1"/>
    <m/>
    <m/>
    <m/>
    <m/>
    <m/>
    <m/>
    <m/>
    <m/>
    <m/>
    <m/>
    <m/>
    <m/>
    <m/>
    <m/>
    <m/>
    <m/>
    <m/>
    <m/>
    <n v="106000"/>
    <m/>
    <m/>
    <n v="106000"/>
    <m/>
    <m/>
    <m/>
    <m/>
    <m/>
    <m/>
    <m/>
    <m/>
    <m/>
    <m/>
    <n v="106000"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x v="1"/>
    <n v="0"/>
    <m/>
    <m/>
    <m/>
    <m/>
    <m/>
    <m/>
    <m/>
    <m/>
    <m/>
    <m/>
    <m/>
    <m/>
    <m/>
    <m/>
    <n v="3000"/>
    <m/>
    <m/>
    <n v="-3000"/>
    <m/>
    <m/>
    <n v="0"/>
    <m/>
    <m/>
    <m/>
    <m/>
    <m/>
    <n v="0"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6.009"/>
    <s v="Promoción"/>
    <n v="730249"/>
    <x v="0"/>
    <m/>
    <m/>
    <m/>
    <m/>
    <m/>
    <m/>
    <m/>
    <m/>
    <m/>
    <m/>
    <m/>
    <m/>
    <m/>
    <m/>
    <m/>
    <m/>
    <m/>
    <n v="100000"/>
    <m/>
    <m/>
    <m/>
    <n v="100000"/>
    <m/>
    <m/>
    <m/>
    <m/>
    <m/>
    <m/>
    <m/>
    <m/>
    <m/>
    <m/>
    <m/>
    <n v="100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x v="1"/>
    <n v="0"/>
    <m/>
    <m/>
    <m/>
    <m/>
    <m/>
    <m/>
    <m/>
    <m/>
    <m/>
    <m/>
    <m/>
    <m/>
    <m/>
    <m/>
    <n v="106000"/>
    <m/>
    <m/>
    <n v="-106000"/>
    <m/>
    <m/>
    <n v="0"/>
    <m/>
    <m/>
    <m/>
    <m/>
    <m/>
    <m/>
    <m/>
    <m/>
    <n v="0"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Adquisición de UPS"/>
    <m/>
    <s v="02.01.001.065.840107.000.002 "/>
    <s v="N/A"/>
    <n v="840107"/>
    <x v="1"/>
    <n v="0"/>
    <m/>
    <m/>
    <m/>
    <m/>
    <m/>
    <m/>
    <m/>
    <m/>
    <m/>
    <m/>
    <m/>
    <m/>
    <m/>
    <m/>
    <n v="17000"/>
    <m/>
    <m/>
    <n v="-17000"/>
    <m/>
    <m/>
    <n v="0"/>
    <m/>
    <m/>
    <m/>
    <m/>
    <m/>
    <m/>
    <n v="0"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m/>
    <m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x v="1"/>
    <n v="0"/>
    <m/>
    <m/>
    <m/>
    <m/>
    <m/>
    <m/>
    <m/>
    <m/>
    <m/>
    <m/>
    <m/>
    <m/>
    <m/>
    <m/>
    <n v="873356.17"/>
    <n v="-276504.40999999997"/>
    <m/>
    <n v="-596851.76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x v="1"/>
    <n v="0"/>
    <m/>
    <m/>
    <m/>
    <m/>
    <m/>
    <m/>
    <m/>
    <m/>
    <m/>
    <m/>
    <m/>
    <m/>
    <m/>
    <m/>
    <n v="43667.81"/>
    <m/>
    <m/>
    <n v="-43667.81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PEI / Jefatura de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x v="1"/>
    <n v="148771"/>
    <n v="0"/>
    <n v="0"/>
    <n v="0"/>
    <n v="0"/>
    <n v="0"/>
    <n v="0"/>
    <n v="0"/>
    <n v="0"/>
    <n v="0"/>
    <n v="148771"/>
    <n v="0"/>
    <n v="0"/>
    <n v="-109524.49"/>
    <m/>
    <n v="-39246.51"/>
    <m/>
    <m/>
    <m/>
    <m/>
    <m/>
    <n v="-7.2759576141834259E-12"/>
    <m/>
    <m/>
    <n v="0"/>
    <n v="0"/>
    <n v="0"/>
    <n v="0"/>
    <n v="0"/>
    <n v="0"/>
    <n v="0"/>
    <m/>
    <n v="0"/>
    <n v="0"/>
    <m/>
    <n v="-7.2759576141834259E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09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7.000.002"/>
    <s v="Desarrollo"/>
    <n v="840107"/>
    <x v="1"/>
    <m/>
    <m/>
    <m/>
    <m/>
    <m/>
    <m/>
    <m/>
    <m/>
    <m/>
    <m/>
    <m/>
    <m/>
    <m/>
    <m/>
    <m/>
    <m/>
    <m/>
    <m/>
    <m/>
    <n v="80000"/>
    <m/>
    <n v="80000"/>
    <m/>
    <m/>
    <m/>
    <m/>
    <m/>
    <m/>
    <m/>
    <m/>
    <n v="80000"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0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4.009"/>
    <s v="Promoción"/>
    <n v="730249"/>
    <x v="0"/>
    <m/>
    <m/>
    <m/>
    <m/>
    <m/>
    <m/>
    <m/>
    <m/>
    <m/>
    <m/>
    <m/>
    <m/>
    <m/>
    <m/>
    <m/>
    <m/>
    <m/>
    <n v="70000"/>
    <m/>
    <m/>
    <m/>
    <n v="70000"/>
    <m/>
    <m/>
    <m/>
    <m/>
    <m/>
    <m/>
    <m/>
    <m/>
    <m/>
    <n v="35000"/>
    <m/>
    <n v="35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6-01T00:00:00"/>
    <d v="2026-12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x v="1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m/>
    <m/>
    <m/>
    <m/>
    <m/>
    <n v="57655"/>
    <m/>
    <m/>
    <n v="0"/>
    <n v="0"/>
    <n v="0"/>
    <n v="29150.15"/>
    <n v="21886.9"/>
    <m/>
    <m/>
    <m/>
    <m/>
    <n v="6617.95"/>
    <m/>
    <n v="0"/>
    <n v="0"/>
    <n v="43840.72"/>
    <n v="0"/>
    <n v="0"/>
    <n v="0"/>
    <n v="0"/>
    <n v="0"/>
    <n v="0"/>
    <n v="0"/>
    <n v="0"/>
    <n v="0"/>
    <n v="57655"/>
    <n v="21265.31"/>
    <n v="21265.31"/>
    <n v="21265.31"/>
    <n v="0"/>
    <n v="0"/>
    <n v="0"/>
    <n v="0"/>
    <n v="0"/>
    <n v="0"/>
    <n v="5044.8999999999996"/>
    <n v="0"/>
    <n v="0"/>
    <n v="0"/>
    <n v="17530.509999999998"/>
    <n v="0"/>
    <n v="0"/>
    <n v="43840.72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0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5.009"/>
    <s v="Promoción"/>
    <n v="730249"/>
    <x v="0"/>
    <m/>
    <m/>
    <m/>
    <m/>
    <m/>
    <m/>
    <m/>
    <m/>
    <m/>
    <m/>
    <m/>
    <m/>
    <m/>
    <m/>
    <m/>
    <m/>
    <m/>
    <n v="50000"/>
    <m/>
    <m/>
    <m/>
    <n v="50000"/>
    <m/>
    <m/>
    <m/>
    <m/>
    <m/>
    <m/>
    <m/>
    <m/>
    <m/>
    <n v="10000"/>
    <n v="15000"/>
    <n v="25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x v="1"/>
    <n v="18000"/>
    <n v="0"/>
    <n v="0"/>
    <n v="2000"/>
    <n v="2000"/>
    <n v="2000"/>
    <n v="2000"/>
    <n v="2000"/>
    <n v="2000"/>
    <n v="2000"/>
    <n v="2000"/>
    <n v="2000"/>
    <n v="0"/>
    <n v="30977.5"/>
    <m/>
    <m/>
    <m/>
    <m/>
    <m/>
    <m/>
    <m/>
    <n v="48977.5"/>
    <m/>
    <n v="8162.91"/>
    <n v="8162.91"/>
    <n v="8162.92"/>
    <n v="8162.92"/>
    <n v="8162.92"/>
    <n v="8162.92"/>
    <m/>
    <m/>
    <m/>
    <m/>
    <m/>
    <m/>
    <n v="0"/>
    <n v="32651.659999999996"/>
    <n v="-5907.3999999999942"/>
    <n v="0"/>
    <n v="0"/>
    <n v="0"/>
    <n v="0"/>
    <n v="0"/>
    <n v="0"/>
    <n v="0"/>
    <n v="0"/>
    <n v="0"/>
    <n v="48977.5"/>
    <n v="5750.26"/>
    <n v="5750.26"/>
    <n v="5750.26"/>
    <n v="0"/>
    <n v="0"/>
    <n v="0"/>
    <n v="0"/>
    <n v="0"/>
    <n v="0"/>
    <n v="9374.36"/>
    <n v="0"/>
    <n v="0"/>
    <n v="0"/>
    <n v="11619.64"/>
    <n v="0"/>
    <n v="0"/>
    <n v="26744.260000000002"/>
    <n v="48977.5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0-01T00:00:00"/>
    <d v="2026-11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3.000.002"/>
    <s v="Desarrollo"/>
    <n v="840103"/>
    <x v="1"/>
    <m/>
    <m/>
    <m/>
    <m/>
    <m/>
    <m/>
    <m/>
    <m/>
    <m/>
    <m/>
    <m/>
    <m/>
    <m/>
    <m/>
    <m/>
    <m/>
    <m/>
    <m/>
    <m/>
    <n v="40000"/>
    <m/>
    <n v="40000"/>
    <m/>
    <m/>
    <m/>
    <m/>
    <m/>
    <m/>
    <m/>
    <m/>
    <m/>
    <n v="20000"/>
    <n v="20000"/>
    <m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x v="1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m/>
    <m/>
    <n v="8877.8700000000008"/>
    <m/>
    <m/>
    <n v="35374.779999999992"/>
    <n v="8994.91"/>
    <n v="8751"/>
    <n v="8751"/>
    <m/>
    <m/>
    <n v="1005.87"/>
    <n v="1312"/>
    <n v="1312"/>
    <n v="1312"/>
    <n v="1312"/>
    <n v="1312"/>
    <n v="1312"/>
    <m/>
    <n v="0"/>
    <n v="26496.91"/>
    <n v="0"/>
    <n v="8994.91"/>
    <n v="8994.91"/>
    <n v="8994.91"/>
    <n v="11344.67"/>
    <n v="8994.91"/>
    <n v="8751"/>
    <n v="8751"/>
    <n v="8751"/>
    <n v="10343.67"/>
    <n v="8751"/>
    <n v="8751"/>
    <n v="8751"/>
    <n v="8751"/>
    <n v="86775.93"/>
    <n v="8751"/>
    <n v="8751"/>
    <n v="0"/>
    <n v="85774.93"/>
    <n v="0"/>
    <n v="0"/>
    <n v="0"/>
    <n v="0"/>
    <n v="0"/>
    <n v="0"/>
    <n v="0"/>
    <n v="0"/>
    <n v="26496.91"/>
    <n v="26496.91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x v="1"/>
    <n v="0"/>
    <m/>
    <m/>
    <m/>
    <m/>
    <m/>
    <m/>
    <m/>
    <m/>
    <m/>
    <m/>
    <m/>
    <m/>
    <m/>
    <m/>
    <n v="18000"/>
    <m/>
    <m/>
    <n v="-18000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x v="1"/>
    <n v="0"/>
    <m/>
    <m/>
    <m/>
    <m/>
    <m/>
    <m/>
    <m/>
    <m/>
    <m/>
    <m/>
    <m/>
    <m/>
    <m/>
    <m/>
    <n v="200000"/>
    <m/>
    <m/>
    <n v="-200000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x v="1"/>
    <n v="0"/>
    <m/>
    <m/>
    <m/>
    <m/>
    <m/>
    <m/>
    <m/>
    <m/>
    <m/>
    <m/>
    <m/>
    <m/>
    <m/>
    <m/>
    <n v="100000"/>
    <m/>
    <m/>
    <n v="-100000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x v="1"/>
    <n v="0"/>
    <m/>
    <m/>
    <m/>
    <m/>
    <m/>
    <m/>
    <m/>
    <m/>
    <m/>
    <m/>
    <m/>
    <m/>
    <m/>
    <m/>
    <n v="216395.59"/>
    <n v="-216395.59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2.000.002"/>
    <s v="N/A"/>
    <n v="730702"/>
    <x v="1"/>
    <m/>
    <m/>
    <m/>
    <m/>
    <m/>
    <m/>
    <m/>
    <m/>
    <m/>
    <m/>
    <m/>
    <m/>
    <m/>
    <m/>
    <m/>
    <m/>
    <m/>
    <m/>
    <n v="32200"/>
    <m/>
    <m/>
    <n v="32200"/>
    <m/>
    <m/>
    <m/>
    <m/>
    <m/>
    <m/>
    <m/>
    <m/>
    <m/>
    <n v="32200"/>
    <m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0-01T00:00:00"/>
    <d v="2026-10-31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730404.000.002"/>
    <s v="Desarrollo"/>
    <n v="730404"/>
    <x v="1"/>
    <m/>
    <m/>
    <m/>
    <m/>
    <m/>
    <m/>
    <m/>
    <m/>
    <m/>
    <m/>
    <m/>
    <m/>
    <m/>
    <m/>
    <m/>
    <m/>
    <m/>
    <m/>
    <m/>
    <n v="26000"/>
    <m/>
    <n v="26000"/>
    <m/>
    <m/>
    <m/>
    <m/>
    <m/>
    <m/>
    <m/>
    <m/>
    <m/>
    <n v="2600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1.000.002"/>
    <s v="N/A"/>
    <n v="730701"/>
    <x v="1"/>
    <m/>
    <m/>
    <m/>
    <m/>
    <m/>
    <m/>
    <m/>
    <m/>
    <m/>
    <m/>
    <m/>
    <m/>
    <m/>
    <m/>
    <m/>
    <m/>
    <m/>
    <m/>
    <n v="17800"/>
    <m/>
    <m/>
    <n v="17800"/>
    <m/>
    <m/>
    <m/>
    <m/>
    <m/>
    <m/>
    <m/>
    <m/>
    <m/>
    <n v="17800"/>
    <m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la Implementación del Centro de Interpretación Turística Tulipe mediante adecuación de infraestructura existente y optimización de espacios para uso turístico"/>
    <m/>
    <s v="02.01.001.068.730425.000.002"/>
    <s v="Desarrollo"/>
    <n v="730425"/>
    <x v="1"/>
    <m/>
    <m/>
    <m/>
    <m/>
    <m/>
    <m/>
    <m/>
    <m/>
    <m/>
    <m/>
    <m/>
    <m/>
    <m/>
    <m/>
    <m/>
    <m/>
    <n v="146000"/>
    <m/>
    <m/>
    <n v="-146000"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estudios técnicos para la implementación del Centro de Interpretación Turística en Tulipe"/>
    <m/>
    <s v="02.01.001.069.730605.000.002"/>
    <s v="Desarrollo"/>
    <n v="730605"/>
    <x v="1"/>
    <m/>
    <m/>
    <m/>
    <m/>
    <m/>
    <m/>
    <m/>
    <m/>
    <m/>
    <m/>
    <m/>
    <m/>
    <m/>
    <m/>
    <m/>
    <m/>
    <n v="10000"/>
    <m/>
    <n v="-10000"/>
    <m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estudios técnicos para la implementación de Aula Gastronómica en predio administrado por Quito Turismo"/>
    <m/>
    <s v="02.01.001.070.730605.000.002"/>
    <s v="Desarrollo"/>
    <n v="730605"/>
    <x v="1"/>
    <m/>
    <m/>
    <m/>
    <m/>
    <m/>
    <m/>
    <m/>
    <m/>
    <m/>
    <m/>
    <m/>
    <m/>
    <m/>
    <m/>
    <m/>
    <m/>
    <n v="10000"/>
    <m/>
    <n v="-10000"/>
    <m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x v="1"/>
    <n v="0"/>
    <m/>
    <m/>
    <m/>
    <m/>
    <m/>
    <m/>
    <m/>
    <m/>
    <m/>
    <m/>
    <m/>
    <m/>
    <m/>
    <m/>
    <n v="50000"/>
    <m/>
    <m/>
    <n v="-50000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x v="1"/>
    <n v="0"/>
    <m/>
    <m/>
    <m/>
    <m/>
    <m/>
    <m/>
    <m/>
    <m/>
    <m/>
    <m/>
    <m/>
    <m/>
    <m/>
    <m/>
    <n v="150000"/>
    <m/>
    <m/>
    <n v="-150000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Mantenimiento de edificios de la EPMGDT (fase 2)"/>
    <m/>
    <s v="02.01.001.060.730402.000.002"/>
    <s v="N/A"/>
    <n v="730402"/>
    <x v="1"/>
    <n v="0"/>
    <m/>
    <m/>
    <m/>
    <m/>
    <m/>
    <m/>
    <m/>
    <m/>
    <m/>
    <m/>
    <m/>
    <m/>
    <m/>
    <m/>
    <n v="260000"/>
    <n v="-15500"/>
    <m/>
    <n v="-244500"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12-31T00:00:00"/>
    <m/>
    <m/>
    <m/>
    <m/>
    <m/>
    <m/>
    <m/>
    <m/>
    <m/>
    <m/>
    <m/>
    <m/>
    <m/>
    <s v="Contratación de servicios profesionales especializados de Ingeniería Civil para elaborar insumos técnicos de costos, presupuestos y planificación"/>
    <m/>
    <s v="02.01.001.071.730606.000.002"/>
    <s v="Desarrollo"/>
    <n v="730606"/>
    <x v="1"/>
    <m/>
    <m/>
    <m/>
    <m/>
    <m/>
    <m/>
    <m/>
    <m/>
    <m/>
    <m/>
    <m/>
    <m/>
    <m/>
    <m/>
    <m/>
    <m/>
    <n v="15500"/>
    <m/>
    <m/>
    <m/>
    <m/>
    <n v="15500"/>
    <m/>
    <m/>
    <m/>
    <m/>
    <m/>
    <m/>
    <n v="2000"/>
    <n v="2000"/>
    <n v="2000"/>
    <n v="2000"/>
    <n v="2000"/>
    <n v="55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x v="1"/>
    <n v="120000"/>
    <n v="0"/>
    <n v="0"/>
    <n v="0"/>
    <n v="0"/>
    <n v="0"/>
    <n v="0"/>
    <n v="0"/>
    <n v="0"/>
    <n v="0"/>
    <n v="0"/>
    <n v="120000"/>
    <n v="0"/>
    <n v="-12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9-30T00:00:00"/>
    <m/>
    <m/>
    <m/>
    <m/>
    <m/>
    <m/>
    <m/>
    <m/>
    <m/>
    <m/>
    <m/>
    <m/>
    <m/>
    <s v="Contratación de Servicios Profesionales de un Profesional para el diseño del modelo de gestión de la plaza de espectáculos"/>
    <m/>
    <s v="02.01.001.073.730606.000.002"/>
    <s v="N/A"/>
    <n v="730606"/>
    <x v="1"/>
    <m/>
    <m/>
    <m/>
    <m/>
    <m/>
    <m/>
    <m/>
    <m/>
    <m/>
    <m/>
    <m/>
    <m/>
    <m/>
    <m/>
    <m/>
    <m/>
    <m/>
    <m/>
    <n v="10000"/>
    <m/>
    <m/>
    <n v="10000"/>
    <m/>
    <m/>
    <m/>
    <m/>
    <m/>
    <n v="2500"/>
    <n v="2500"/>
    <n v="2500"/>
    <n v="2500"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x v="1"/>
    <n v="75000"/>
    <n v="0"/>
    <n v="0"/>
    <n v="0"/>
    <n v="0"/>
    <n v="0"/>
    <n v="30000"/>
    <n v="30000"/>
    <n v="15000"/>
    <n v="0"/>
    <n v="0"/>
    <n v="0"/>
    <n v="0"/>
    <n v="-75000"/>
    <m/>
    <m/>
    <m/>
    <m/>
    <m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x v="1"/>
    <n v="70000"/>
    <n v="0"/>
    <n v="0"/>
    <n v="0"/>
    <n v="0"/>
    <n v="0"/>
    <n v="35000"/>
    <n v="0"/>
    <n v="0"/>
    <n v="0"/>
    <n v="0"/>
    <n v="0"/>
    <n v="35000"/>
    <n v="30000"/>
    <m/>
    <n v="-100000"/>
    <m/>
    <m/>
    <m/>
    <m/>
    <m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1.002"/>
    <s v="Promoción"/>
    <n v="730249"/>
    <x v="1"/>
    <n v="310000"/>
    <n v="0"/>
    <n v="0"/>
    <n v="0"/>
    <n v="65000"/>
    <n v="0"/>
    <n v="0"/>
    <n v="0"/>
    <n v="0"/>
    <n v="0"/>
    <n v="0"/>
    <n v="20000"/>
    <n v="225000"/>
    <n v="227792"/>
    <m/>
    <n v="-537792"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s de carga y descarga de mercancías no trasladadas en contenedores"/>
    <m/>
    <s v="02.01.001.076.730202.000.002"/>
    <s v="Promoción"/>
    <n v="730202"/>
    <x v="1"/>
    <m/>
    <m/>
    <m/>
    <m/>
    <m/>
    <m/>
    <m/>
    <m/>
    <m/>
    <m/>
    <m/>
    <m/>
    <m/>
    <m/>
    <m/>
    <m/>
    <m/>
    <m/>
    <n v="10000"/>
    <m/>
    <m/>
    <n v="10000"/>
    <m/>
    <m/>
    <m/>
    <m/>
    <m/>
    <m/>
    <m/>
    <m/>
    <m/>
    <m/>
    <m/>
    <n v="10000"/>
    <m/>
    <n v="0"/>
    <n v="0"/>
    <n v="0"/>
    <m/>
    <m/>
    <m/>
    <m/>
    <m/>
    <m/>
    <m/>
    <m/>
    <m/>
    <m/>
    <m/>
    <m/>
    <n v="0"/>
    <m/>
    <m/>
    <n v="0"/>
    <m/>
    <m/>
    <m/>
    <m/>
    <m/>
    <m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x v="1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m/>
    <m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4144.9583333333339"/>
    <n v="-1884.2583333333341"/>
    <n v="75.34"/>
    <n v="749.58"/>
    <n v="749.58"/>
    <n v="945.39"/>
    <n v="749.58"/>
    <n v="64.58"/>
    <n v="732.09"/>
    <n v="732.09"/>
    <n v="945.39"/>
    <n v="732.09"/>
    <n v="779.03"/>
    <n v="779.03"/>
    <n v="779.03"/>
    <n v="945.39"/>
    <n v="779.03"/>
    <n v="779.03"/>
    <n v="0"/>
    <n v="945.39"/>
    <n v="0"/>
    <n v="0"/>
    <n v="945.39"/>
    <n v="0"/>
    <n v="0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x v="1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m/>
    <m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4143.3125"/>
    <n v="-2465.8525"/>
    <n v="577.05999999999995"/>
    <n v="577.05999999999995"/>
    <n v="577.05999999999995"/>
    <n v="945.01"/>
    <n v="577.05999999999995"/>
    <n v="519.33000000000004"/>
    <n v="519.33000000000004"/>
    <n v="519.33000000000004"/>
    <n v="945.01"/>
    <n v="519.33000000000004"/>
    <n v="581.07000000000005"/>
    <n v="581.07000000000005"/>
    <n v="581.07000000000005"/>
    <n v="945.01"/>
    <n v="581.07000000000005"/>
    <n v="581.07000000000005"/>
    <n v="0"/>
    <n v="945.01"/>
    <n v="0"/>
    <n v="0"/>
    <n v="945.01"/>
    <n v="0"/>
    <n v="0"/>
    <n v="0"/>
    <n v="945.01"/>
    <n v="0"/>
    <n v="1677.46"/>
    <n v="1677.46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3.002"/>
    <s v="Promoción"/>
    <n v="730249"/>
    <x v="1"/>
    <n v="0"/>
    <m/>
    <m/>
    <m/>
    <m/>
    <m/>
    <m/>
    <m/>
    <m/>
    <m/>
    <m/>
    <m/>
    <m/>
    <n v="70000"/>
    <m/>
    <n v="-70000"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2.002"/>
    <s v="Promoción"/>
    <n v="730249"/>
    <x v="1"/>
    <n v="35000"/>
    <n v="0"/>
    <n v="0"/>
    <n v="0"/>
    <n v="0"/>
    <n v="0"/>
    <n v="15000"/>
    <n v="0"/>
    <n v="10000"/>
    <n v="0"/>
    <n v="10000"/>
    <n v="0"/>
    <n v="0"/>
    <n v="14999.99"/>
    <m/>
    <n v="-49999.99"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x v="1"/>
    <n v="5280"/>
    <n v="440"/>
    <n v="440"/>
    <n v="440"/>
    <n v="440"/>
    <n v="440"/>
    <n v="440"/>
    <n v="440"/>
    <n v="440"/>
    <n v="440"/>
    <n v="440"/>
    <n v="440"/>
    <n v="440"/>
    <m/>
    <m/>
    <m/>
    <m/>
    <m/>
    <n v="-523.51"/>
    <m/>
    <m/>
    <n v="4756.49"/>
    <n v="412.41"/>
    <n v="441.87"/>
    <n v="441.87"/>
    <m/>
    <m/>
    <n v="440"/>
    <n v="440"/>
    <n v="440"/>
    <n v="440"/>
    <n v="440"/>
    <n v="440"/>
    <n v="820.34"/>
    <m/>
    <n v="0"/>
    <n v="1296.1500000000001"/>
    <n v="0"/>
    <n v="40.17"/>
    <n v="412.41"/>
    <n v="412.41"/>
    <n v="455.22"/>
    <n v="412.41"/>
    <n v="40.17"/>
    <n v="441.87"/>
    <n v="441.87"/>
    <n v="455.22"/>
    <n v="441.87"/>
    <n v="441.87"/>
    <n v="441.87"/>
    <n v="441.87"/>
    <n v="455.22"/>
    <n v="441.87"/>
    <n v="441.87"/>
    <n v="0"/>
    <n v="455.22"/>
    <n v="0"/>
    <n v="0"/>
    <n v="455.22"/>
    <n v="0"/>
    <n v="0"/>
    <n v="0"/>
    <n v="455.22"/>
    <n v="0"/>
    <n v="1296.1500000000001"/>
    <n v="1296.1500000000001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x v="1"/>
    <n v="0"/>
    <m/>
    <m/>
    <m/>
    <m/>
    <m/>
    <m/>
    <m/>
    <m/>
    <m/>
    <m/>
    <m/>
    <m/>
    <n v="120000"/>
    <m/>
    <n v="-120000"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20000"/>
    <n v="0"/>
    <n v="0"/>
    <n v="0"/>
    <n v="0"/>
    <n v="12000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x v="1"/>
    <n v="0"/>
    <m/>
    <m/>
    <m/>
    <m/>
    <m/>
    <m/>
    <m/>
    <m/>
    <m/>
    <m/>
    <m/>
    <m/>
    <n v="10000"/>
    <m/>
    <n v="-10000"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x v="1"/>
    <n v="40000"/>
    <n v="0"/>
    <n v="0"/>
    <n v="0"/>
    <n v="0"/>
    <n v="0"/>
    <n v="40000"/>
    <n v="0"/>
    <n v="0"/>
    <n v="0"/>
    <n v="0"/>
    <n v="0"/>
    <n v="0"/>
    <m/>
    <m/>
    <n v="-40000"/>
    <m/>
    <m/>
    <m/>
    <m/>
    <m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x v="1"/>
    <n v="150000"/>
    <n v="0"/>
    <n v="0"/>
    <n v="0"/>
    <n v="0"/>
    <n v="0"/>
    <n v="150000"/>
    <n v="0"/>
    <n v="0"/>
    <n v="0"/>
    <n v="0"/>
    <n v="0"/>
    <n v="0"/>
    <m/>
    <m/>
    <n v="-150000"/>
    <m/>
    <m/>
    <m/>
    <m/>
    <m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x v="1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m/>
    <m/>
    <n v="-9534.0300000000007"/>
    <m/>
    <m/>
    <n v="4373.1200000000008"/>
    <n v="1047.9100000000001"/>
    <n v="1023.51"/>
    <n v="1089.1099999999999"/>
    <n v="0"/>
    <n v="0"/>
    <n v="173.23"/>
    <n v="173.23"/>
    <n v="173.23"/>
    <n v="173.23"/>
    <n v="173.23"/>
    <n v="173.23"/>
    <n v="173.21"/>
    <m/>
    <n v="0"/>
    <n v="3160.5299999999997"/>
    <n v="0"/>
    <n v="1047.9100000000001"/>
    <n v="1047.9100000000001"/>
    <n v="1047.9100000000001"/>
    <n v="1321.65"/>
    <n v="1047.9100000000001"/>
    <n v="1023.51"/>
    <n v="1023.51"/>
    <n v="1023.51"/>
    <n v="1205.03"/>
    <n v="1023.51"/>
    <n v="1089.1099999999999"/>
    <n v="1089.1099999999999"/>
    <n v="1089.1099999999999"/>
    <n v="1077.56"/>
    <n v="1089.1099999999999"/>
    <n v="1089.1099999999999"/>
    <n v="0"/>
    <n v="950.09"/>
    <n v="0"/>
    <n v="0"/>
    <n v="950.09"/>
    <n v="0"/>
    <n v="0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2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x v="1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m/>
    <m/>
    <n v="-1512.78"/>
    <m/>
    <m/>
    <n v="2284.2399999999998"/>
    <m/>
    <n v="34.31"/>
    <n v="597.58000000000004"/>
    <m/>
    <m/>
    <m/>
    <m/>
    <m/>
    <n v="379.7"/>
    <n v="379.7"/>
    <n v="379.7"/>
    <n v="513.25"/>
    <m/>
    <n v="0"/>
    <n v="631.8900000000001"/>
    <n v="0"/>
    <n v="0"/>
    <n v="0"/>
    <n v="0"/>
    <n v="3797.02"/>
    <n v="0"/>
    <n v="34.31"/>
    <n v="34.31"/>
    <n v="34.31"/>
    <n v="3762.71"/>
    <n v="34.31"/>
    <n v="597.58000000000004"/>
    <n v="597.58000000000004"/>
    <n v="597.58000000000004"/>
    <n v="3164.83"/>
    <n v="597.58000000000004"/>
    <n v="597.58000000000004"/>
    <n v="0"/>
    <n v="3164.83"/>
    <n v="0"/>
    <n v="0"/>
    <n v="3164.83"/>
    <n v="0"/>
    <n v="0"/>
    <n v="0"/>
    <n v="0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12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x v="1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m/>
    <m/>
    <n v="-4119"/>
    <m/>
    <m/>
    <n v="656"/>
    <m/>
    <m/>
    <m/>
    <m/>
    <m/>
    <m/>
    <m/>
    <m/>
    <m/>
    <m/>
    <m/>
    <n v="6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90D15-243B-43D7-B3D5-8003E1ACF3C7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4:R34" firstHeaderRow="0" firstDataRow="1" firstDataCol="4" rowPageCount="1" colPageCount="1"/>
  <pivotFields count="99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5">
        <item sd="0" x="0"/>
        <item x="2"/>
        <item sd="0" x="3"/>
        <item sd="0" x="4"/>
        <item sd="0"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x="4"/>
        <item x="5"/>
        <item sd="0" x="2"/>
        <item x="9"/>
        <item x="7"/>
        <item x="12"/>
        <item x="3"/>
        <item x="10"/>
        <item x="8"/>
        <item x="1"/>
        <item x="13"/>
        <item x="6"/>
        <item x="11"/>
        <item sd="0"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6">
        <item x="2"/>
        <item x="8"/>
        <item x="9"/>
        <item x="0"/>
        <item x="10"/>
        <item x="11"/>
        <item x="12"/>
        <item x="13"/>
        <item x="3"/>
        <item x="14"/>
        <item x="7"/>
        <item x="6"/>
        <item x="15"/>
        <item x="5"/>
        <item x="1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8">
        <item x="78"/>
        <item x="79"/>
        <item x="74"/>
        <item x="73"/>
        <item x="71"/>
        <item x="68"/>
        <item x="77"/>
        <item x="80"/>
        <item x="81"/>
        <item x="75"/>
        <item x="69"/>
        <item x="76"/>
        <item x="70"/>
        <item x="72"/>
        <item x="43"/>
        <item x="44"/>
        <item x="35"/>
        <item x="23"/>
        <item x="66"/>
        <item x="46"/>
        <item x="37"/>
        <item x="18"/>
        <item x="45"/>
        <item x="49"/>
        <item x="34"/>
        <item x="17"/>
        <item x="50"/>
        <item x="2"/>
        <item x="58"/>
        <item x="47"/>
        <item x="6"/>
        <item x="7"/>
        <item x="52"/>
        <item x="51"/>
        <item x="10"/>
        <item x="27"/>
        <item x="5"/>
        <item x="29"/>
        <item x="24"/>
        <item x="31"/>
        <item x="30"/>
        <item x="40"/>
        <item x="32"/>
        <item x="65"/>
        <item x="16"/>
        <item x="0"/>
        <item x="3"/>
        <item x="19"/>
        <item x="4"/>
        <item x="38"/>
        <item x="20"/>
        <item x="21"/>
        <item x="15"/>
        <item x="28"/>
        <item x="14"/>
        <item x="25"/>
        <item x="22"/>
        <item x="8"/>
        <item x="9"/>
        <item x="26"/>
        <item x="42"/>
        <item x="48"/>
        <item x="33"/>
        <item x="41"/>
        <item x="39"/>
        <item x="64"/>
        <item x="67"/>
        <item x="62"/>
        <item x="56"/>
        <item x="59"/>
        <item x="55"/>
        <item x="63"/>
        <item x="54"/>
        <item x="53"/>
        <item x="57"/>
        <item x="92"/>
        <item x="94"/>
        <item x="96"/>
        <item x="87"/>
        <item x="95"/>
        <item x="93"/>
        <item x="97"/>
        <item x="91"/>
        <item x="13"/>
        <item x="12"/>
        <item x="84"/>
        <item x="88"/>
        <item x="61"/>
        <item x="90"/>
        <item x="85"/>
        <item x="60"/>
        <item x="83"/>
        <item x="89"/>
        <item x="86"/>
        <item x="11"/>
        <item x="36"/>
        <item x="1"/>
        <item x="82"/>
      </items>
    </pivotField>
    <pivotField axis="axisPage" compact="0" outline="0" multipleItemSelectionAllowed="1" showAll="0" defaultSubtotal="0">
      <items count="3"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3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numFmtId="4" outline="0" showAll="0" defaultSubtotal="0"/>
  </pivotFields>
  <rowFields count="4">
    <field x="9"/>
    <field x="32"/>
    <field x="41"/>
    <field x="61"/>
  </rowFields>
  <rowItems count="30">
    <i>
      <x/>
    </i>
    <i>
      <x v="1"/>
      <x/>
      <x/>
      <x v="22"/>
    </i>
    <i r="3">
      <x v="68"/>
    </i>
    <i r="2">
      <x v="11"/>
      <x v="18"/>
    </i>
    <i r="3">
      <x v="43"/>
    </i>
    <i r="3">
      <x v="61"/>
    </i>
    <i r="1">
      <x v="6"/>
      <x/>
      <x v="22"/>
    </i>
    <i r="3">
      <x v="28"/>
    </i>
    <i r="3">
      <x v="34"/>
    </i>
    <i r="3">
      <x v="42"/>
    </i>
    <i r="3">
      <x v="47"/>
    </i>
    <i r="3">
      <x v="50"/>
    </i>
    <i r="3">
      <x v="68"/>
    </i>
    <i r="3">
      <x v="69"/>
    </i>
    <i r="3">
      <x v="70"/>
    </i>
    <i r="3">
      <x v="72"/>
    </i>
    <i r="3">
      <x v="73"/>
    </i>
    <i r="3">
      <x v="74"/>
    </i>
    <i r="3">
      <x v="95"/>
    </i>
    <i r="2">
      <x v="11"/>
      <x v="43"/>
    </i>
    <i r="3">
      <x v="65"/>
    </i>
    <i r="3">
      <x v="66"/>
    </i>
    <i r="3">
      <x v="67"/>
    </i>
    <i r="3">
      <x v="68"/>
    </i>
    <i r="3">
      <x v="70"/>
    </i>
    <i r="3">
      <x v="71"/>
    </i>
    <i>
      <x v="2"/>
    </i>
    <i>
      <x v="3"/>
    </i>
    <i>
      <x v="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62" hier="-1"/>
  </pageFields>
  <dataFields count="14">
    <dataField name="Suma de Presupuesto con Reformas" fld="84" baseField="0" baseItem="0" numFmtId="43"/>
    <dataField name="Suma de Enero4" fld="85" baseField="0" baseItem="0"/>
    <dataField name="Suma de Febrero4" fld="86" baseField="0" baseItem="0"/>
    <dataField name="Suma de Marzo4" fld="87" baseField="61" baseItem="90"/>
    <dataField name="Suma de Abril4" fld="88" baseField="61" baseItem="90"/>
    <dataField name="Suma de Mayo4" fld="89" baseField="61" baseItem="90"/>
    <dataField name="Suma de Junio4" fld="90" baseField="61" baseItem="90"/>
    <dataField name="Suma de Julio4" fld="91" baseField="61" baseItem="90"/>
    <dataField name="Suma de Agosto4" fld="92" baseField="61" baseItem="90"/>
    <dataField name="Suma de Septiembre4" fld="93" baseField="61" baseItem="90"/>
    <dataField name="Suma de Octubre4" fld="94" baseField="61" baseItem="90"/>
    <dataField name="Suma de Noviembre4" fld="95" baseField="61" baseItem="90"/>
    <dataField name="Suma de Diciembre4" fld="96" baseField="61" baseItem="90"/>
    <dataField name="Suma de Saldo Disponible" fld="97" baseField="0" baseItem="0"/>
  </dataFields>
  <formats count="65">
    <format dxfId="65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1">
            <x v="85"/>
          </reference>
        </references>
      </pivotArea>
    </format>
    <format dxfId="64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1">
            <x v="86"/>
          </reference>
        </references>
      </pivotArea>
    </format>
    <format dxfId="63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1">
            <x v="87"/>
          </reference>
        </references>
      </pivotArea>
    </format>
    <format dxfId="62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5">
            <x v="88"/>
            <x v="90"/>
            <x v="91"/>
            <x v="94"/>
            <x v="96"/>
          </reference>
        </references>
      </pivotArea>
    </format>
    <format dxfId="61">
      <pivotArea dataOnly="0" labelOnly="1" outline="0" fieldPosition="0">
        <references count="3">
          <reference field="32" count="1" selected="0">
            <x v="1"/>
          </reference>
          <reference field="41" count="1" selected="0">
            <x v="8"/>
          </reference>
          <reference field="61" count="1">
            <x v="90"/>
          </reference>
        </references>
      </pivotArea>
    </format>
    <format dxfId="60">
      <pivotArea dataOnly="0" labelOnly="1" outline="0" fieldPosition="0">
        <references count="3">
          <reference field="32" count="1" selected="0">
            <x v="1"/>
          </reference>
          <reference field="41" count="1" selected="0">
            <x v="15"/>
          </reference>
          <reference field="61" count="1">
            <x v="83"/>
          </reference>
        </references>
      </pivotArea>
    </format>
    <format dxfId="59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1"/>
          </reference>
        </references>
      </pivotArea>
    </format>
    <format dxfId="58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2"/>
          </reference>
        </references>
      </pivotArea>
    </format>
    <format dxfId="57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3"/>
          </reference>
        </references>
      </pivotArea>
    </format>
    <format dxfId="56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6"/>
          </reference>
        </references>
      </pivotArea>
    </format>
    <format dxfId="55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2">
            <x v="85"/>
            <x v="89"/>
          </reference>
        </references>
      </pivotArea>
    </format>
    <format dxfId="54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7"/>
          </reference>
          <reference field="61" count="2">
            <x v="83"/>
            <x v="91"/>
          </reference>
        </references>
      </pivotArea>
    </format>
    <format dxfId="53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2">
            <x v="75"/>
            <x v="76"/>
          </reference>
        </references>
      </pivotArea>
    </format>
    <format dxfId="52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77"/>
          </reference>
        </references>
      </pivotArea>
    </format>
    <format dxfId="51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78"/>
          </reference>
        </references>
      </pivotArea>
    </format>
    <format dxfId="50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79"/>
          </reference>
        </references>
      </pivotArea>
    </format>
    <format dxfId="49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80"/>
          </reference>
        </references>
      </pivotArea>
    </format>
    <format dxfId="48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81"/>
          </reference>
        </references>
      </pivotArea>
    </format>
    <format dxfId="47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4"/>
          </reference>
          <reference field="61" count="1">
            <x v="82"/>
          </reference>
        </references>
      </pivotArea>
    </format>
    <format dxfId="46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4"/>
          </reference>
          <reference field="61" count="1">
            <x v="83"/>
          </reference>
        </references>
      </pivotArea>
    </format>
    <format dxfId="45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4"/>
          </reference>
          <reference field="61" count="1">
            <x v="84"/>
          </reference>
        </references>
      </pivotArea>
    </format>
    <format dxfId="44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1"/>
          </reference>
        </references>
      </pivotArea>
    </format>
    <format dxfId="43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0"/>
          </reference>
        </references>
      </pivotArea>
    </format>
    <format dxfId="42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2"/>
          </reference>
        </references>
      </pivotArea>
    </format>
    <format dxfId="41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3"/>
          </reference>
        </references>
      </pivotArea>
    </format>
    <format dxfId="40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4"/>
          </reference>
        </references>
      </pivotArea>
    </format>
    <format dxfId="39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5"/>
          </reference>
        </references>
      </pivotArea>
    </format>
    <format dxfId="38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6"/>
          </reference>
        </references>
      </pivotArea>
    </format>
    <format dxfId="37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7"/>
          </reference>
        </references>
      </pivotArea>
    </format>
    <format dxfId="36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8"/>
          </reference>
        </references>
      </pivotArea>
    </format>
    <format dxfId="35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9"/>
          </reference>
        </references>
      </pivotArea>
    </format>
    <format dxfId="34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10"/>
          </reference>
        </references>
      </pivotArea>
    </format>
    <format dxfId="33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11"/>
          </reference>
        </references>
      </pivotArea>
    </format>
    <format dxfId="32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2">
            <x v="12"/>
            <x v="13"/>
          </reference>
        </references>
      </pivotArea>
    </format>
    <format dxfId="31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28"/>
          </reference>
        </references>
      </pivotArea>
    </format>
    <format dxfId="30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22"/>
          </reference>
        </references>
      </pivotArea>
    </format>
    <format dxfId="29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11"/>
          </reference>
          <reference field="61" count="1">
            <x v="61"/>
          </reference>
        </references>
      </pivotArea>
    </format>
    <format dxfId="28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11"/>
          </reference>
          <reference field="61" count="1">
            <x v="43"/>
          </reference>
        </references>
      </pivotArea>
    </format>
    <format dxfId="27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11"/>
          </reference>
          <reference field="61" count="1">
            <x v="18"/>
          </reference>
        </references>
      </pivotArea>
    </format>
    <format dxfId="26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0"/>
          </reference>
          <reference field="61" count="1">
            <x v="68"/>
          </reference>
        </references>
      </pivotArea>
    </format>
    <format dxfId="25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0"/>
          </reference>
          <reference field="61" count="1">
            <x v="22"/>
          </reference>
        </references>
      </pivotArea>
    </format>
    <format dxfId="24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34"/>
          </reference>
        </references>
      </pivotArea>
    </format>
    <format dxfId="23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42"/>
          </reference>
        </references>
      </pivotArea>
    </format>
    <format dxfId="22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47"/>
          </reference>
        </references>
      </pivotArea>
    </format>
    <format dxfId="21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50"/>
          </reference>
        </references>
      </pivotArea>
    </format>
    <format dxfId="20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68"/>
          </reference>
        </references>
      </pivotArea>
    </format>
    <format dxfId="19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69"/>
          </reference>
        </references>
      </pivotArea>
    </format>
    <format dxfId="18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0"/>
          </reference>
        </references>
      </pivotArea>
    </format>
    <format dxfId="17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2"/>
          </reference>
        </references>
      </pivotArea>
    </format>
    <format dxfId="16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4"/>
          </reference>
        </references>
      </pivotArea>
    </format>
    <format dxfId="15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95"/>
          </reference>
        </references>
      </pivotArea>
    </format>
    <format dxfId="14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3"/>
          </reference>
        </references>
      </pivotArea>
    </format>
    <format dxfId="13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11"/>
          </reference>
          <reference field="61" count="7">
            <x v="43"/>
            <x v="65"/>
            <x v="66"/>
            <x v="67"/>
            <x v="68"/>
            <x v="70"/>
            <x v="71"/>
          </reference>
        </references>
      </pivotArea>
    </format>
    <format dxfId="12">
      <pivotArea outline="0" fieldPosition="0">
        <references count="4">
          <reference field="4294967294" count="6" selected="0">
            <x v="7"/>
            <x v="8"/>
            <x v="9"/>
            <x v="10"/>
            <x v="11"/>
            <x v="12"/>
          </reference>
          <reference field="32" count="1" selected="0">
            <x v="13"/>
          </reference>
          <reference field="41" count="1" selected="0">
            <x v="3"/>
          </reference>
          <reference field="61" count="1" selected="0">
            <x v="32"/>
          </reference>
        </references>
      </pivotArea>
    </format>
    <format dxfId="11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2">
            <x v="14"/>
            <x v="15"/>
          </reference>
        </references>
      </pivotArea>
    </format>
    <format dxfId="10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16"/>
          </reference>
        </references>
      </pivotArea>
    </format>
    <format dxfId="9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5">
            <x v="17"/>
            <x v="19"/>
            <x v="20"/>
            <x v="21"/>
            <x v="22"/>
          </reference>
        </references>
      </pivotArea>
    </format>
    <format dxfId="8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23"/>
          </reference>
        </references>
      </pivotArea>
    </format>
    <format dxfId="7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2">
            <x v="24"/>
            <x v="25"/>
          </reference>
        </references>
      </pivotArea>
    </format>
    <format dxfId="6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4">
            <x v="26"/>
            <x v="27"/>
            <x v="29"/>
            <x v="30"/>
          </reference>
        </references>
      </pivotArea>
    </format>
    <format dxfId="5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31"/>
          </reference>
        </references>
      </pivotArea>
    </format>
    <format dxfId="4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4">
            <x v="32"/>
            <x v="33"/>
            <x v="34"/>
            <x v="35"/>
          </reference>
        </references>
      </pivotArea>
    </format>
    <format dxfId="3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36"/>
          </reference>
        </references>
      </pivotArea>
    </format>
    <format dxfId="2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48"/>
          </reference>
        </references>
      </pivotArea>
    </format>
    <format dxfId="1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5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E55C7-8E25-4C3C-B992-0F077988986A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6" firstHeaderRow="0" firstDataRow="1" firstDataCol="1" rowPageCount="1" colPageCount="1"/>
  <pivotFields count="129"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dataField="1" numFmtId="43" showAll="0"/>
    <pivotField numFmtId="43" showAll="0"/>
    <pivotField dataField="1" numFmtId="43" showAll="0"/>
    <pivotField dataField="1" numFmtId="43" showAll="0"/>
  </pivotFields>
  <rowFields count="1">
    <field x="33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1" hier="-1"/>
  </pageFields>
  <dataFields count="4">
    <dataField name="Suma de Presupuesto con Reformas" fld="84" baseField="0" baseItem="0" numFmtId="43"/>
    <dataField name="Suma de Certificado Junio" fld="125" baseField="0" baseItem="0" numFmtId="43"/>
    <dataField name="Suma de Compromiso Total" fld="128" baseField="0" baseItem="0" numFmtId="43"/>
    <dataField name="Suma de Devengo Total" fld="12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W230" dT="2026-07-01T16:55:25.45" personId="{7BC94731-7DEC-4103-89D3-F0457FE923EB}" id="{5EDFD7EC-0DAA-49D4-8AF9-3C6235BABC93}">
    <text>A la espera de subir en función del QF</text>
  </threadedComment>
  <threadedComment ref="CW232" dT="2026-07-01T16:55:25.45" personId="{7BC94731-7DEC-4103-89D3-F0457FE923EB}" id="{808D13DE-DE74-4DF0-8A86-3C23893401FA}">
    <text>A la espera de subir en función del QF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725F-4B23-4FDB-A0BB-36449880360C}">
  <dimension ref="A2:R167"/>
  <sheetViews>
    <sheetView topLeftCell="A4" workbookViewId="0">
      <pane ySplit="600" activePane="bottomLeft"/>
      <selection activeCell="E5" sqref="E5"/>
      <selection pane="bottomLeft" activeCell="E5" sqref="E5"/>
    </sheetView>
  </sheetViews>
  <sheetFormatPr baseColWidth="10" defaultColWidth="10.7109375" defaultRowHeight="15" x14ac:dyDescent="0.25"/>
  <cols>
    <col min="1" max="1" width="24.5703125" customWidth="1"/>
    <col min="2" max="2" width="19" customWidth="1"/>
    <col min="3" max="15" width="12.42578125" style="115" customWidth="1"/>
  </cols>
  <sheetData>
    <row r="2" spans="1:18" x14ac:dyDescent="0.25">
      <c r="A2" s="114" t="s">
        <v>523</v>
      </c>
      <c r="B2" t="s">
        <v>1190</v>
      </c>
    </row>
    <row r="4" spans="1:18" x14ac:dyDescent="0.25">
      <c r="A4" s="114" t="s">
        <v>528</v>
      </c>
      <c r="B4" s="114" t="s">
        <v>501</v>
      </c>
      <c r="C4" s="114" t="s">
        <v>521</v>
      </c>
      <c r="D4" s="114" t="s">
        <v>50</v>
      </c>
      <c r="E4" t="s">
        <v>1159</v>
      </c>
      <c r="F4" t="s">
        <v>1189</v>
      </c>
      <c r="G4" t="s">
        <v>1188</v>
      </c>
      <c r="H4" t="s">
        <v>1187</v>
      </c>
      <c r="I4" t="s">
        <v>1186</v>
      </c>
      <c r="J4" t="s">
        <v>1185</v>
      </c>
      <c r="K4" t="s">
        <v>1184</v>
      </c>
      <c r="L4" t="s">
        <v>1183</v>
      </c>
      <c r="M4" t="s">
        <v>1182</v>
      </c>
      <c r="N4" t="s">
        <v>1181</v>
      </c>
      <c r="O4" t="s">
        <v>1180</v>
      </c>
      <c r="P4" t="s">
        <v>1179</v>
      </c>
      <c r="Q4" t="s">
        <v>1178</v>
      </c>
      <c r="R4" t="s">
        <v>1177</v>
      </c>
    </row>
    <row r="5" spans="1:18" x14ac:dyDescent="0.25">
      <c r="A5" t="s">
        <v>29</v>
      </c>
      <c r="C5"/>
      <c r="D5"/>
      <c r="E5" s="99">
        <v>1394906.6400000001</v>
      </c>
      <c r="F5">
        <v>35305.509999999995</v>
      </c>
      <c r="G5">
        <v>54629.460000000006</v>
      </c>
      <c r="H5">
        <v>85831.37</v>
      </c>
      <c r="I5">
        <v>95206.41</v>
      </c>
      <c r="J5">
        <v>33638.76</v>
      </c>
      <c r="K5">
        <v>73720.209999999992</v>
      </c>
      <c r="L5">
        <v>124420.84666666668</v>
      </c>
      <c r="M5">
        <v>140221.11666666667</v>
      </c>
      <c r="N5">
        <v>84384.08666666667</v>
      </c>
      <c r="O5">
        <v>72883.366666666669</v>
      </c>
      <c r="P5">
        <v>250825.41666666669</v>
      </c>
      <c r="Q5">
        <v>341493.08666666673</v>
      </c>
      <c r="R5">
        <v>2347</v>
      </c>
    </row>
    <row r="6" spans="1:18" x14ac:dyDescent="0.25">
      <c r="A6" t="s">
        <v>532</v>
      </c>
      <c r="B6" t="s">
        <v>773</v>
      </c>
      <c r="C6" t="s">
        <v>543</v>
      </c>
      <c r="D6" s="124">
        <v>530207</v>
      </c>
      <c r="E6" s="99">
        <v>110000</v>
      </c>
      <c r="F6"/>
      <c r="G6"/>
      <c r="H6">
        <v>0</v>
      </c>
      <c r="I6">
        <v>55111.72</v>
      </c>
      <c r="J6">
        <v>0</v>
      </c>
      <c r="K6">
        <v>6138</v>
      </c>
      <c r="L6">
        <v>48750.28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25">
      <c r="C7"/>
      <c r="D7" s="124">
        <v>630207</v>
      </c>
      <c r="E7" s="99">
        <v>184612.46</v>
      </c>
      <c r="F7"/>
      <c r="G7"/>
      <c r="H7">
        <v>0</v>
      </c>
      <c r="I7">
        <v>3274.46</v>
      </c>
      <c r="J7">
        <v>5394.14</v>
      </c>
      <c r="K7">
        <v>69518.649999999994</v>
      </c>
      <c r="L7">
        <v>8430.5</v>
      </c>
      <c r="M7">
        <v>8430.5</v>
      </c>
      <c r="N7">
        <v>28430.5</v>
      </c>
      <c r="O7">
        <v>8430.5</v>
      </c>
      <c r="P7">
        <v>8430.5</v>
      </c>
      <c r="Q7">
        <v>44272.71</v>
      </c>
    </row>
    <row r="8" spans="1:18" x14ac:dyDescent="0.25">
      <c r="C8" t="s">
        <v>541</v>
      </c>
      <c r="D8" s="124">
        <v>530201</v>
      </c>
      <c r="E8" s="99">
        <v>0</v>
      </c>
      <c r="F8"/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8" x14ac:dyDescent="0.25">
      <c r="C9"/>
      <c r="D9" s="124">
        <v>530613</v>
      </c>
      <c r="E9" s="99">
        <v>40648.5</v>
      </c>
      <c r="F9"/>
      <c r="G9"/>
      <c r="H9">
        <v>0</v>
      </c>
      <c r="I9"/>
      <c r="J9">
        <v>40648.5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8" x14ac:dyDescent="0.25">
      <c r="C10"/>
      <c r="D10" s="124">
        <v>570199</v>
      </c>
      <c r="E10" s="99">
        <v>900</v>
      </c>
      <c r="F10"/>
      <c r="G10"/>
      <c r="H10"/>
      <c r="I10">
        <v>808.4</v>
      </c>
      <c r="J10"/>
      <c r="K10"/>
      <c r="L10"/>
      <c r="M10"/>
      <c r="N10"/>
      <c r="O10"/>
      <c r="Q10">
        <v>91.6</v>
      </c>
    </row>
    <row r="11" spans="1:18" x14ac:dyDescent="0.25">
      <c r="B11" t="s">
        <v>534</v>
      </c>
      <c r="C11" t="s">
        <v>543</v>
      </c>
      <c r="D11" s="124">
        <v>530207</v>
      </c>
      <c r="E11" s="99">
        <v>80775</v>
      </c>
      <c r="F11"/>
      <c r="G11"/>
      <c r="H11"/>
      <c r="I11"/>
      <c r="J11"/>
      <c r="K11">
        <v>32000</v>
      </c>
      <c r="L11">
        <v>10000</v>
      </c>
      <c r="M11">
        <v>10000</v>
      </c>
      <c r="N11">
        <v>10000</v>
      </c>
      <c r="O11"/>
      <c r="Q11">
        <v>18775</v>
      </c>
    </row>
    <row r="12" spans="1:18" x14ac:dyDescent="0.25">
      <c r="C12"/>
      <c r="D12" s="124">
        <v>530249</v>
      </c>
      <c r="E12" s="99">
        <v>150000</v>
      </c>
      <c r="F12"/>
      <c r="G12"/>
      <c r="H12"/>
      <c r="I12"/>
      <c r="J12"/>
      <c r="K12"/>
      <c r="L12"/>
      <c r="M12"/>
      <c r="N12"/>
      <c r="O12"/>
      <c r="R12">
        <v>150000</v>
      </c>
    </row>
    <row r="13" spans="1:18" x14ac:dyDescent="0.25">
      <c r="C13"/>
      <c r="D13" s="124">
        <v>530402</v>
      </c>
      <c r="E13" s="99">
        <v>12600</v>
      </c>
      <c r="F13"/>
      <c r="G13"/>
      <c r="H13"/>
      <c r="I13"/>
      <c r="J13"/>
      <c r="K13"/>
      <c r="L13"/>
      <c r="M13">
        <v>12600</v>
      </c>
      <c r="N13"/>
      <c r="O13"/>
    </row>
    <row r="14" spans="1:18" x14ac:dyDescent="0.25">
      <c r="C14"/>
      <c r="D14" s="124">
        <v>530606</v>
      </c>
      <c r="E14" s="99">
        <v>65000</v>
      </c>
      <c r="F14">
        <v>2500</v>
      </c>
      <c r="G14">
        <v>2500</v>
      </c>
      <c r="H14">
        <v>2500</v>
      </c>
      <c r="I14">
        <v>2500</v>
      </c>
      <c r="J14">
        <v>2500</v>
      </c>
      <c r="K14">
        <v>2500</v>
      </c>
      <c r="L14">
        <v>7500</v>
      </c>
      <c r="M14">
        <v>15000</v>
      </c>
      <c r="N14">
        <v>5000</v>
      </c>
      <c r="O14">
        <v>5000</v>
      </c>
      <c r="P14">
        <v>5000</v>
      </c>
      <c r="R14">
        <v>12500</v>
      </c>
    </row>
    <row r="15" spans="1:18" x14ac:dyDescent="0.25">
      <c r="C15"/>
      <c r="D15" s="124">
        <v>530801</v>
      </c>
      <c r="E15" s="99">
        <v>14500</v>
      </c>
      <c r="F15"/>
      <c r="G15"/>
      <c r="H15"/>
      <c r="I15">
        <v>0</v>
      </c>
      <c r="J15">
        <v>0</v>
      </c>
      <c r="K15">
        <v>3625</v>
      </c>
      <c r="L15">
        <v>3625</v>
      </c>
      <c r="M15">
        <v>7250</v>
      </c>
      <c r="N15"/>
      <c r="O15"/>
    </row>
    <row r="16" spans="1:18" x14ac:dyDescent="0.25">
      <c r="C16"/>
      <c r="D16" s="124">
        <v>530804</v>
      </c>
      <c r="E16" s="99">
        <v>0</v>
      </c>
      <c r="F16"/>
      <c r="G16"/>
      <c r="H16"/>
      <c r="I16"/>
      <c r="J16"/>
      <c r="K16"/>
      <c r="L16"/>
      <c r="M16"/>
      <c r="N16"/>
      <c r="O16"/>
    </row>
    <row r="17" spans="1:18" x14ac:dyDescent="0.25">
      <c r="C17"/>
      <c r="D17" s="124">
        <v>630207</v>
      </c>
      <c r="E17" s="99">
        <v>1594975</v>
      </c>
      <c r="F17"/>
      <c r="G17"/>
      <c r="H17">
        <v>0</v>
      </c>
      <c r="I17">
        <v>0</v>
      </c>
      <c r="J17">
        <v>0</v>
      </c>
      <c r="K17">
        <v>64000</v>
      </c>
      <c r="L17">
        <v>0</v>
      </c>
      <c r="M17">
        <v>50000</v>
      </c>
      <c r="N17">
        <v>138000</v>
      </c>
      <c r="O17">
        <v>253000</v>
      </c>
      <c r="P17">
        <v>253000</v>
      </c>
      <c r="Q17">
        <v>748475</v>
      </c>
      <c r="R17">
        <v>88500</v>
      </c>
    </row>
    <row r="18" spans="1:18" x14ac:dyDescent="0.25">
      <c r="C18"/>
      <c r="D18" s="124">
        <v>630502</v>
      </c>
      <c r="E18" s="99">
        <v>0</v>
      </c>
      <c r="F18"/>
      <c r="G18"/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8" x14ac:dyDescent="0.25">
      <c r="C19"/>
      <c r="D19" s="124">
        <v>630601</v>
      </c>
      <c r="E19" s="99">
        <v>0</v>
      </c>
      <c r="F19"/>
      <c r="G19"/>
      <c r="H19"/>
      <c r="I19"/>
      <c r="J19"/>
      <c r="K19"/>
      <c r="L19"/>
      <c r="M19"/>
      <c r="N19"/>
      <c r="O19"/>
      <c r="Q19">
        <v>0</v>
      </c>
    </row>
    <row r="20" spans="1:18" x14ac:dyDescent="0.25">
      <c r="C20"/>
      <c r="D20" s="124">
        <v>630804</v>
      </c>
      <c r="E20" s="99">
        <v>5000</v>
      </c>
      <c r="F20"/>
      <c r="G20"/>
      <c r="H20"/>
      <c r="I20"/>
      <c r="J20"/>
      <c r="K20"/>
      <c r="L20"/>
      <c r="M20">
        <v>5000</v>
      </c>
      <c r="N20"/>
      <c r="O20"/>
    </row>
    <row r="21" spans="1:18" x14ac:dyDescent="0.25">
      <c r="C21"/>
      <c r="D21" s="124">
        <v>631203</v>
      </c>
      <c r="E21" s="99">
        <v>115000</v>
      </c>
      <c r="F21"/>
      <c r="G21">
        <v>12208.1</v>
      </c>
      <c r="H21">
        <v>5860.59</v>
      </c>
      <c r="I21">
        <v>5840.31</v>
      </c>
      <c r="J21">
        <v>4442.68</v>
      </c>
      <c r="K21">
        <v>3092.61</v>
      </c>
      <c r="L21">
        <v>3092.61</v>
      </c>
      <c r="M21">
        <v>18092.61</v>
      </c>
      <c r="N21">
        <v>3092.61</v>
      </c>
      <c r="O21">
        <v>3092.61</v>
      </c>
      <c r="P21">
        <v>3092.61</v>
      </c>
      <c r="Q21">
        <v>53092.66</v>
      </c>
    </row>
    <row r="22" spans="1:18" x14ac:dyDescent="0.25">
      <c r="C22"/>
      <c r="D22" s="124">
        <v>670204</v>
      </c>
      <c r="E22" s="99">
        <v>3000</v>
      </c>
      <c r="F22"/>
      <c r="G22">
        <v>272.72000000000003</v>
      </c>
      <c r="H22">
        <v>272.72000000000003</v>
      </c>
      <c r="I22">
        <v>272.72000000000003</v>
      </c>
      <c r="J22">
        <v>272.73</v>
      </c>
      <c r="K22">
        <v>272.73</v>
      </c>
      <c r="L22">
        <v>272.73</v>
      </c>
      <c r="M22">
        <v>272.73</v>
      </c>
      <c r="N22">
        <v>272.73</v>
      </c>
      <c r="O22">
        <v>272.73</v>
      </c>
      <c r="P22">
        <v>272.73</v>
      </c>
      <c r="Q22">
        <v>272.73</v>
      </c>
    </row>
    <row r="23" spans="1:18" x14ac:dyDescent="0.25">
      <c r="C23"/>
      <c r="D23" s="124">
        <v>840104</v>
      </c>
      <c r="E23" s="99">
        <v>29000</v>
      </c>
      <c r="F23"/>
      <c r="G23"/>
      <c r="H23"/>
      <c r="I23"/>
      <c r="J23"/>
      <c r="K23">
        <v>0</v>
      </c>
      <c r="L23"/>
      <c r="M23">
        <v>29000</v>
      </c>
      <c r="N23"/>
      <c r="O23"/>
    </row>
    <row r="24" spans="1:18" x14ac:dyDescent="0.25">
      <c r="C24" t="s">
        <v>541</v>
      </c>
      <c r="D24" s="124">
        <v>530613</v>
      </c>
      <c r="E24" s="99">
        <v>131188</v>
      </c>
      <c r="F24"/>
      <c r="G24"/>
      <c r="H24">
        <v>0</v>
      </c>
      <c r="I24">
        <v>0</v>
      </c>
      <c r="J24">
        <v>1492.25</v>
      </c>
      <c r="K24">
        <v>0</v>
      </c>
      <c r="L24">
        <v>0</v>
      </c>
      <c r="M24">
        <v>0</v>
      </c>
      <c r="N24">
        <v>50800</v>
      </c>
      <c r="O24">
        <v>0</v>
      </c>
      <c r="P24">
        <v>0</v>
      </c>
      <c r="Q24">
        <v>78895.75</v>
      </c>
    </row>
    <row r="25" spans="1:18" x14ac:dyDescent="0.25">
      <c r="C25"/>
      <c r="D25" s="124">
        <v>630105</v>
      </c>
      <c r="E25" s="99">
        <v>1000</v>
      </c>
      <c r="F25"/>
      <c r="G25">
        <v>88.91</v>
      </c>
      <c r="H25">
        <v>88.91</v>
      </c>
      <c r="I25">
        <v>92.91</v>
      </c>
      <c r="J25">
        <v>90.91</v>
      </c>
      <c r="K25">
        <v>90.91</v>
      </c>
      <c r="L25">
        <v>90.91</v>
      </c>
      <c r="M25">
        <v>90.91</v>
      </c>
      <c r="N25">
        <v>90.91</v>
      </c>
      <c r="O25">
        <v>90.91</v>
      </c>
      <c r="P25">
        <v>90.91</v>
      </c>
      <c r="Q25">
        <v>92.9</v>
      </c>
    </row>
    <row r="26" spans="1:18" x14ac:dyDescent="0.25">
      <c r="C26"/>
      <c r="D26" s="124">
        <v>630201</v>
      </c>
      <c r="E26" s="99">
        <v>0</v>
      </c>
      <c r="F26"/>
      <c r="G26"/>
      <c r="H26"/>
      <c r="I26"/>
      <c r="J26"/>
      <c r="K26"/>
      <c r="L26"/>
      <c r="M26"/>
      <c r="N26"/>
      <c r="O26"/>
      <c r="Q26">
        <v>0</v>
      </c>
    </row>
    <row r="27" spans="1:18" x14ac:dyDescent="0.25">
      <c r="C27"/>
      <c r="D27" s="124">
        <v>630204</v>
      </c>
      <c r="E27" s="99">
        <v>4100</v>
      </c>
      <c r="F27"/>
      <c r="G27"/>
      <c r="H27">
        <v>0</v>
      </c>
      <c r="I27">
        <v>0</v>
      </c>
      <c r="J27">
        <v>41.4</v>
      </c>
      <c r="K27">
        <v>0</v>
      </c>
      <c r="L27">
        <v>0</v>
      </c>
      <c r="M27">
        <v>0</v>
      </c>
      <c r="N27">
        <v>4000</v>
      </c>
      <c r="O27">
        <v>0</v>
      </c>
      <c r="P27">
        <v>0</v>
      </c>
      <c r="Q27">
        <v>58.6</v>
      </c>
    </row>
    <row r="28" spans="1:18" x14ac:dyDescent="0.25">
      <c r="C28"/>
      <c r="D28" s="124">
        <v>630207</v>
      </c>
      <c r="E28" s="99">
        <v>9000</v>
      </c>
      <c r="F28"/>
      <c r="G28"/>
      <c r="H28"/>
      <c r="I28"/>
      <c r="J28"/>
      <c r="K28"/>
      <c r="L28">
        <v>0</v>
      </c>
      <c r="M28">
        <v>3000</v>
      </c>
      <c r="N28"/>
      <c r="O28">
        <v>3000</v>
      </c>
      <c r="Q28">
        <v>3000</v>
      </c>
    </row>
    <row r="29" spans="1:18" x14ac:dyDescent="0.25">
      <c r="C29"/>
      <c r="D29" s="124">
        <v>630601</v>
      </c>
      <c r="E29" s="99">
        <v>42500</v>
      </c>
      <c r="F29"/>
      <c r="G29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20000</v>
      </c>
      <c r="O29">
        <v>0</v>
      </c>
      <c r="P29">
        <v>0</v>
      </c>
      <c r="Q29">
        <v>22500</v>
      </c>
    </row>
    <row r="30" spans="1:18" x14ac:dyDescent="0.25">
      <c r="C30"/>
      <c r="D30" s="124">
        <v>630602</v>
      </c>
      <c r="E30" s="99">
        <v>0</v>
      </c>
      <c r="F30"/>
      <c r="G30"/>
      <c r="H30"/>
      <c r="I30"/>
      <c r="J30"/>
      <c r="K30"/>
      <c r="L30"/>
      <c r="M30"/>
      <c r="N30"/>
      <c r="O30"/>
    </row>
    <row r="31" spans="1:18" x14ac:dyDescent="0.25">
      <c r="A31" t="s">
        <v>28</v>
      </c>
      <c r="C31"/>
      <c r="D31"/>
      <c r="E31" s="99">
        <v>2369196.29</v>
      </c>
      <c r="F31">
        <v>184076.89</v>
      </c>
      <c r="G31">
        <v>172473.81</v>
      </c>
      <c r="H31">
        <v>181726.4</v>
      </c>
      <c r="I31">
        <v>191975.15</v>
      </c>
      <c r="J31">
        <v>196340.31</v>
      </c>
      <c r="K31">
        <v>205797.45</v>
      </c>
      <c r="L31">
        <v>206134.38</v>
      </c>
      <c r="M31">
        <v>206134.38</v>
      </c>
      <c r="N31">
        <v>206134.38</v>
      </c>
      <c r="O31">
        <v>206134.38</v>
      </c>
      <c r="P31">
        <v>206134.38</v>
      </c>
      <c r="Q31">
        <v>206134.38</v>
      </c>
    </row>
    <row r="32" spans="1:18" x14ac:dyDescent="0.25">
      <c r="A32" t="s">
        <v>30</v>
      </c>
      <c r="C32"/>
      <c r="D32"/>
      <c r="E32" s="99">
        <v>0</v>
      </c>
      <c r="F32"/>
      <c r="G32"/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8" x14ac:dyDescent="0.25">
      <c r="A33" t="s">
        <v>529</v>
      </c>
      <c r="C33"/>
      <c r="D33"/>
      <c r="E33" s="99">
        <v>3353760.0000000005</v>
      </c>
      <c r="F33">
        <v>12112.884166666667</v>
      </c>
      <c r="G33">
        <v>92671.254166666666</v>
      </c>
      <c r="H33">
        <v>20700.124166666665</v>
      </c>
      <c r="I33">
        <v>61390.574166666665</v>
      </c>
      <c r="J33">
        <v>9820.5741666666672</v>
      </c>
      <c r="K33">
        <v>158389.82416666669</v>
      </c>
      <c r="L33">
        <v>38132.70416666667</v>
      </c>
      <c r="M33">
        <v>238012.88416666668</v>
      </c>
      <c r="N33">
        <v>388462.58416666661</v>
      </c>
      <c r="O33">
        <v>146962.5841666667</v>
      </c>
      <c r="P33">
        <v>239362.5841666667</v>
      </c>
      <c r="Q33">
        <v>1947741.4241666668</v>
      </c>
    </row>
    <row r="34" spans="1:18" x14ac:dyDescent="0.25">
      <c r="A34" t="s">
        <v>1158</v>
      </c>
      <c r="C34"/>
      <c r="D34"/>
      <c r="E34" s="99">
        <v>9711661.8900000006</v>
      </c>
      <c r="F34">
        <v>233995.28416666668</v>
      </c>
      <c r="G34">
        <v>334844.25416666665</v>
      </c>
      <c r="H34">
        <v>296980.11416666664</v>
      </c>
      <c r="I34">
        <v>416472.65416666662</v>
      </c>
      <c r="J34">
        <v>294682.25416666665</v>
      </c>
      <c r="K34">
        <v>619145.38416666666</v>
      </c>
      <c r="L34">
        <v>450449.96083333337</v>
      </c>
      <c r="M34">
        <v>743105.13083333336</v>
      </c>
      <c r="N34">
        <v>938667.80083333317</v>
      </c>
      <c r="O34">
        <v>698867.08083333331</v>
      </c>
      <c r="P34">
        <v>966209.13083333336</v>
      </c>
      <c r="Q34">
        <v>3464895.8408333333</v>
      </c>
      <c r="R34">
        <v>253347</v>
      </c>
    </row>
    <row r="35" spans="1:18" x14ac:dyDescent="0.25"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8" x14ac:dyDescent="0.25"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8" x14ac:dyDescent="0.25"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8" x14ac:dyDescent="0.25"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8" x14ac:dyDescent="0.25"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8" x14ac:dyDescent="0.25"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8" x14ac:dyDescent="0.25"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8" x14ac:dyDescent="0.25"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8" x14ac:dyDescent="0.25"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8" x14ac:dyDescent="0.25"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8" x14ac:dyDescent="0.25"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8" x14ac:dyDescent="0.25"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8" x14ac:dyDescent="0.25"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8" x14ac:dyDescent="0.25">
      <c r="C48"/>
      <c r="D48"/>
      <c r="E48"/>
      <c r="F48"/>
      <c r="G48"/>
      <c r="H48"/>
      <c r="I48"/>
      <c r="J48"/>
      <c r="K48"/>
      <c r="L48"/>
      <c r="M48"/>
      <c r="N48"/>
      <c r="O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</sheetData>
  <pageMargins left="0.7" right="0.7" top="0.75" bottom="0.75" header="0.3" footer="0.3"/>
  <pageSetup orientation="portrait" verticalDpi="597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6E91-21C6-4446-B310-474A469A1038}">
  <dimension ref="A1:E6"/>
  <sheetViews>
    <sheetView workbookViewId="0">
      <selection activeCell="C11" sqref="C11"/>
    </sheetView>
  </sheetViews>
  <sheetFormatPr baseColWidth="10" defaultColWidth="10.7109375" defaultRowHeight="15" x14ac:dyDescent="0.25"/>
  <cols>
    <col min="1" max="1" width="16.5703125" bestFit="1" customWidth="1"/>
    <col min="2" max="2" width="31.5703125" bestFit="1" customWidth="1"/>
    <col min="3" max="3" width="23" bestFit="1" customWidth="1"/>
    <col min="4" max="4" width="24.42578125" bestFit="1" customWidth="1"/>
    <col min="5" max="5" width="21" bestFit="1" customWidth="1"/>
    <col min="6" max="12" width="31.5703125" bestFit="1" customWidth="1"/>
    <col min="13" max="13" width="36.28515625" bestFit="1" customWidth="1"/>
    <col min="14" max="14" width="27.7109375" bestFit="1" customWidth="1"/>
    <col min="15" max="15" width="29.28515625" bestFit="1" customWidth="1"/>
    <col min="16" max="16" width="25.7109375" bestFit="1" customWidth="1"/>
  </cols>
  <sheetData>
    <row r="1" spans="1:5" x14ac:dyDescent="0.25">
      <c r="A1" s="114" t="s">
        <v>516</v>
      </c>
      <c r="B1" t="s">
        <v>5</v>
      </c>
    </row>
    <row r="3" spans="1:5" x14ac:dyDescent="0.25">
      <c r="A3" s="114" t="s">
        <v>1191</v>
      </c>
      <c r="B3" t="s">
        <v>1159</v>
      </c>
      <c r="C3" t="s">
        <v>1194</v>
      </c>
      <c r="D3" t="s">
        <v>1193</v>
      </c>
      <c r="E3" t="s">
        <v>1192</v>
      </c>
    </row>
    <row r="4" spans="1:5" x14ac:dyDescent="0.25">
      <c r="A4" s="69" t="s">
        <v>530</v>
      </c>
      <c r="B4" s="99">
        <v>2770327.5</v>
      </c>
      <c r="C4" s="99">
        <v>330195.71000000002</v>
      </c>
      <c r="D4" s="99">
        <v>170523.64</v>
      </c>
      <c r="E4" s="99">
        <v>109993.64</v>
      </c>
    </row>
    <row r="5" spans="1:5" x14ac:dyDescent="0.25">
      <c r="A5" s="69" t="s">
        <v>531</v>
      </c>
      <c r="B5" s="99">
        <v>583432.5</v>
      </c>
      <c r="C5" s="99">
        <v>0</v>
      </c>
      <c r="D5" s="99">
        <v>583432.5</v>
      </c>
      <c r="E5" s="99">
        <v>320284.98</v>
      </c>
    </row>
    <row r="6" spans="1:5" x14ac:dyDescent="0.25">
      <c r="A6" s="69" t="s">
        <v>1158</v>
      </c>
      <c r="B6" s="99">
        <v>3353760</v>
      </c>
      <c r="C6" s="99">
        <v>330195.71000000002</v>
      </c>
      <c r="D6" s="99">
        <v>753956.14</v>
      </c>
      <c r="E6" s="99">
        <v>430278.62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F0"/>
  </sheetPr>
  <dimension ref="A1:DD372"/>
  <sheetViews>
    <sheetView showGridLines="0" tabSelected="1" topLeftCell="A150" zoomScale="115" zoomScaleNormal="115" workbookViewId="0">
      <pane ySplit="12540" topLeftCell="A336"/>
      <selection activeCell="BH140" sqref="BH140"/>
      <selection pane="bottomLeft" activeCell="A288" sqref="A288"/>
    </sheetView>
  </sheetViews>
  <sheetFormatPr baseColWidth="10" defaultColWidth="17" defaultRowHeight="15" customHeight="1" x14ac:dyDescent="0.25"/>
  <cols>
    <col min="1" max="1" width="41.7109375" style="1" customWidth="1"/>
    <col min="2" max="4" width="17" hidden="1" customWidth="1"/>
    <col min="5" max="5" width="12.28515625" hidden="1" customWidth="1"/>
    <col min="6" max="10" width="17" hidden="1" customWidth="1"/>
    <col min="11" max="11" width="17" style="69" hidden="1" customWidth="1"/>
    <col min="12" max="57" width="17" hidden="1" customWidth="1"/>
    <col min="58" max="58" width="134.28515625" style="1" customWidth="1"/>
    <col min="59" max="59" width="12.140625" hidden="1" customWidth="1"/>
    <col min="60" max="60" width="35.7109375" customWidth="1"/>
    <col min="61" max="61" width="12.42578125" hidden="1" customWidth="1"/>
    <col min="62" max="63" width="17" customWidth="1"/>
    <col min="64" max="82" width="17" hidden="1" customWidth="1"/>
    <col min="83" max="83" width="5.28515625" hidden="1" customWidth="1"/>
    <col min="84" max="84" width="10.85546875" hidden="1" customWidth="1"/>
    <col min="85" max="85" width="3.42578125" hidden="1" customWidth="1"/>
    <col min="86" max="86" width="17" customWidth="1"/>
    <col min="87" max="97" width="13.85546875" hidden="1" customWidth="1"/>
    <col min="98" max="99" width="13.85546875" customWidth="1"/>
    <col min="100" max="100" width="17" customWidth="1"/>
    <col min="101" max="101" width="44.140625" style="134" customWidth="1"/>
    <col min="102" max="105" width="54.28515625" customWidth="1"/>
    <col min="106" max="106" width="50" customWidth="1"/>
    <col min="107" max="107" width="31.28515625" customWidth="1"/>
    <col min="108" max="108" width="31.5703125" customWidth="1"/>
  </cols>
  <sheetData>
    <row r="1" spans="1:108" ht="15" customHeight="1" x14ac:dyDescent="0.25">
      <c r="B1" s="182" t="s">
        <v>525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3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133"/>
    </row>
    <row r="2" spans="1:108" ht="15" customHeight="1" x14ac:dyDescent="0.25">
      <c r="B2" s="70"/>
    </row>
    <row r="4" spans="1:108" ht="24" customHeight="1" x14ac:dyDescent="0.25">
      <c r="B4" s="184" t="s">
        <v>20</v>
      </c>
      <c r="C4" s="184"/>
      <c r="D4" s="184"/>
      <c r="F4" s="186" t="s">
        <v>91</v>
      </c>
      <c r="G4" s="186"/>
      <c r="H4" s="186"/>
      <c r="I4" s="186"/>
      <c r="K4" s="193" t="s">
        <v>499</v>
      </c>
      <c r="L4" s="193"/>
      <c r="M4" s="193"/>
      <c r="N4" s="193"/>
      <c r="O4" s="193"/>
      <c r="P4" s="193"/>
      <c r="Q4" s="194" t="s">
        <v>6</v>
      </c>
      <c r="R4" s="194"/>
      <c r="S4" s="194"/>
      <c r="T4" s="194"/>
      <c r="U4" s="185" t="s">
        <v>789</v>
      </c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8" t="s">
        <v>0</v>
      </c>
      <c r="AH4" s="188"/>
      <c r="AI4" s="188"/>
      <c r="AJ4" s="188"/>
      <c r="AK4" s="188"/>
      <c r="AL4" s="188"/>
      <c r="AM4" s="187" t="s">
        <v>80</v>
      </c>
      <c r="AN4" s="187"/>
      <c r="AO4" s="187"/>
      <c r="AP4" s="188" t="s">
        <v>522</v>
      </c>
      <c r="AQ4" s="188"/>
      <c r="AR4" s="188"/>
      <c r="AS4" s="189" t="s">
        <v>790</v>
      </c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12"/>
      <c r="BF4" s="90"/>
      <c r="BG4" s="90"/>
      <c r="BH4" s="90"/>
      <c r="BI4" s="90"/>
      <c r="BJ4" s="190" t="s">
        <v>17</v>
      </c>
      <c r="BK4" s="190"/>
      <c r="BL4" s="190"/>
      <c r="BM4" s="192" t="s">
        <v>53</v>
      </c>
      <c r="BN4" s="192"/>
      <c r="BO4" s="192"/>
      <c r="BP4" s="192"/>
      <c r="BQ4" s="192"/>
      <c r="BR4" s="192"/>
      <c r="BS4" s="192"/>
      <c r="BT4" s="192"/>
      <c r="BU4" s="192"/>
      <c r="BV4" s="192"/>
      <c r="BW4" s="192"/>
      <c r="BX4" s="192"/>
      <c r="BY4" s="191" t="s">
        <v>956</v>
      </c>
      <c r="BZ4" s="191"/>
      <c r="CA4" s="191"/>
      <c r="CB4" s="191"/>
      <c r="CC4" s="191"/>
      <c r="CD4" s="191"/>
      <c r="CE4" s="191"/>
      <c r="CF4" s="191"/>
      <c r="CG4" s="191"/>
      <c r="CH4" s="191"/>
      <c r="CI4" s="191" t="s">
        <v>957</v>
      </c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201" t="s">
        <v>1233</v>
      </c>
      <c r="CX4" s="195" t="s">
        <v>1245</v>
      </c>
      <c r="CY4" s="203" t="s">
        <v>1255</v>
      </c>
      <c r="CZ4" s="203" t="s">
        <v>1271</v>
      </c>
      <c r="DA4" s="165" t="s">
        <v>1331</v>
      </c>
      <c r="DB4" s="197" t="s">
        <v>1101</v>
      </c>
      <c r="DC4" s="197" t="s">
        <v>1225</v>
      </c>
      <c r="DD4" s="199" t="s">
        <v>1226</v>
      </c>
    </row>
    <row r="5" spans="1:108" s="1" customFormat="1" ht="25.15" customHeight="1" x14ac:dyDescent="0.25">
      <c r="A5" s="142" t="s">
        <v>701</v>
      </c>
      <c r="B5" s="143" t="s">
        <v>10</v>
      </c>
      <c r="C5" s="144" t="s">
        <v>132</v>
      </c>
      <c r="D5" s="144" t="s">
        <v>133</v>
      </c>
      <c r="E5" s="116" t="s">
        <v>516</v>
      </c>
      <c r="F5" s="91" t="s">
        <v>527</v>
      </c>
      <c r="G5" s="91" t="s">
        <v>135</v>
      </c>
      <c r="H5" s="91" t="s">
        <v>136</v>
      </c>
      <c r="I5" s="91" t="s">
        <v>90</v>
      </c>
      <c r="J5" s="92" t="s">
        <v>528</v>
      </c>
      <c r="K5" s="145" t="s">
        <v>31</v>
      </c>
      <c r="L5" s="146" t="s">
        <v>23</v>
      </c>
      <c r="M5" s="146" t="s">
        <v>517</v>
      </c>
      <c r="N5" s="146" t="s">
        <v>22</v>
      </c>
      <c r="O5" s="146" t="s">
        <v>24</v>
      </c>
      <c r="P5" s="146" t="s">
        <v>25</v>
      </c>
      <c r="Q5" s="93" t="s">
        <v>105</v>
      </c>
      <c r="R5" s="93" t="s">
        <v>518</v>
      </c>
      <c r="S5" s="93" t="s">
        <v>57</v>
      </c>
      <c r="T5" s="93" t="s">
        <v>791</v>
      </c>
      <c r="U5" s="147" t="s">
        <v>138</v>
      </c>
      <c r="V5" s="148" t="s">
        <v>139</v>
      </c>
      <c r="W5" s="148" t="s">
        <v>140</v>
      </c>
      <c r="X5" s="148" t="s">
        <v>141</v>
      </c>
      <c r="Y5" s="148" t="s">
        <v>142</v>
      </c>
      <c r="Z5" s="148" t="s">
        <v>143</v>
      </c>
      <c r="AA5" s="148" t="s">
        <v>144</v>
      </c>
      <c r="AB5" s="148" t="s">
        <v>145</v>
      </c>
      <c r="AC5" s="148" t="s">
        <v>146</v>
      </c>
      <c r="AD5" s="148" t="s">
        <v>147</v>
      </c>
      <c r="AE5" s="148" t="s">
        <v>148</v>
      </c>
      <c r="AF5" s="148" t="s">
        <v>149</v>
      </c>
      <c r="AG5" s="94" t="s">
        <v>501</v>
      </c>
      <c r="AH5" s="94" t="s">
        <v>526</v>
      </c>
      <c r="AI5" s="95" t="s">
        <v>720</v>
      </c>
      <c r="AJ5" s="94" t="s">
        <v>500</v>
      </c>
      <c r="AK5" s="94" t="s">
        <v>792</v>
      </c>
      <c r="AL5" s="94" t="s">
        <v>793</v>
      </c>
      <c r="AM5" s="96" t="s">
        <v>794</v>
      </c>
      <c r="AN5" s="96" t="s">
        <v>519</v>
      </c>
      <c r="AO5" s="96" t="s">
        <v>520</v>
      </c>
      <c r="AP5" s="94" t="s">
        <v>521</v>
      </c>
      <c r="AQ5" s="94" t="s">
        <v>519</v>
      </c>
      <c r="AR5" s="94" t="s">
        <v>520</v>
      </c>
      <c r="AS5" s="149" t="s">
        <v>138</v>
      </c>
      <c r="AT5" s="149" t="s">
        <v>139</v>
      </c>
      <c r="AU5" s="149" t="s">
        <v>140</v>
      </c>
      <c r="AV5" s="149" t="s">
        <v>141</v>
      </c>
      <c r="AW5" s="149" t="s">
        <v>142</v>
      </c>
      <c r="AX5" s="149" t="s">
        <v>143</v>
      </c>
      <c r="AY5" s="149" t="s">
        <v>144</v>
      </c>
      <c r="AZ5" s="149" t="s">
        <v>145</v>
      </c>
      <c r="BA5" s="149" t="s">
        <v>146</v>
      </c>
      <c r="BB5" s="149" t="s">
        <v>147</v>
      </c>
      <c r="BC5" s="149" t="s">
        <v>148</v>
      </c>
      <c r="BD5" s="149" t="s">
        <v>149</v>
      </c>
      <c r="BE5" s="149" t="s">
        <v>1101</v>
      </c>
      <c r="BF5" s="150" t="s">
        <v>700</v>
      </c>
      <c r="BG5" s="150" t="s">
        <v>1008</v>
      </c>
      <c r="BH5" s="151" t="s">
        <v>726</v>
      </c>
      <c r="BI5" s="151" t="s">
        <v>1010</v>
      </c>
      <c r="BJ5" s="152" t="s">
        <v>50</v>
      </c>
      <c r="BK5" s="153" t="s">
        <v>523</v>
      </c>
      <c r="BL5" s="153" t="s">
        <v>524</v>
      </c>
      <c r="BM5" s="152" t="s">
        <v>138</v>
      </c>
      <c r="BN5" s="152" t="s">
        <v>139</v>
      </c>
      <c r="BO5" s="152" t="s">
        <v>140</v>
      </c>
      <c r="BP5" s="152" t="s">
        <v>141</v>
      </c>
      <c r="BQ5" s="152" t="s">
        <v>142</v>
      </c>
      <c r="BR5" s="152" t="s">
        <v>143</v>
      </c>
      <c r="BS5" s="152" t="s">
        <v>144</v>
      </c>
      <c r="BT5" s="152" t="s">
        <v>145</v>
      </c>
      <c r="BU5" s="152" t="s">
        <v>146</v>
      </c>
      <c r="BV5" s="152" t="s">
        <v>147</v>
      </c>
      <c r="BW5" s="152" t="s">
        <v>148</v>
      </c>
      <c r="BX5" s="152" t="s">
        <v>149</v>
      </c>
      <c r="BY5" s="100" t="s">
        <v>954</v>
      </c>
      <c r="BZ5" s="100" t="s">
        <v>1015</v>
      </c>
      <c r="CA5" s="100" t="s">
        <v>1035</v>
      </c>
      <c r="CB5" s="100" t="s">
        <v>1103</v>
      </c>
      <c r="CC5" s="100" t="s">
        <v>1125</v>
      </c>
      <c r="CD5" s="100" t="s">
        <v>1126</v>
      </c>
      <c r="CE5" s="100" t="s">
        <v>1173</v>
      </c>
      <c r="CF5" s="100" t="s">
        <v>1176</v>
      </c>
      <c r="CG5" s="100" t="s">
        <v>1224</v>
      </c>
      <c r="CH5" s="100" t="s">
        <v>955</v>
      </c>
      <c r="CI5" s="100" t="s">
        <v>1195</v>
      </c>
      <c r="CJ5" s="100" t="s">
        <v>1196</v>
      </c>
      <c r="CK5" s="100" t="s">
        <v>1197</v>
      </c>
      <c r="CL5" s="100" t="s">
        <v>1198</v>
      </c>
      <c r="CM5" s="100" t="s">
        <v>1199</v>
      </c>
      <c r="CN5" s="100" t="s">
        <v>1200</v>
      </c>
      <c r="CO5" s="100" t="s">
        <v>1201</v>
      </c>
      <c r="CP5" s="100" t="s">
        <v>1202</v>
      </c>
      <c r="CQ5" s="100" t="s">
        <v>1203</v>
      </c>
      <c r="CR5" s="100" t="s">
        <v>1204</v>
      </c>
      <c r="CS5" s="100" t="s">
        <v>1205</v>
      </c>
      <c r="CT5" s="100" t="s">
        <v>1206</v>
      </c>
      <c r="CU5" s="100" t="s">
        <v>1207</v>
      </c>
      <c r="CV5" s="100" t="s">
        <v>795</v>
      </c>
      <c r="CW5" s="202"/>
      <c r="CX5" s="196"/>
      <c r="CY5" s="204"/>
      <c r="CZ5" s="204"/>
      <c r="DA5" s="164"/>
      <c r="DB5" s="198"/>
      <c r="DC5" s="198"/>
      <c r="DD5" s="200"/>
    </row>
    <row r="6" spans="1:108" s="68" customFormat="1" ht="15" hidden="1" customHeight="1" x14ac:dyDescent="0.25">
      <c r="A6" s="74" t="s">
        <v>698</v>
      </c>
      <c r="B6" s="74" t="s">
        <v>154</v>
      </c>
      <c r="C6" s="74" t="s">
        <v>172</v>
      </c>
      <c r="D6" s="74" t="s">
        <v>196</v>
      </c>
      <c r="E6" s="74" t="s">
        <v>309</v>
      </c>
      <c r="F6" s="74" t="s">
        <v>550</v>
      </c>
      <c r="G6" s="74" t="s">
        <v>137</v>
      </c>
      <c r="H6" s="74" t="s">
        <v>137</v>
      </c>
      <c r="I6" s="74" t="s">
        <v>66</v>
      </c>
      <c r="J6" s="74" t="s">
        <v>29</v>
      </c>
      <c r="K6" s="82" t="s">
        <v>137</v>
      </c>
      <c r="L6" s="82" t="s">
        <v>137</v>
      </c>
      <c r="M6" s="82" t="s">
        <v>137</v>
      </c>
      <c r="N6" s="82" t="s">
        <v>137</v>
      </c>
      <c r="O6" s="82" t="s">
        <v>137</v>
      </c>
      <c r="P6" s="82" t="s">
        <v>137</v>
      </c>
      <c r="Q6" s="74" t="s">
        <v>87</v>
      </c>
      <c r="R6" s="74" t="s">
        <v>709</v>
      </c>
      <c r="S6" s="74" t="s">
        <v>40</v>
      </c>
      <c r="T6" s="74" t="s">
        <v>2</v>
      </c>
      <c r="U6" s="75"/>
      <c r="V6" s="75">
        <v>0.05</v>
      </c>
      <c r="W6" s="75">
        <v>0.08</v>
      </c>
      <c r="X6" s="75">
        <v>0.15</v>
      </c>
      <c r="Y6" s="75">
        <v>0.2</v>
      </c>
      <c r="Z6" s="75">
        <v>0.25</v>
      </c>
      <c r="AA6" s="75">
        <v>0.37</v>
      </c>
      <c r="AB6" s="75">
        <v>0.42</v>
      </c>
      <c r="AC6" s="75">
        <v>0.57999999999999996</v>
      </c>
      <c r="AD6" s="75">
        <v>0.67</v>
      </c>
      <c r="AE6" s="75">
        <v>0.83</v>
      </c>
      <c r="AF6" s="75">
        <v>1</v>
      </c>
      <c r="AG6" s="74" t="s">
        <v>533</v>
      </c>
      <c r="AH6" s="74" t="s">
        <v>530</v>
      </c>
      <c r="AI6" s="78" t="s">
        <v>539</v>
      </c>
      <c r="AJ6" s="79" t="s">
        <v>539</v>
      </c>
      <c r="AK6" s="80">
        <v>46023</v>
      </c>
      <c r="AL6" s="80">
        <v>46387</v>
      </c>
      <c r="AM6" s="79"/>
      <c r="AN6" s="79"/>
      <c r="AO6" s="79"/>
      <c r="AP6" s="81" t="s">
        <v>540</v>
      </c>
      <c r="AQ6" s="80" cm="1">
        <f t="array" ref="AQ6">IFERROR(DATE(2026, _xlfn.AGGREGATE(15, 6, (COLUMN(CI6:CT6)-COLUMN(CI6)+1)/(CI6:CT6&lt;&gt;0), 1), 1),"N/A")</f>
        <v>46143</v>
      </c>
      <c r="AR6" s="80" cm="1">
        <f t="array" ref="AR6">IFERROR(EOMONTH(DATE(2026, _xlfn.AGGREGATE(14, 6, (COLUMN(CI6:CT6)-COLUMN(CI6)+1)/(CI6:CT6&lt;&gt;0), 1), 1), 0),"N/A")</f>
        <v>46173</v>
      </c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4" t="s">
        <v>576</v>
      </c>
      <c r="BG6" s="74" t="s">
        <v>1009</v>
      </c>
      <c r="BH6" s="74" t="s">
        <v>796</v>
      </c>
      <c r="BI6" s="74" t="s">
        <v>137</v>
      </c>
      <c r="BJ6" s="78">
        <v>530702</v>
      </c>
      <c r="BK6" s="82" t="s">
        <v>74</v>
      </c>
      <c r="BL6" s="83">
        <v>300</v>
      </c>
      <c r="BM6" s="73">
        <v>0</v>
      </c>
      <c r="BN6" s="73">
        <v>0</v>
      </c>
      <c r="BO6" s="73">
        <v>0</v>
      </c>
      <c r="BP6" s="73">
        <v>0</v>
      </c>
      <c r="BQ6" s="84">
        <v>300</v>
      </c>
      <c r="BR6" s="73">
        <v>0</v>
      </c>
      <c r="BS6" s="73">
        <v>0</v>
      </c>
      <c r="BT6" s="73">
        <v>0</v>
      </c>
      <c r="BU6" s="73">
        <v>0</v>
      </c>
      <c r="BV6" s="73">
        <v>0</v>
      </c>
      <c r="BW6" s="73">
        <v>0</v>
      </c>
      <c r="BX6" s="73">
        <v>0</v>
      </c>
      <c r="BY6" s="73"/>
      <c r="BZ6" s="73"/>
      <c r="CA6" s="73"/>
      <c r="CB6" s="73"/>
      <c r="CC6" s="73"/>
      <c r="CD6" s="73"/>
      <c r="CE6" s="73"/>
      <c r="CF6" s="73"/>
      <c r="CG6" s="73"/>
      <c r="CH6" s="73">
        <f>+BL6+BY6+BZ6+CA6+CB6+CC6+CD6+CE6+CF6+CG6</f>
        <v>300</v>
      </c>
      <c r="CI6" s="73"/>
      <c r="CJ6" s="73"/>
      <c r="CK6" s="72">
        <v>0</v>
      </c>
      <c r="CL6" s="73">
        <v>0</v>
      </c>
      <c r="CM6" s="84">
        <v>300</v>
      </c>
      <c r="CN6" s="73">
        <v>0</v>
      </c>
      <c r="CO6" s="73">
        <v>0</v>
      </c>
      <c r="CP6" s="73">
        <v>0</v>
      </c>
      <c r="CQ6" s="73">
        <v>0</v>
      </c>
      <c r="CR6" s="73">
        <v>0</v>
      </c>
      <c r="CS6" s="73">
        <v>0</v>
      </c>
      <c r="CT6" s="73">
        <v>0</v>
      </c>
      <c r="CU6" s="73"/>
      <c r="CV6" s="84">
        <f t="shared" ref="CV6:CV70" si="0">+CH6-SUM(CI6:CU6)</f>
        <v>0</v>
      </c>
      <c r="CW6" s="84"/>
      <c r="CX6" s="74"/>
      <c r="CY6" s="74"/>
      <c r="CZ6" s="74"/>
      <c r="DA6" s="74"/>
      <c r="DB6" s="74"/>
      <c r="DC6" s="74"/>
      <c r="DD6" s="74"/>
    </row>
    <row r="7" spans="1:108" s="68" customFormat="1" ht="15" hidden="1" customHeight="1" x14ac:dyDescent="0.25">
      <c r="A7" s="74" t="s">
        <v>698</v>
      </c>
      <c r="B7" s="74" t="s">
        <v>154</v>
      </c>
      <c r="C7" s="74" t="s">
        <v>172</v>
      </c>
      <c r="D7" s="74" t="s">
        <v>196</v>
      </c>
      <c r="E7" s="74" t="s">
        <v>309</v>
      </c>
      <c r="F7" s="74" t="s">
        <v>550</v>
      </c>
      <c r="G7" s="74" t="s">
        <v>137</v>
      </c>
      <c r="H7" s="74" t="s">
        <v>137</v>
      </c>
      <c r="I7" s="74" t="s">
        <v>66</v>
      </c>
      <c r="J7" s="74" t="s">
        <v>29</v>
      </c>
      <c r="K7" s="82" t="s">
        <v>137</v>
      </c>
      <c r="L7" s="82" t="s">
        <v>137</v>
      </c>
      <c r="M7" s="82" t="s">
        <v>137</v>
      </c>
      <c r="N7" s="82" t="s">
        <v>137</v>
      </c>
      <c r="O7" s="82" t="s">
        <v>137</v>
      </c>
      <c r="P7" s="82" t="s">
        <v>137</v>
      </c>
      <c r="Q7" s="74" t="s">
        <v>87</v>
      </c>
      <c r="R7" s="74" t="s">
        <v>709</v>
      </c>
      <c r="S7" s="74" t="s">
        <v>40</v>
      </c>
      <c r="T7" s="74" t="s">
        <v>2</v>
      </c>
      <c r="U7" s="75"/>
      <c r="V7" s="75">
        <v>0.05</v>
      </c>
      <c r="W7" s="75">
        <v>0.08</v>
      </c>
      <c r="X7" s="75">
        <v>0.15</v>
      </c>
      <c r="Y7" s="75">
        <v>0.2</v>
      </c>
      <c r="Z7" s="75">
        <v>0.25</v>
      </c>
      <c r="AA7" s="75">
        <v>0.37</v>
      </c>
      <c r="AB7" s="75">
        <v>0.42</v>
      </c>
      <c r="AC7" s="75">
        <v>0.57999999999999996</v>
      </c>
      <c r="AD7" s="75">
        <v>0.67</v>
      </c>
      <c r="AE7" s="75">
        <v>0.83</v>
      </c>
      <c r="AF7" s="75">
        <v>1</v>
      </c>
      <c r="AG7" s="74" t="s">
        <v>533</v>
      </c>
      <c r="AH7" s="74" t="s">
        <v>530</v>
      </c>
      <c r="AI7" s="78" t="s">
        <v>539</v>
      </c>
      <c r="AJ7" s="79" t="s">
        <v>539</v>
      </c>
      <c r="AK7" s="80">
        <v>46023</v>
      </c>
      <c r="AL7" s="80">
        <v>46387</v>
      </c>
      <c r="AM7" s="79"/>
      <c r="AN7" s="79"/>
      <c r="AO7" s="79"/>
      <c r="AP7" s="81" t="s">
        <v>540</v>
      </c>
      <c r="AQ7" s="80" cm="1">
        <f t="array" ref="AQ7">IFERROR(DATE(2026, _xlfn.AGGREGATE(15, 6, (COLUMN(CI7:CT7)-COLUMN(CI7)+1)/(CI7:CT7&lt;&gt;0), 1), 1),"N/A")</f>
        <v>46235</v>
      </c>
      <c r="AR7" s="80" cm="1">
        <f t="array" ref="AR7">IFERROR(EOMONTH(DATE(2026, _xlfn.AGGREGATE(14, 6, (COLUMN(CI7:CT7)-COLUMN(CI7)+1)/(CI7:CT7&lt;&gt;0), 1), 1), 0),"N/A")</f>
        <v>46387</v>
      </c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4" t="s">
        <v>1218</v>
      </c>
      <c r="BG7" s="74"/>
      <c r="BH7" s="74" t="s">
        <v>1219</v>
      </c>
      <c r="BI7" s="74"/>
      <c r="BJ7" s="78">
        <v>530606</v>
      </c>
      <c r="BK7" s="82" t="s">
        <v>74</v>
      </c>
      <c r="BL7" s="83"/>
      <c r="BM7" s="73"/>
      <c r="BN7" s="73"/>
      <c r="BO7" s="73"/>
      <c r="BP7" s="73"/>
      <c r="BQ7" s="84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>
        <v>12500</v>
      </c>
      <c r="CH7" s="73">
        <f t="shared" ref="CH7:CH70" si="1">+BL7+BY7+BZ7+CA7+CB7+CC7+CD7+CE7+CF7+CG7</f>
        <v>12500</v>
      </c>
      <c r="CI7" s="73"/>
      <c r="CJ7" s="73"/>
      <c r="CK7" s="72"/>
      <c r="CL7" s="73"/>
      <c r="CM7" s="84"/>
      <c r="CN7" s="73"/>
      <c r="CO7" s="73"/>
      <c r="CP7" s="73">
        <v>2500</v>
      </c>
      <c r="CQ7" s="73">
        <v>2500</v>
      </c>
      <c r="CR7" s="73">
        <v>2500</v>
      </c>
      <c r="CS7" s="73">
        <v>2500</v>
      </c>
      <c r="CT7" s="73">
        <v>2500</v>
      </c>
      <c r="CU7" s="73"/>
      <c r="CV7" s="84">
        <f t="shared" si="0"/>
        <v>0</v>
      </c>
      <c r="CW7" s="84"/>
      <c r="CX7" s="74"/>
      <c r="CY7" s="74"/>
      <c r="CZ7" s="74"/>
      <c r="DA7" s="74"/>
      <c r="DB7" s="74"/>
      <c r="DC7" s="74"/>
      <c r="DD7" s="74"/>
    </row>
    <row r="8" spans="1:108" s="68" customFormat="1" ht="15" customHeight="1" x14ac:dyDescent="0.25">
      <c r="A8" s="74" t="s">
        <v>691</v>
      </c>
      <c r="B8" s="74" t="s">
        <v>154</v>
      </c>
      <c r="C8" s="74" t="s">
        <v>172</v>
      </c>
      <c r="D8" s="74" t="s">
        <v>196</v>
      </c>
      <c r="E8" s="74" t="s">
        <v>309</v>
      </c>
      <c r="F8" s="74" t="s">
        <v>550</v>
      </c>
      <c r="G8" s="74" t="s">
        <v>137</v>
      </c>
      <c r="H8" s="74" t="s">
        <v>137</v>
      </c>
      <c r="I8" s="74" t="s">
        <v>66</v>
      </c>
      <c r="J8" s="74" t="s">
        <v>29</v>
      </c>
      <c r="K8" s="82" t="s">
        <v>137</v>
      </c>
      <c r="L8" s="82" t="s">
        <v>137</v>
      </c>
      <c r="M8" s="82" t="s">
        <v>137</v>
      </c>
      <c r="N8" s="82" t="s">
        <v>137</v>
      </c>
      <c r="O8" s="82" t="s">
        <v>137</v>
      </c>
      <c r="P8" s="82" t="s">
        <v>137</v>
      </c>
      <c r="Q8" s="74" t="s">
        <v>87</v>
      </c>
      <c r="R8" s="74" t="s">
        <v>709</v>
      </c>
      <c r="S8" s="74" t="s">
        <v>40</v>
      </c>
      <c r="T8" s="74" t="s">
        <v>2</v>
      </c>
      <c r="U8" s="75"/>
      <c r="V8" s="75">
        <v>0.05</v>
      </c>
      <c r="W8" s="75">
        <v>0.08</v>
      </c>
      <c r="X8" s="75">
        <v>0.15</v>
      </c>
      <c r="Y8" s="75">
        <v>0.2</v>
      </c>
      <c r="Z8" s="75">
        <v>0.25</v>
      </c>
      <c r="AA8" s="75">
        <v>0.37</v>
      </c>
      <c r="AB8" s="75">
        <v>0.42</v>
      </c>
      <c r="AC8" s="75">
        <v>0.57999999999999996</v>
      </c>
      <c r="AD8" s="75">
        <v>0.67</v>
      </c>
      <c r="AE8" s="75">
        <v>0.83</v>
      </c>
      <c r="AF8" s="75">
        <v>1</v>
      </c>
      <c r="AG8" s="74" t="s">
        <v>533</v>
      </c>
      <c r="AH8" s="74" t="s">
        <v>530</v>
      </c>
      <c r="AI8" s="78" t="s">
        <v>539</v>
      </c>
      <c r="AJ8" s="79" t="s">
        <v>539</v>
      </c>
      <c r="AK8" s="80">
        <v>46023</v>
      </c>
      <c r="AL8" s="80">
        <v>46387</v>
      </c>
      <c r="AM8" s="79"/>
      <c r="AN8" s="79"/>
      <c r="AO8" s="79"/>
      <c r="AP8" s="81" t="s">
        <v>540</v>
      </c>
      <c r="AQ8" s="80" t="str" cm="1">
        <f t="array" ref="AQ8">IFERROR(DATE(2026, _xlfn.AGGREGATE(15, 6, (COLUMN(CI8:CT8)-COLUMN(CI8)+1)/(CI8:CT8&lt;&gt;0), 1), 1),"N/A")</f>
        <v>N/A</v>
      </c>
      <c r="AR8" s="80" t="str" cm="1">
        <f t="array" ref="AR8">IFERROR(EOMONTH(DATE(2026, _xlfn.AGGREGATE(14, 6, (COLUMN(CI8:CT8)-COLUMN(CI8)+1)/(CI8:CT8&lt;&gt;0), 1), 1), 0),"N/A")</f>
        <v>N/A</v>
      </c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4" t="s">
        <v>785</v>
      </c>
      <c r="BG8" s="74" t="s">
        <v>1009</v>
      </c>
      <c r="BH8" s="74" t="s">
        <v>885</v>
      </c>
      <c r="BI8" s="74" t="s">
        <v>137</v>
      </c>
      <c r="BJ8" s="78">
        <v>840107</v>
      </c>
      <c r="BK8" s="82" t="s">
        <v>74</v>
      </c>
      <c r="BL8" s="83">
        <v>10000</v>
      </c>
      <c r="BM8" s="73">
        <v>0</v>
      </c>
      <c r="BN8" s="73">
        <v>0</v>
      </c>
      <c r="BO8" s="73">
        <v>0</v>
      </c>
      <c r="BP8" s="73">
        <v>0</v>
      </c>
      <c r="BQ8" s="73">
        <v>0</v>
      </c>
      <c r="BR8" s="73">
        <v>0</v>
      </c>
      <c r="BS8" s="73">
        <v>0</v>
      </c>
      <c r="BT8" s="73">
        <v>0</v>
      </c>
      <c r="BU8" s="73">
        <v>0</v>
      </c>
      <c r="BV8" s="84">
        <v>10000</v>
      </c>
      <c r="BW8" s="73">
        <v>0</v>
      </c>
      <c r="BX8" s="73">
        <v>0</v>
      </c>
      <c r="BY8" s="73">
        <v>-10000</v>
      </c>
      <c r="BZ8" s="73"/>
      <c r="CA8" s="73"/>
      <c r="CB8" s="73"/>
      <c r="CC8" s="73"/>
      <c r="CD8" s="73"/>
      <c r="CE8" s="73"/>
      <c r="CF8" s="73"/>
      <c r="CG8" s="73"/>
      <c r="CH8" s="73">
        <f t="shared" si="1"/>
        <v>0</v>
      </c>
      <c r="CI8" s="73"/>
      <c r="CJ8" s="73"/>
      <c r="CK8" s="72">
        <v>0</v>
      </c>
      <c r="CL8" s="73">
        <v>0</v>
      </c>
      <c r="CM8" s="73">
        <v>0</v>
      </c>
      <c r="CN8" s="73">
        <v>0</v>
      </c>
      <c r="CO8" s="73">
        <v>0</v>
      </c>
      <c r="CP8" s="73">
        <v>0</v>
      </c>
      <c r="CQ8" s="73">
        <v>0</v>
      </c>
      <c r="CR8" s="84">
        <v>0</v>
      </c>
      <c r="CS8" s="73">
        <v>0</v>
      </c>
      <c r="CT8" s="73">
        <v>0</v>
      </c>
      <c r="CU8" s="73"/>
      <c r="CV8" s="84">
        <f t="shared" si="0"/>
        <v>0</v>
      </c>
      <c r="CW8" s="84"/>
      <c r="CX8" s="74"/>
      <c r="CY8" s="74"/>
      <c r="CZ8" s="74"/>
      <c r="DA8" s="74"/>
      <c r="DB8" s="74"/>
      <c r="DC8" s="74"/>
      <c r="DD8" s="74"/>
    </row>
    <row r="9" spans="1:108" s="68" customFormat="1" ht="15" customHeight="1" x14ac:dyDescent="0.25">
      <c r="A9" s="74" t="s">
        <v>691</v>
      </c>
      <c r="B9" s="74" t="s">
        <v>154</v>
      </c>
      <c r="C9" s="74" t="s">
        <v>172</v>
      </c>
      <c r="D9" s="74" t="s">
        <v>196</v>
      </c>
      <c r="E9" s="74" t="s">
        <v>309</v>
      </c>
      <c r="F9" s="74" t="s">
        <v>550</v>
      </c>
      <c r="G9" s="74" t="s">
        <v>137</v>
      </c>
      <c r="H9" s="74" t="s">
        <v>137</v>
      </c>
      <c r="I9" s="74" t="s">
        <v>66</v>
      </c>
      <c r="J9" s="74" t="s">
        <v>29</v>
      </c>
      <c r="K9" s="82" t="s">
        <v>137</v>
      </c>
      <c r="L9" s="82" t="s">
        <v>137</v>
      </c>
      <c r="M9" s="82" t="s">
        <v>137</v>
      </c>
      <c r="N9" s="82" t="s">
        <v>137</v>
      </c>
      <c r="O9" s="82" t="s">
        <v>137</v>
      </c>
      <c r="P9" s="82" t="s">
        <v>137</v>
      </c>
      <c r="Q9" s="74" t="s">
        <v>87</v>
      </c>
      <c r="R9" s="74" t="s">
        <v>709</v>
      </c>
      <c r="S9" s="74" t="s">
        <v>40</v>
      </c>
      <c r="T9" s="74" t="s">
        <v>2</v>
      </c>
      <c r="U9" s="75"/>
      <c r="V9" s="75">
        <v>0.05</v>
      </c>
      <c r="W9" s="75">
        <v>0.08</v>
      </c>
      <c r="X9" s="75">
        <v>0.15</v>
      </c>
      <c r="Y9" s="75">
        <v>0.2</v>
      </c>
      <c r="Z9" s="75">
        <v>0.25</v>
      </c>
      <c r="AA9" s="75">
        <v>0.37</v>
      </c>
      <c r="AB9" s="75">
        <v>0.42</v>
      </c>
      <c r="AC9" s="75">
        <v>0.57999999999999996</v>
      </c>
      <c r="AD9" s="75">
        <v>0.67</v>
      </c>
      <c r="AE9" s="75">
        <v>0.83</v>
      </c>
      <c r="AF9" s="75">
        <v>1</v>
      </c>
      <c r="AG9" s="74" t="s">
        <v>533</v>
      </c>
      <c r="AH9" s="74" t="s">
        <v>530</v>
      </c>
      <c r="AI9" s="78" t="s">
        <v>539</v>
      </c>
      <c r="AJ9" s="79" t="s">
        <v>539</v>
      </c>
      <c r="AK9" s="80">
        <v>46023</v>
      </c>
      <c r="AL9" s="80">
        <v>46387</v>
      </c>
      <c r="AM9" s="79"/>
      <c r="AN9" s="79"/>
      <c r="AO9" s="79"/>
      <c r="AP9" s="81" t="s">
        <v>540</v>
      </c>
      <c r="AQ9" s="80" t="str" cm="1">
        <f t="array" ref="AQ9">IFERROR(DATE(2026, _xlfn.AGGREGATE(15, 6, (COLUMN(CI9:CT9)-COLUMN(CI9)+1)/(CI9:CT9&lt;&gt;0), 1), 1),"N/A")</f>
        <v>N/A</v>
      </c>
      <c r="AR9" s="80" t="str" cm="1">
        <f t="array" ref="AR9">IFERROR(EOMONTH(DATE(2026, _xlfn.AGGREGATE(14, 6, (COLUMN(CI9:CT9)-COLUMN(CI9)+1)/(CI9:CT9&lt;&gt;0), 1), 1), 0),"N/A")</f>
        <v>N/A</v>
      </c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4" t="s">
        <v>964</v>
      </c>
      <c r="BG9" s="74" t="s">
        <v>1009</v>
      </c>
      <c r="BH9" s="74" t="s">
        <v>965</v>
      </c>
      <c r="BI9" s="74" t="s">
        <v>137</v>
      </c>
      <c r="BJ9" s="78">
        <v>840107</v>
      </c>
      <c r="BK9" s="82" t="s">
        <v>74</v>
      </c>
      <c r="BL9" s="83">
        <v>0</v>
      </c>
      <c r="BM9" s="73"/>
      <c r="BN9" s="73"/>
      <c r="BO9" s="73"/>
      <c r="BP9" s="73"/>
      <c r="BQ9" s="73"/>
      <c r="BR9" s="73"/>
      <c r="BS9" s="73"/>
      <c r="BT9" s="73"/>
      <c r="BU9" s="73"/>
      <c r="BV9" s="84"/>
      <c r="BW9" s="73"/>
      <c r="BX9" s="73"/>
      <c r="BY9" s="73">
        <v>3000</v>
      </c>
      <c r="BZ9" s="73">
        <v>-3000</v>
      </c>
      <c r="CA9" s="73"/>
      <c r="CB9" s="73"/>
      <c r="CC9" s="73"/>
      <c r="CD9" s="73"/>
      <c r="CE9" s="73"/>
      <c r="CF9" s="73"/>
      <c r="CG9" s="73"/>
      <c r="CH9" s="73">
        <f t="shared" si="1"/>
        <v>0</v>
      </c>
      <c r="CI9" s="73"/>
      <c r="CJ9" s="73"/>
      <c r="CK9" s="72"/>
      <c r="CL9" s="73"/>
      <c r="CM9" s="73"/>
      <c r="CN9" s="73">
        <v>0</v>
      </c>
      <c r="CO9" s="73"/>
      <c r="CP9" s="73"/>
      <c r="CQ9" s="73"/>
      <c r="CR9" s="84"/>
      <c r="CS9" s="73"/>
      <c r="CT9" s="73"/>
      <c r="CU9" s="73"/>
      <c r="CV9" s="84">
        <f t="shared" si="0"/>
        <v>0</v>
      </c>
      <c r="CW9" s="84"/>
      <c r="CX9" s="74"/>
      <c r="CY9" s="74"/>
      <c r="CZ9" s="74"/>
      <c r="DA9" s="74"/>
      <c r="DB9" s="74"/>
      <c r="DC9" s="74"/>
      <c r="DD9" s="74"/>
    </row>
    <row r="10" spans="1:108" s="68" customFormat="1" ht="15" customHeight="1" x14ac:dyDescent="0.25">
      <c r="A10" s="74" t="s">
        <v>691</v>
      </c>
      <c r="B10" s="74" t="s">
        <v>154</v>
      </c>
      <c r="C10" s="74" t="s">
        <v>172</v>
      </c>
      <c r="D10" s="74" t="s">
        <v>196</v>
      </c>
      <c r="E10" s="74" t="s">
        <v>309</v>
      </c>
      <c r="F10" s="74" t="s">
        <v>550</v>
      </c>
      <c r="G10" s="74" t="s">
        <v>137</v>
      </c>
      <c r="H10" s="74" t="s">
        <v>137</v>
      </c>
      <c r="I10" s="74" t="s">
        <v>66</v>
      </c>
      <c r="J10" s="74" t="s">
        <v>29</v>
      </c>
      <c r="K10" s="82" t="s">
        <v>137</v>
      </c>
      <c r="L10" s="82" t="s">
        <v>137</v>
      </c>
      <c r="M10" s="82" t="s">
        <v>137</v>
      </c>
      <c r="N10" s="82" t="s">
        <v>137</v>
      </c>
      <c r="O10" s="82" t="s">
        <v>137</v>
      </c>
      <c r="P10" s="82" t="s">
        <v>137</v>
      </c>
      <c r="Q10" s="74" t="s">
        <v>87</v>
      </c>
      <c r="R10" s="74" t="s">
        <v>709</v>
      </c>
      <c r="S10" s="74" t="s">
        <v>40</v>
      </c>
      <c r="T10" s="74" t="s">
        <v>2</v>
      </c>
      <c r="U10" s="75"/>
      <c r="V10" s="75">
        <v>0.05</v>
      </c>
      <c r="W10" s="75">
        <v>0.08</v>
      </c>
      <c r="X10" s="75">
        <v>0.15</v>
      </c>
      <c r="Y10" s="75">
        <v>0.2</v>
      </c>
      <c r="Z10" s="75">
        <v>0.25</v>
      </c>
      <c r="AA10" s="75">
        <v>0.37</v>
      </c>
      <c r="AB10" s="75">
        <v>0.42</v>
      </c>
      <c r="AC10" s="75">
        <v>0.57999999999999996</v>
      </c>
      <c r="AD10" s="75">
        <v>0.67</v>
      </c>
      <c r="AE10" s="75">
        <v>0.83</v>
      </c>
      <c r="AF10" s="75">
        <v>1</v>
      </c>
      <c r="AG10" s="74" t="s">
        <v>533</v>
      </c>
      <c r="AH10" s="74" t="s">
        <v>530</v>
      </c>
      <c r="AI10" s="78" t="s">
        <v>539</v>
      </c>
      <c r="AJ10" s="79" t="s">
        <v>539</v>
      </c>
      <c r="AK10" s="80">
        <v>46023</v>
      </c>
      <c r="AL10" s="80">
        <v>46387</v>
      </c>
      <c r="AM10" s="79"/>
      <c r="AN10" s="79"/>
      <c r="AO10" s="79"/>
      <c r="AP10" s="81" t="s">
        <v>540</v>
      </c>
      <c r="AQ10" s="80" t="str" cm="1">
        <f t="array" ref="AQ10">IFERROR(DATE(2026, _xlfn.AGGREGATE(15, 6, (COLUMN(CI10:CT10)-COLUMN(CI10)+1)/(CI10:CT10&lt;&gt;0), 1), 1),"N/A")</f>
        <v>N/A</v>
      </c>
      <c r="AR10" s="80" t="str" cm="1">
        <f t="array" ref="AR10">IFERROR(EOMONTH(DATE(2026, _xlfn.AGGREGATE(14, 6, (COLUMN(CI10:CT10)-COLUMN(CI10)+1)/(CI10:CT10&lt;&gt;0), 1), 1), 0),"N/A")</f>
        <v>N/A</v>
      </c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4" t="s">
        <v>786</v>
      </c>
      <c r="BG10" s="74" t="s">
        <v>1009</v>
      </c>
      <c r="BH10" s="74" t="s">
        <v>894</v>
      </c>
      <c r="BI10" s="74" t="s">
        <v>137</v>
      </c>
      <c r="BJ10" s="78">
        <v>840107</v>
      </c>
      <c r="BK10" s="82" t="s">
        <v>74</v>
      </c>
      <c r="BL10" s="83">
        <v>15000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4">
        <v>15000</v>
      </c>
      <c r="BU10" s="73">
        <v>0</v>
      </c>
      <c r="BV10" s="73">
        <v>0</v>
      </c>
      <c r="BW10" s="73">
        <v>0</v>
      </c>
      <c r="BX10" s="73">
        <v>0</v>
      </c>
      <c r="BY10" s="73">
        <v>-15000</v>
      </c>
      <c r="BZ10" s="73"/>
      <c r="CA10" s="73"/>
      <c r="CB10" s="73"/>
      <c r="CC10" s="73"/>
      <c r="CD10" s="73"/>
      <c r="CE10" s="73"/>
      <c r="CF10" s="73"/>
      <c r="CG10" s="73"/>
      <c r="CH10" s="73">
        <f t="shared" si="1"/>
        <v>0</v>
      </c>
      <c r="CI10" s="73"/>
      <c r="CJ10" s="73"/>
      <c r="CK10" s="72">
        <v>0</v>
      </c>
      <c r="CL10" s="73">
        <v>0</v>
      </c>
      <c r="CM10" s="73">
        <v>0</v>
      </c>
      <c r="CN10" s="73">
        <v>0</v>
      </c>
      <c r="CO10" s="73">
        <v>0</v>
      </c>
      <c r="CP10" s="84">
        <v>0</v>
      </c>
      <c r="CQ10" s="73">
        <v>0</v>
      </c>
      <c r="CR10" s="73">
        <v>0</v>
      </c>
      <c r="CS10" s="73">
        <v>0</v>
      </c>
      <c r="CT10" s="73">
        <v>0</v>
      </c>
      <c r="CU10" s="73"/>
      <c r="CV10" s="84">
        <f t="shared" si="0"/>
        <v>0</v>
      </c>
      <c r="CW10" s="84"/>
      <c r="CX10" s="74"/>
      <c r="CY10" s="74"/>
      <c r="CZ10" s="74"/>
      <c r="DA10" s="74"/>
      <c r="DB10" s="74"/>
      <c r="DC10" s="74"/>
      <c r="DD10" s="74"/>
    </row>
    <row r="11" spans="1:108" s="68" customFormat="1" ht="15" hidden="1" customHeight="1" x14ac:dyDescent="0.25">
      <c r="A11" s="74" t="s">
        <v>1140</v>
      </c>
      <c r="B11" s="74" t="s">
        <v>154</v>
      </c>
      <c r="C11" s="74" t="s">
        <v>172</v>
      </c>
      <c r="D11" s="74" t="s">
        <v>196</v>
      </c>
      <c r="E11" s="74" t="s">
        <v>309</v>
      </c>
      <c r="F11" s="74" t="s">
        <v>550</v>
      </c>
      <c r="G11" s="74" t="s">
        <v>137</v>
      </c>
      <c r="H11" s="74" t="s">
        <v>137</v>
      </c>
      <c r="I11" s="74" t="s">
        <v>66</v>
      </c>
      <c r="J11" s="74" t="s">
        <v>29</v>
      </c>
      <c r="K11" s="82" t="s">
        <v>137</v>
      </c>
      <c r="L11" s="82" t="s">
        <v>137</v>
      </c>
      <c r="M11" s="82" t="s">
        <v>137</v>
      </c>
      <c r="N11" s="82" t="s">
        <v>137</v>
      </c>
      <c r="O11" s="82" t="s">
        <v>137</v>
      </c>
      <c r="P11" s="82" t="s">
        <v>137</v>
      </c>
      <c r="Q11" s="74" t="s">
        <v>87</v>
      </c>
      <c r="R11" s="74" t="s">
        <v>709</v>
      </c>
      <c r="S11" s="74" t="s">
        <v>40</v>
      </c>
      <c r="T11" s="74" t="s">
        <v>2</v>
      </c>
      <c r="U11" s="75"/>
      <c r="V11" s="75">
        <v>0.05</v>
      </c>
      <c r="W11" s="75">
        <v>0.08</v>
      </c>
      <c r="X11" s="75">
        <v>0.15</v>
      </c>
      <c r="Y11" s="75">
        <v>0.2</v>
      </c>
      <c r="Z11" s="75">
        <v>0.25</v>
      </c>
      <c r="AA11" s="75">
        <v>0.37</v>
      </c>
      <c r="AB11" s="75">
        <v>0.42</v>
      </c>
      <c r="AC11" s="75">
        <v>0.57999999999999996</v>
      </c>
      <c r="AD11" s="75">
        <v>0.67</v>
      </c>
      <c r="AE11" s="75">
        <v>0.83</v>
      </c>
      <c r="AF11" s="75">
        <v>1</v>
      </c>
      <c r="AG11" s="74" t="s">
        <v>533</v>
      </c>
      <c r="AH11" s="74" t="s">
        <v>530</v>
      </c>
      <c r="AI11" s="78" t="s">
        <v>539</v>
      </c>
      <c r="AJ11" s="79" t="s">
        <v>539</v>
      </c>
      <c r="AK11" s="80">
        <v>46023</v>
      </c>
      <c r="AL11" s="80">
        <v>46387</v>
      </c>
      <c r="AM11" s="79"/>
      <c r="AN11" s="79"/>
      <c r="AO11" s="79"/>
      <c r="AP11" s="81" t="s">
        <v>540</v>
      </c>
      <c r="AQ11" s="80" cm="1">
        <f t="array" ref="AQ11">IFERROR(DATE(2026, _xlfn.AGGREGATE(15, 6, (COLUMN(CI11:CT11)-COLUMN(CI11)+1)/(CI11:CT11&lt;&gt;0), 1), 1),"N/A")</f>
        <v>46327</v>
      </c>
      <c r="AR11" s="80" cm="1">
        <f t="array" ref="AR11">IFERROR(EOMONTH(DATE(2026, _xlfn.AGGREGATE(14, 6, (COLUMN(CI11:CT11)-COLUMN(CI11)+1)/(CI11:CT11&lt;&gt;0), 1), 1), 0),"N/A")</f>
        <v>46356</v>
      </c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4" t="s">
        <v>1138</v>
      </c>
      <c r="BG11" s="74"/>
      <c r="BH11" s="74" t="s">
        <v>1139</v>
      </c>
      <c r="BI11" s="74" t="s">
        <v>137</v>
      </c>
      <c r="BJ11" s="78">
        <v>530702</v>
      </c>
      <c r="BK11" s="82" t="s">
        <v>74</v>
      </c>
      <c r="BL11" s="83"/>
      <c r="BM11" s="73"/>
      <c r="BN11" s="73"/>
      <c r="BO11" s="73"/>
      <c r="BP11" s="73"/>
      <c r="BQ11" s="73"/>
      <c r="BR11" s="73"/>
      <c r="BS11" s="73"/>
      <c r="BT11" s="84"/>
      <c r="BU11" s="73"/>
      <c r="BV11" s="73"/>
      <c r="BW11" s="73"/>
      <c r="BX11" s="73"/>
      <c r="BY11" s="73"/>
      <c r="BZ11" s="73"/>
      <c r="CA11" s="73"/>
      <c r="CB11" s="73"/>
      <c r="CC11" s="73">
        <v>136240</v>
      </c>
      <c r="CD11" s="73"/>
      <c r="CE11" s="73"/>
      <c r="CF11" s="73"/>
      <c r="CG11" s="73"/>
      <c r="CH11" s="73">
        <f t="shared" si="1"/>
        <v>136240</v>
      </c>
      <c r="CI11" s="73"/>
      <c r="CJ11" s="73"/>
      <c r="CK11" s="72"/>
      <c r="CL11" s="73"/>
      <c r="CM11" s="73"/>
      <c r="CN11" s="73"/>
      <c r="CO11" s="73"/>
      <c r="CP11" s="84"/>
      <c r="CQ11" s="73"/>
      <c r="CR11" s="73"/>
      <c r="CS11" s="73">
        <v>136240</v>
      </c>
      <c r="CT11" s="73"/>
      <c r="CU11" s="73"/>
      <c r="CV11" s="84">
        <f t="shared" si="0"/>
        <v>0</v>
      </c>
      <c r="CW11" s="84"/>
      <c r="CX11" s="74"/>
      <c r="CY11" s="74"/>
      <c r="CZ11" s="74"/>
      <c r="DA11" s="74"/>
      <c r="DB11" s="74"/>
      <c r="DC11" s="74"/>
      <c r="DD11" s="74"/>
    </row>
    <row r="12" spans="1:108" s="68" customFormat="1" ht="15" customHeight="1" x14ac:dyDescent="0.25">
      <c r="A12" s="74" t="s">
        <v>691</v>
      </c>
      <c r="B12" s="74" t="s">
        <v>154</v>
      </c>
      <c r="C12" s="74" t="s">
        <v>172</v>
      </c>
      <c r="D12" s="74" t="s">
        <v>196</v>
      </c>
      <c r="E12" s="74" t="s">
        <v>309</v>
      </c>
      <c r="F12" s="74" t="s">
        <v>550</v>
      </c>
      <c r="G12" s="74" t="s">
        <v>137</v>
      </c>
      <c r="H12" s="74" t="s">
        <v>137</v>
      </c>
      <c r="I12" s="74" t="s">
        <v>66</v>
      </c>
      <c r="J12" s="74" t="s">
        <v>29</v>
      </c>
      <c r="K12" s="82" t="s">
        <v>137</v>
      </c>
      <c r="L12" s="82" t="s">
        <v>137</v>
      </c>
      <c r="M12" s="82" t="s">
        <v>137</v>
      </c>
      <c r="N12" s="82" t="s">
        <v>137</v>
      </c>
      <c r="O12" s="82" t="s">
        <v>137</v>
      </c>
      <c r="P12" s="82" t="s">
        <v>137</v>
      </c>
      <c r="Q12" s="74" t="s">
        <v>87</v>
      </c>
      <c r="R12" s="74" t="s">
        <v>709</v>
      </c>
      <c r="S12" s="74" t="s">
        <v>40</v>
      </c>
      <c r="T12" s="74" t="s">
        <v>2</v>
      </c>
      <c r="U12" s="75"/>
      <c r="V12" s="75">
        <v>0.05</v>
      </c>
      <c r="W12" s="75">
        <v>0.08</v>
      </c>
      <c r="X12" s="75">
        <v>0.15</v>
      </c>
      <c r="Y12" s="75">
        <v>0.2</v>
      </c>
      <c r="Z12" s="75">
        <v>0.25</v>
      </c>
      <c r="AA12" s="75">
        <v>0.37</v>
      </c>
      <c r="AB12" s="75">
        <v>0.42</v>
      </c>
      <c r="AC12" s="75">
        <v>0.57999999999999996</v>
      </c>
      <c r="AD12" s="75">
        <v>0.67</v>
      </c>
      <c r="AE12" s="75">
        <v>0.83</v>
      </c>
      <c r="AF12" s="75">
        <v>1</v>
      </c>
      <c r="AG12" s="74" t="s">
        <v>533</v>
      </c>
      <c r="AH12" s="74" t="s">
        <v>530</v>
      </c>
      <c r="AI12" s="78" t="s">
        <v>539</v>
      </c>
      <c r="AJ12" s="79" t="s">
        <v>539</v>
      </c>
      <c r="AK12" s="80">
        <v>46023</v>
      </c>
      <c r="AL12" s="80">
        <v>46387</v>
      </c>
      <c r="AM12" s="79"/>
      <c r="AN12" s="79"/>
      <c r="AO12" s="79"/>
      <c r="AP12" s="81" t="s">
        <v>540</v>
      </c>
      <c r="AQ12" s="80" t="str" cm="1">
        <f t="array" ref="AQ12">IFERROR(DATE(2026, _xlfn.AGGREGATE(15, 6, (COLUMN(CI12:CT12)-COLUMN(CI12)+1)/(CI12:CT12&lt;&gt;0), 1), 1),"N/A")</f>
        <v>N/A</v>
      </c>
      <c r="AR12" s="80" t="str" cm="1">
        <f t="array" ref="AR12">IFERROR(EOMONTH(DATE(2026, _xlfn.AGGREGATE(14, 6, (COLUMN(CI12:CT12)-COLUMN(CI12)+1)/(CI12:CT12&lt;&gt;0), 1), 1), 0),"N/A")</f>
        <v>N/A</v>
      </c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4" t="s">
        <v>589</v>
      </c>
      <c r="BG12" s="74" t="s">
        <v>1009</v>
      </c>
      <c r="BH12" s="74" t="s">
        <v>800</v>
      </c>
      <c r="BI12" s="74" t="s">
        <v>137</v>
      </c>
      <c r="BJ12" s="78">
        <v>530243</v>
      </c>
      <c r="BK12" s="82" t="s">
        <v>74</v>
      </c>
      <c r="BL12" s="83">
        <v>3500</v>
      </c>
      <c r="BM12" s="73">
        <v>0</v>
      </c>
      <c r="BN12" s="73">
        <v>0</v>
      </c>
      <c r="BO12" s="73">
        <v>0</v>
      </c>
      <c r="BP12" s="73">
        <v>0</v>
      </c>
      <c r="BQ12" s="84">
        <v>3500</v>
      </c>
      <c r="BR12" s="73">
        <v>0</v>
      </c>
      <c r="BS12" s="73">
        <v>0</v>
      </c>
      <c r="BT12" s="73">
        <v>0</v>
      </c>
      <c r="BU12" s="73">
        <v>0</v>
      </c>
      <c r="BV12" s="73">
        <v>0</v>
      </c>
      <c r="BW12" s="73">
        <v>0</v>
      </c>
      <c r="BX12" s="73">
        <v>0</v>
      </c>
      <c r="BY12" s="73">
        <v>-3500</v>
      </c>
      <c r="BZ12" s="73"/>
      <c r="CA12" s="73"/>
      <c r="CB12" s="73"/>
      <c r="CC12" s="73"/>
      <c r="CD12" s="73"/>
      <c r="CE12" s="73"/>
      <c r="CF12" s="73"/>
      <c r="CG12" s="73"/>
      <c r="CH12" s="73">
        <f t="shared" si="1"/>
        <v>0</v>
      </c>
      <c r="CI12" s="73"/>
      <c r="CJ12" s="73"/>
      <c r="CK12" s="72">
        <v>0</v>
      </c>
      <c r="CL12" s="73">
        <v>0</v>
      </c>
      <c r="CM12" s="84">
        <v>0</v>
      </c>
      <c r="CN12" s="73">
        <v>0</v>
      </c>
      <c r="CO12" s="73">
        <v>0</v>
      </c>
      <c r="CP12" s="73">
        <v>0</v>
      </c>
      <c r="CQ12" s="73">
        <v>0</v>
      </c>
      <c r="CR12" s="73">
        <v>0</v>
      </c>
      <c r="CS12" s="73">
        <v>0</v>
      </c>
      <c r="CT12" s="73">
        <v>0</v>
      </c>
      <c r="CU12" s="73"/>
      <c r="CV12" s="84">
        <f t="shared" si="0"/>
        <v>0</v>
      </c>
      <c r="CW12" s="84"/>
      <c r="CX12" s="74"/>
      <c r="CY12" s="74"/>
      <c r="CZ12" s="74"/>
      <c r="DA12" s="74"/>
      <c r="DB12" s="74"/>
      <c r="DC12" s="74"/>
      <c r="DD12" s="74"/>
    </row>
    <row r="13" spans="1:108" s="68" customFormat="1" ht="15" customHeight="1" x14ac:dyDescent="0.25">
      <c r="A13" s="74" t="s">
        <v>691</v>
      </c>
      <c r="B13" s="74" t="s">
        <v>154</v>
      </c>
      <c r="C13" s="74" t="s">
        <v>172</v>
      </c>
      <c r="D13" s="74" t="s">
        <v>196</v>
      </c>
      <c r="E13" s="74" t="s">
        <v>309</v>
      </c>
      <c r="F13" s="74" t="s">
        <v>550</v>
      </c>
      <c r="G13" s="74" t="s">
        <v>137</v>
      </c>
      <c r="H13" s="74" t="s">
        <v>137</v>
      </c>
      <c r="I13" s="74" t="s">
        <v>66</v>
      </c>
      <c r="J13" s="74" t="s">
        <v>29</v>
      </c>
      <c r="K13" s="82" t="s">
        <v>137</v>
      </c>
      <c r="L13" s="82" t="s">
        <v>137</v>
      </c>
      <c r="M13" s="82" t="s">
        <v>137</v>
      </c>
      <c r="N13" s="82" t="s">
        <v>137</v>
      </c>
      <c r="O13" s="82" t="s">
        <v>137</v>
      </c>
      <c r="P13" s="82" t="s">
        <v>137</v>
      </c>
      <c r="Q13" s="74" t="s">
        <v>87</v>
      </c>
      <c r="R13" s="74" t="s">
        <v>709</v>
      </c>
      <c r="S13" s="74" t="s">
        <v>40</v>
      </c>
      <c r="T13" s="74" t="s">
        <v>2</v>
      </c>
      <c r="U13" s="75"/>
      <c r="V13" s="75">
        <v>0.05</v>
      </c>
      <c r="W13" s="75">
        <v>0.08</v>
      </c>
      <c r="X13" s="75">
        <v>0.15</v>
      </c>
      <c r="Y13" s="75">
        <v>0.2</v>
      </c>
      <c r="Z13" s="75">
        <v>0.25</v>
      </c>
      <c r="AA13" s="75">
        <v>0.37</v>
      </c>
      <c r="AB13" s="75">
        <v>0.42</v>
      </c>
      <c r="AC13" s="75">
        <v>0.57999999999999996</v>
      </c>
      <c r="AD13" s="75">
        <v>0.67</v>
      </c>
      <c r="AE13" s="75">
        <v>0.83</v>
      </c>
      <c r="AF13" s="75">
        <v>1</v>
      </c>
      <c r="AG13" s="74" t="s">
        <v>533</v>
      </c>
      <c r="AH13" s="74" t="s">
        <v>530</v>
      </c>
      <c r="AI13" s="78" t="s">
        <v>539</v>
      </c>
      <c r="AJ13" s="79" t="s">
        <v>539</v>
      </c>
      <c r="AK13" s="80">
        <v>46023</v>
      </c>
      <c r="AL13" s="80">
        <v>46387</v>
      </c>
      <c r="AM13" s="79"/>
      <c r="AN13" s="79"/>
      <c r="AO13" s="79"/>
      <c r="AP13" s="81" t="s">
        <v>540</v>
      </c>
      <c r="AQ13" s="80" t="str" cm="1">
        <f t="array" ref="AQ13">IFERROR(DATE(2026, _xlfn.AGGREGATE(15, 6, (COLUMN(CI13:CT13)-COLUMN(CI13)+1)/(CI13:CT13&lt;&gt;0), 1), 1),"N/A")</f>
        <v>N/A</v>
      </c>
      <c r="AR13" s="80" t="str" cm="1">
        <f t="array" ref="AR13">IFERROR(EOMONTH(DATE(2026, _xlfn.AGGREGATE(14, 6, (COLUMN(CI13:CT13)-COLUMN(CI13)+1)/(CI13:CT13&lt;&gt;0), 1), 1), 0),"N/A")</f>
        <v>N/A</v>
      </c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4" t="s">
        <v>589</v>
      </c>
      <c r="BG13" s="74" t="s">
        <v>1009</v>
      </c>
      <c r="BH13" s="74" t="s">
        <v>801</v>
      </c>
      <c r="BI13" s="74" t="s">
        <v>137</v>
      </c>
      <c r="BJ13" s="78">
        <v>530704</v>
      </c>
      <c r="BK13" s="82" t="s">
        <v>74</v>
      </c>
      <c r="BL13" s="83">
        <v>1000</v>
      </c>
      <c r="BM13" s="73">
        <v>0</v>
      </c>
      <c r="BN13" s="73">
        <v>0</v>
      </c>
      <c r="BO13" s="73">
        <v>0</v>
      </c>
      <c r="BP13" s="73">
        <v>0</v>
      </c>
      <c r="BQ13" s="73">
        <v>0</v>
      </c>
      <c r="BR13" s="84">
        <v>1000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73">
        <v>0</v>
      </c>
      <c r="BY13" s="73">
        <v>-1000</v>
      </c>
      <c r="BZ13" s="73"/>
      <c r="CA13" s="73"/>
      <c r="CB13" s="73"/>
      <c r="CC13" s="73"/>
      <c r="CD13" s="73"/>
      <c r="CE13" s="73"/>
      <c r="CF13" s="73"/>
      <c r="CG13" s="73"/>
      <c r="CH13" s="73">
        <f t="shared" si="1"/>
        <v>0</v>
      </c>
      <c r="CI13" s="73"/>
      <c r="CJ13" s="73"/>
      <c r="CK13" s="72">
        <v>0</v>
      </c>
      <c r="CL13" s="73">
        <v>0</v>
      </c>
      <c r="CM13" s="73">
        <v>0</v>
      </c>
      <c r="CN13" s="84">
        <v>0</v>
      </c>
      <c r="CO13" s="73">
        <v>0</v>
      </c>
      <c r="CP13" s="73">
        <v>0</v>
      </c>
      <c r="CQ13" s="73">
        <v>0</v>
      </c>
      <c r="CR13" s="73">
        <v>0</v>
      </c>
      <c r="CS13" s="73">
        <v>0</v>
      </c>
      <c r="CT13" s="73">
        <v>0</v>
      </c>
      <c r="CU13" s="73"/>
      <c r="CV13" s="84">
        <f t="shared" si="0"/>
        <v>0</v>
      </c>
      <c r="CW13" s="84"/>
      <c r="CX13" s="74"/>
      <c r="CY13" s="74"/>
      <c r="CZ13" s="74"/>
      <c r="DA13" s="74"/>
      <c r="DB13" s="74"/>
      <c r="DC13" s="74"/>
      <c r="DD13" s="74"/>
    </row>
    <row r="14" spans="1:108" s="68" customFormat="1" ht="15" hidden="1" customHeight="1" x14ac:dyDescent="0.25">
      <c r="A14" s="74" t="s">
        <v>689</v>
      </c>
      <c r="B14" s="74" t="s">
        <v>154</v>
      </c>
      <c r="C14" s="74" t="s">
        <v>172</v>
      </c>
      <c r="D14" s="74" t="s">
        <v>196</v>
      </c>
      <c r="E14" s="74" t="s">
        <v>309</v>
      </c>
      <c r="F14" s="74" t="s">
        <v>550</v>
      </c>
      <c r="G14" s="74" t="s">
        <v>137</v>
      </c>
      <c r="H14" s="74" t="s">
        <v>137</v>
      </c>
      <c r="I14" s="74" t="s">
        <v>66</v>
      </c>
      <c r="J14" s="74" t="s">
        <v>29</v>
      </c>
      <c r="K14" s="82" t="s">
        <v>137</v>
      </c>
      <c r="L14" s="82" t="s">
        <v>137</v>
      </c>
      <c r="M14" s="82" t="s">
        <v>137</v>
      </c>
      <c r="N14" s="82" t="s">
        <v>137</v>
      </c>
      <c r="O14" s="82" t="s">
        <v>137</v>
      </c>
      <c r="P14" s="82" t="s">
        <v>137</v>
      </c>
      <c r="Q14" s="74" t="s">
        <v>87</v>
      </c>
      <c r="R14" s="74" t="s">
        <v>709</v>
      </c>
      <c r="S14" s="74" t="s">
        <v>40</v>
      </c>
      <c r="T14" s="74" t="s">
        <v>2</v>
      </c>
      <c r="U14" s="75"/>
      <c r="V14" s="75">
        <v>0.05</v>
      </c>
      <c r="W14" s="75">
        <v>0.08</v>
      </c>
      <c r="X14" s="75">
        <v>0.15</v>
      </c>
      <c r="Y14" s="75">
        <v>0.2</v>
      </c>
      <c r="Z14" s="75">
        <v>0.25</v>
      </c>
      <c r="AA14" s="75">
        <v>0.37</v>
      </c>
      <c r="AB14" s="75">
        <v>0.42</v>
      </c>
      <c r="AC14" s="75">
        <v>0.57999999999999996</v>
      </c>
      <c r="AD14" s="75">
        <v>0.67</v>
      </c>
      <c r="AE14" s="75">
        <v>0.83</v>
      </c>
      <c r="AF14" s="75">
        <v>1</v>
      </c>
      <c r="AG14" s="74" t="s">
        <v>533</v>
      </c>
      <c r="AH14" s="74" t="s">
        <v>530</v>
      </c>
      <c r="AI14" s="78" t="s">
        <v>539</v>
      </c>
      <c r="AJ14" s="79" t="s">
        <v>539</v>
      </c>
      <c r="AK14" s="80">
        <v>46023</v>
      </c>
      <c r="AL14" s="80">
        <v>46387</v>
      </c>
      <c r="AM14" s="79"/>
      <c r="AN14" s="79"/>
      <c r="AO14" s="79"/>
      <c r="AP14" s="81" t="s">
        <v>540</v>
      </c>
      <c r="AQ14" s="80" cm="1">
        <f t="array" ref="AQ14">IFERROR(DATE(2026, _xlfn.AGGREGATE(15, 6, (COLUMN(CI14:CT14)-COLUMN(CI14)+1)/(CI14:CT14&lt;&gt;0), 1), 1),"N/A")</f>
        <v>46235</v>
      </c>
      <c r="AR14" s="80" cm="1">
        <f t="array" ref="AR14">IFERROR(EOMONTH(DATE(2026, _xlfn.AGGREGATE(14, 6, (COLUMN(CI14:CT14)-COLUMN(CI14)+1)/(CI14:CT14&lt;&gt;0), 1), 1), 0),"N/A")</f>
        <v>46265</v>
      </c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4" t="s">
        <v>1143</v>
      </c>
      <c r="BG14" s="74"/>
      <c r="BH14" s="74" t="s">
        <v>1150</v>
      </c>
      <c r="BI14" s="74" t="s">
        <v>137</v>
      </c>
      <c r="BJ14" s="78">
        <v>530802</v>
      </c>
      <c r="BK14" s="82" t="s">
        <v>74</v>
      </c>
      <c r="BL14" s="83"/>
      <c r="BM14" s="73"/>
      <c r="BN14" s="73"/>
      <c r="BO14" s="73"/>
      <c r="BP14" s="73"/>
      <c r="BQ14" s="73"/>
      <c r="BR14" s="84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>
        <v>639.09</v>
      </c>
      <c r="CE14" s="73"/>
      <c r="CF14" s="73"/>
      <c r="CG14" s="73"/>
      <c r="CH14" s="73">
        <f t="shared" si="1"/>
        <v>639.09</v>
      </c>
      <c r="CI14" s="73"/>
      <c r="CJ14" s="73"/>
      <c r="CK14" s="72"/>
      <c r="CL14" s="73"/>
      <c r="CM14" s="73"/>
      <c r="CN14" s="84"/>
      <c r="CO14" s="73"/>
      <c r="CP14" s="73">
        <v>639.09</v>
      </c>
      <c r="CQ14" s="73"/>
      <c r="CR14" s="73"/>
      <c r="CS14" s="73"/>
      <c r="CT14" s="73"/>
      <c r="CU14" s="73"/>
      <c r="CV14" s="84">
        <f t="shared" si="0"/>
        <v>0</v>
      </c>
      <c r="CW14" s="84"/>
      <c r="CX14" s="74"/>
      <c r="CY14" s="74"/>
      <c r="CZ14" s="74"/>
      <c r="DA14" s="74"/>
      <c r="DB14" s="74"/>
      <c r="DC14" s="74"/>
      <c r="DD14" s="74"/>
    </row>
    <row r="15" spans="1:108" s="68" customFormat="1" ht="15" customHeight="1" x14ac:dyDescent="0.25">
      <c r="A15" s="74" t="s">
        <v>691</v>
      </c>
      <c r="B15" s="74" t="s">
        <v>154</v>
      </c>
      <c r="C15" s="74" t="s">
        <v>172</v>
      </c>
      <c r="D15" s="74" t="s">
        <v>196</v>
      </c>
      <c r="E15" s="74" t="s">
        <v>309</v>
      </c>
      <c r="F15" s="74" t="s">
        <v>550</v>
      </c>
      <c r="G15" s="74" t="s">
        <v>137</v>
      </c>
      <c r="H15" s="74" t="s">
        <v>137</v>
      </c>
      <c r="I15" s="74" t="s">
        <v>66</v>
      </c>
      <c r="J15" s="74" t="s">
        <v>29</v>
      </c>
      <c r="K15" s="82" t="s">
        <v>137</v>
      </c>
      <c r="L15" s="82" t="s">
        <v>137</v>
      </c>
      <c r="M15" s="82" t="s">
        <v>137</v>
      </c>
      <c r="N15" s="82" t="s">
        <v>137</v>
      </c>
      <c r="O15" s="82" t="s">
        <v>137</v>
      </c>
      <c r="P15" s="82" t="s">
        <v>137</v>
      </c>
      <c r="Q15" s="74" t="s">
        <v>87</v>
      </c>
      <c r="R15" s="74" t="s">
        <v>709</v>
      </c>
      <c r="S15" s="74" t="s">
        <v>40</v>
      </c>
      <c r="T15" s="74" t="s">
        <v>2</v>
      </c>
      <c r="U15" s="75"/>
      <c r="V15" s="75">
        <v>0.05</v>
      </c>
      <c r="W15" s="75">
        <v>0.08</v>
      </c>
      <c r="X15" s="75">
        <v>0.15</v>
      </c>
      <c r="Y15" s="75">
        <v>0.2</v>
      </c>
      <c r="Z15" s="75">
        <v>0.25</v>
      </c>
      <c r="AA15" s="75">
        <v>0.37</v>
      </c>
      <c r="AB15" s="75">
        <v>0.42</v>
      </c>
      <c r="AC15" s="75">
        <v>0.57999999999999996</v>
      </c>
      <c r="AD15" s="75">
        <v>0.67</v>
      </c>
      <c r="AE15" s="75">
        <v>0.83</v>
      </c>
      <c r="AF15" s="75">
        <v>1</v>
      </c>
      <c r="AG15" s="74" t="s">
        <v>533</v>
      </c>
      <c r="AH15" s="74" t="s">
        <v>530</v>
      </c>
      <c r="AI15" s="78" t="s">
        <v>539</v>
      </c>
      <c r="AJ15" s="79" t="s">
        <v>539</v>
      </c>
      <c r="AK15" s="80">
        <v>46023</v>
      </c>
      <c r="AL15" s="80">
        <v>46387</v>
      </c>
      <c r="AM15" s="79"/>
      <c r="AN15" s="79"/>
      <c r="AO15" s="79"/>
      <c r="AP15" s="81" t="s">
        <v>540</v>
      </c>
      <c r="AQ15" s="80" t="str" cm="1">
        <f t="array" ref="AQ15">IFERROR(DATE(2026, _xlfn.AGGREGATE(15, 6, (COLUMN(CI15:CT15)-COLUMN(CI15)+1)/(CI15:CT15&lt;&gt;0), 1), 1),"N/A")</f>
        <v>N/A</v>
      </c>
      <c r="AR15" s="80" t="str" cm="1">
        <f t="array" ref="AR15">IFERROR(EOMONTH(DATE(2026, _xlfn.AGGREGATE(14, 6, (COLUMN(CI15:CT15)-COLUMN(CI15)+1)/(CI15:CT15&lt;&gt;0), 1), 1), 0),"N/A")</f>
        <v>N/A</v>
      </c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4" t="s">
        <v>597</v>
      </c>
      <c r="BG15" s="74" t="s">
        <v>1009</v>
      </c>
      <c r="BH15" s="74" t="s">
        <v>802</v>
      </c>
      <c r="BI15" s="74" t="s">
        <v>137</v>
      </c>
      <c r="BJ15" s="78">
        <v>530243</v>
      </c>
      <c r="BK15" s="82" t="s">
        <v>74</v>
      </c>
      <c r="BL15" s="83">
        <v>3500</v>
      </c>
      <c r="BM15" s="73">
        <v>0</v>
      </c>
      <c r="BN15" s="73">
        <v>0</v>
      </c>
      <c r="BO15" s="73">
        <v>0</v>
      </c>
      <c r="BP15" s="73">
        <v>0</v>
      </c>
      <c r="BQ15" s="73">
        <v>0</v>
      </c>
      <c r="BR15" s="84">
        <v>3500</v>
      </c>
      <c r="BS15" s="73">
        <v>0</v>
      </c>
      <c r="BT15" s="73">
        <v>0</v>
      </c>
      <c r="BU15" s="73">
        <v>0</v>
      </c>
      <c r="BV15" s="73">
        <v>0</v>
      </c>
      <c r="BW15" s="73">
        <v>0</v>
      </c>
      <c r="BX15" s="73">
        <v>0</v>
      </c>
      <c r="BY15" s="73">
        <v>-3500</v>
      </c>
      <c r="BZ15" s="73"/>
      <c r="CA15" s="73"/>
      <c r="CB15" s="73"/>
      <c r="CC15" s="73"/>
      <c r="CD15" s="73"/>
      <c r="CE15" s="73"/>
      <c r="CF15" s="73"/>
      <c r="CG15" s="73"/>
      <c r="CH15" s="73">
        <f t="shared" si="1"/>
        <v>0</v>
      </c>
      <c r="CI15" s="73"/>
      <c r="CJ15" s="73"/>
      <c r="CK15" s="72">
        <v>0</v>
      </c>
      <c r="CL15" s="73">
        <v>0</v>
      </c>
      <c r="CM15" s="73">
        <v>0</v>
      </c>
      <c r="CN15" s="84">
        <v>0</v>
      </c>
      <c r="CO15" s="73">
        <v>0</v>
      </c>
      <c r="CP15" s="73">
        <v>0</v>
      </c>
      <c r="CQ15" s="73">
        <v>0</v>
      </c>
      <c r="CR15" s="73">
        <v>0</v>
      </c>
      <c r="CS15" s="73">
        <v>0</v>
      </c>
      <c r="CT15" s="73">
        <v>0</v>
      </c>
      <c r="CU15" s="73"/>
      <c r="CV15" s="84">
        <f t="shared" si="0"/>
        <v>0</v>
      </c>
      <c r="CW15" s="84"/>
      <c r="CX15" s="74"/>
      <c r="CY15" s="74"/>
      <c r="CZ15" s="74"/>
      <c r="DA15" s="74"/>
      <c r="DB15" s="74"/>
      <c r="DC15" s="74"/>
      <c r="DD15" s="74"/>
    </row>
    <row r="16" spans="1:108" s="68" customFormat="1" ht="15" customHeight="1" x14ac:dyDescent="0.25">
      <c r="A16" s="74" t="s">
        <v>691</v>
      </c>
      <c r="B16" s="74" t="s">
        <v>154</v>
      </c>
      <c r="C16" s="74" t="s">
        <v>172</v>
      </c>
      <c r="D16" s="74" t="s">
        <v>196</v>
      </c>
      <c r="E16" s="74" t="s">
        <v>309</v>
      </c>
      <c r="F16" s="74" t="s">
        <v>550</v>
      </c>
      <c r="G16" s="74" t="s">
        <v>137</v>
      </c>
      <c r="H16" s="74" t="s">
        <v>137</v>
      </c>
      <c r="I16" s="74" t="s">
        <v>66</v>
      </c>
      <c r="J16" s="74" t="s">
        <v>29</v>
      </c>
      <c r="K16" s="82" t="s">
        <v>137</v>
      </c>
      <c r="L16" s="82" t="s">
        <v>137</v>
      </c>
      <c r="M16" s="82" t="s">
        <v>137</v>
      </c>
      <c r="N16" s="82" t="s">
        <v>137</v>
      </c>
      <c r="O16" s="82" t="s">
        <v>137</v>
      </c>
      <c r="P16" s="82" t="s">
        <v>137</v>
      </c>
      <c r="Q16" s="74" t="s">
        <v>87</v>
      </c>
      <c r="R16" s="74" t="s">
        <v>709</v>
      </c>
      <c r="S16" s="74" t="s">
        <v>40</v>
      </c>
      <c r="T16" s="74" t="s">
        <v>2</v>
      </c>
      <c r="U16" s="75"/>
      <c r="V16" s="75">
        <v>0.05</v>
      </c>
      <c r="W16" s="75">
        <v>0.08</v>
      </c>
      <c r="X16" s="75">
        <v>0.15</v>
      </c>
      <c r="Y16" s="75">
        <v>0.2</v>
      </c>
      <c r="Z16" s="75">
        <v>0.25</v>
      </c>
      <c r="AA16" s="75">
        <v>0.37</v>
      </c>
      <c r="AB16" s="75">
        <v>0.42</v>
      </c>
      <c r="AC16" s="75">
        <v>0.57999999999999996</v>
      </c>
      <c r="AD16" s="75">
        <v>0.67</v>
      </c>
      <c r="AE16" s="75">
        <v>0.83</v>
      </c>
      <c r="AF16" s="75">
        <v>1</v>
      </c>
      <c r="AG16" s="74" t="s">
        <v>533</v>
      </c>
      <c r="AH16" s="74" t="s">
        <v>530</v>
      </c>
      <c r="AI16" s="78" t="s">
        <v>539</v>
      </c>
      <c r="AJ16" s="79" t="s">
        <v>539</v>
      </c>
      <c r="AK16" s="80">
        <v>46023</v>
      </c>
      <c r="AL16" s="80">
        <v>46387</v>
      </c>
      <c r="AM16" s="79"/>
      <c r="AN16" s="79"/>
      <c r="AO16" s="79"/>
      <c r="AP16" s="81" t="s">
        <v>540</v>
      </c>
      <c r="AQ16" s="80" t="str" cm="1">
        <f t="array" ref="AQ16">IFERROR(DATE(2026, _xlfn.AGGREGATE(15, 6, (COLUMN(CI16:CT16)-COLUMN(CI16)+1)/(CI16:CT16&lt;&gt;0), 1), 1),"N/A")</f>
        <v>N/A</v>
      </c>
      <c r="AR16" s="80" t="str" cm="1">
        <f t="array" ref="AR16">IFERROR(EOMONTH(DATE(2026, _xlfn.AGGREGATE(14, 6, (COLUMN(CI16:CT16)-COLUMN(CI16)+1)/(CI16:CT16&lt;&gt;0), 1), 1), 0),"N/A")</f>
        <v>N/A</v>
      </c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4" t="s">
        <v>597</v>
      </c>
      <c r="BG16" s="74" t="s">
        <v>1009</v>
      </c>
      <c r="BH16" s="74" t="s">
        <v>803</v>
      </c>
      <c r="BI16" s="74" t="s">
        <v>137</v>
      </c>
      <c r="BJ16" s="78">
        <v>530404</v>
      </c>
      <c r="BK16" s="82" t="s">
        <v>74</v>
      </c>
      <c r="BL16" s="83">
        <v>1500</v>
      </c>
      <c r="BM16" s="73">
        <v>0</v>
      </c>
      <c r="BN16" s="73">
        <v>0</v>
      </c>
      <c r="BO16" s="73">
        <v>0</v>
      </c>
      <c r="BP16" s="73">
        <v>0</v>
      </c>
      <c r="BQ16" s="73">
        <v>0</v>
      </c>
      <c r="BR16" s="84">
        <v>1500</v>
      </c>
      <c r="BS16" s="73">
        <v>0</v>
      </c>
      <c r="BT16" s="73">
        <v>0</v>
      </c>
      <c r="BU16" s="73">
        <v>0</v>
      </c>
      <c r="BV16" s="73">
        <v>0</v>
      </c>
      <c r="BW16" s="73">
        <v>0</v>
      </c>
      <c r="BX16" s="73">
        <v>0</v>
      </c>
      <c r="BY16" s="73">
        <v>-1500</v>
      </c>
      <c r="BZ16" s="73"/>
      <c r="CA16" s="73"/>
      <c r="CB16" s="73"/>
      <c r="CC16" s="73"/>
      <c r="CD16" s="73"/>
      <c r="CE16" s="73"/>
      <c r="CF16" s="73"/>
      <c r="CG16" s="73"/>
      <c r="CH16" s="73">
        <f t="shared" si="1"/>
        <v>0</v>
      </c>
      <c r="CI16" s="73"/>
      <c r="CJ16" s="73"/>
      <c r="CK16" s="72">
        <v>0</v>
      </c>
      <c r="CL16" s="73">
        <v>0</v>
      </c>
      <c r="CM16" s="73">
        <v>0</v>
      </c>
      <c r="CN16" s="84">
        <v>0</v>
      </c>
      <c r="CO16" s="73">
        <v>0</v>
      </c>
      <c r="CP16" s="73">
        <v>0</v>
      </c>
      <c r="CQ16" s="73">
        <v>0</v>
      </c>
      <c r="CR16" s="73">
        <v>0</v>
      </c>
      <c r="CS16" s="73">
        <v>0</v>
      </c>
      <c r="CT16" s="73">
        <v>0</v>
      </c>
      <c r="CU16" s="73"/>
      <c r="CV16" s="84">
        <f t="shared" si="0"/>
        <v>0</v>
      </c>
      <c r="CW16" s="84"/>
      <c r="CX16" s="74"/>
      <c r="CY16" s="74"/>
      <c r="CZ16" s="74"/>
      <c r="DA16" s="74"/>
      <c r="DB16" s="74"/>
      <c r="DC16" s="74"/>
      <c r="DD16" s="74"/>
    </row>
    <row r="17" spans="1:108" s="402" customFormat="1" ht="15" hidden="1" customHeight="1" x14ac:dyDescent="0.25">
      <c r="A17" s="398" t="s">
        <v>690</v>
      </c>
      <c r="B17" s="74" t="s">
        <v>154</v>
      </c>
      <c r="C17" s="74" t="s">
        <v>172</v>
      </c>
      <c r="D17" s="74" t="s">
        <v>196</v>
      </c>
      <c r="E17" s="74" t="s">
        <v>309</v>
      </c>
      <c r="F17" s="74" t="s">
        <v>550</v>
      </c>
      <c r="G17" s="74" t="s">
        <v>137</v>
      </c>
      <c r="H17" s="74" t="s">
        <v>137</v>
      </c>
      <c r="I17" s="74" t="s">
        <v>66</v>
      </c>
      <c r="J17" s="74" t="s">
        <v>29</v>
      </c>
      <c r="K17" s="82" t="s">
        <v>137</v>
      </c>
      <c r="L17" s="82" t="s">
        <v>137</v>
      </c>
      <c r="M17" s="82" t="s">
        <v>137</v>
      </c>
      <c r="N17" s="82" t="s">
        <v>137</v>
      </c>
      <c r="O17" s="82" t="s">
        <v>137</v>
      </c>
      <c r="P17" s="82" t="s">
        <v>137</v>
      </c>
      <c r="Q17" s="74" t="s">
        <v>87</v>
      </c>
      <c r="R17" s="74" t="s">
        <v>709</v>
      </c>
      <c r="S17" s="74" t="s">
        <v>40</v>
      </c>
      <c r="T17" s="74" t="s">
        <v>2</v>
      </c>
      <c r="U17" s="75"/>
      <c r="V17" s="75">
        <v>0.05</v>
      </c>
      <c r="W17" s="75">
        <v>0.08</v>
      </c>
      <c r="X17" s="75">
        <v>0.15</v>
      </c>
      <c r="Y17" s="75">
        <v>0.2</v>
      </c>
      <c r="Z17" s="75">
        <v>0.25</v>
      </c>
      <c r="AA17" s="75">
        <v>0.37</v>
      </c>
      <c r="AB17" s="75">
        <v>0.42</v>
      </c>
      <c r="AC17" s="75">
        <v>0.57999999999999996</v>
      </c>
      <c r="AD17" s="75">
        <v>0.67</v>
      </c>
      <c r="AE17" s="75">
        <v>0.83</v>
      </c>
      <c r="AF17" s="75">
        <v>1</v>
      </c>
      <c r="AG17" s="74" t="s">
        <v>533</v>
      </c>
      <c r="AH17" s="74" t="s">
        <v>530</v>
      </c>
      <c r="AI17" s="78" t="s">
        <v>539</v>
      </c>
      <c r="AJ17" s="79" t="s">
        <v>539</v>
      </c>
      <c r="AK17" s="80">
        <v>46023</v>
      </c>
      <c r="AL17" s="80">
        <v>46387</v>
      </c>
      <c r="AM17" s="79"/>
      <c r="AN17" s="79"/>
      <c r="AO17" s="79"/>
      <c r="AP17" s="81" t="s">
        <v>540</v>
      </c>
      <c r="AQ17" s="80" cm="1">
        <f t="array" ref="AQ17">IFERROR(DATE(2026, _xlfn.AGGREGATE(15, 6, (COLUMN(CI17:CT17)-COLUMN(CI17)+1)/(CI17:CT17&lt;&gt;0), 1), 1),"N/A")</f>
        <v>46357</v>
      </c>
      <c r="AR17" s="80" cm="1">
        <f t="array" ref="AR17">IFERROR(EOMONTH(DATE(2026, _xlfn.AGGREGATE(14, 6, (COLUMN(CI17:CT17)-COLUMN(CI17)+1)/(CI17:CT17&lt;&gt;0), 1), 1), 0),"N/A")</f>
        <v>46387</v>
      </c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398" t="s">
        <v>1146</v>
      </c>
      <c r="BG17" s="74"/>
      <c r="BH17" s="398" t="s">
        <v>1153</v>
      </c>
      <c r="BI17" s="74" t="s">
        <v>137</v>
      </c>
      <c r="BJ17" s="399">
        <v>530301</v>
      </c>
      <c r="BK17" s="400" t="s">
        <v>74</v>
      </c>
      <c r="BL17" s="83"/>
      <c r="BM17" s="73"/>
      <c r="BN17" s="73"/>
      <c r="BO17" s="73"/>
      <c r="BP17" s="73"/>
      <c r="BQ17" s="73"/>
      <c r="BR17" s="84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>
        <v>3000</v>
      </c>
      <c r="CE17" s="73"/>
      <c r="CF17" s="73"/>
      <c r="CG17" s="73"/>
      <c r="CH17" s="403">
        <f t="shared" si="1"/>
        <v>3000</v>
      </c>
      <c r="CI17" s="73"/>
      <c r="CJ17" s="73"/>
      <c r="CK17" s="72"/>
      <c r="CL17" s="73"/>
      <c r="CM17" s="73"/>
      <c r="CN17" s="84"/>
      <c r="CO17" s="73"/>
      <c r="CP17" s="73"/>
      <c r="CQ17" s="73"/>
      <c r="CR17" s="73"/>
      <c r="CS17" s="73"/>
      <c r="CT17" s="403">
        <v>3000</v>
      </c>
      <c r="CU17" s="403"/>
      <c r="CV17" s="404">
        <f t="shared" si="0"/>
        <v>0</v>
      </c>
      <c r="CW17" s="404"/>
      <c r="CX17" s="398"/>
      <c r="CY17" s="398"/>
      <c r="CZ17" s="398"/>
      <c r="DA17" s="398"/>
      <c r="DB17" s="398"/>
      <c r="DC17" s="398"/>
      <c r="DD17" s="398"/>
    </row>
    <row r="18" spans="1:108" s="402" customFormat="1" ht="15" hidden="1" customHeight="1" x14ac:dyDescent="0.25">
      <c r="A18" s="398" t="s">
        <v>690</v>
      </c>
      <c r="B18" s="74" t="s">
        <v>154</v>
      </c>
      <c r="C18" s="74" t="s">
        <v>172</v>
      </c>
      <c r="D18" s="74" t="s">
        <v>196</v>
      </c>
      <c r="E18" s="74" t="s">
        <v>309</v>
      </c>
      <c r="F18" s="74" t="s">
        <v>550</v>
      </c>
      <c r="G18" s="74" t="s">
        <v>137</v>
      </c>
      <c r="H18" s="74" t="s">
        <v>137</v>
      </c>
      <c r="I18" s="74" t="s">
        <v>66</v>
      </c>
      <c r="J18" s="74" t="s">
        <v>29</v>
      </c>
      <c r="K18" s="82" t="s">
        <v>137</v>
      </c>
      <c r="L18" s="82" t="s">
        <v>137</v>
      </c>
      <c r="M18" s="82" t="s">
        <v>137</v>
      </c>
      <c r="N18" s="82" t="s">
        <v>137</v>
      </c>
      <c r="O18" s="82" t="s">
        <v>137</v>
      </c>
      <c r="P18" s="82" t="s">
        <v>137</v>
      </c>
      <c r="Q18" s="74" t="s">
        <v>87</v>
      </c>
      <c r="R18" s="74" t="s">
        <v>709</v>
      </c>
      <c r="S18" s="74" t="s">
        <v>40</v>
      </c>
      <c r="T18" s="74" t="s">
        <v>2</v>
      </c>
      <c r="U18" s="75"/>
      <c r="V18" s="75">
        <v>0.05</v>
      </c>
      <c r="W18" s="75">
        <v>0.08</v>
      </c>
      <c r="X18" s="75">
        <v>0.15</v>
      </c>
      <c r="Y18" s="75">
        <v>0.2</v>
      </c>
      <c r="Z18" s="75">
        <v>0.25</v>
      </c>
      <c r="AA18" s="75">
        <v>0.37</v>
      </c>
      <c r="AB18" s="75">
        <v>0.42</v>
      </c>
      <c r="AC18" s="75">
        <v>0.57999999999999996</v>
      </c>
      <c r="AD18" s="75">
        <v>0.67</v>
      </c>
      <c r="AE18" s="75">
        <v>0.83</v>
      </c>
      <c r="AF18" s="75">
        <v>1</v>
      </c>
      <c r="AG18" s="74" t="s">
        <v>533</v>
      </c>
      <c r="AH18" s="74" t="s">
        <v>530</v>
      </c>
      <c r="AI18" s="78" t="s">
        <v>539</v>
      </c>
      <c r="AJ18" s="79" t="s">
        <v>539</v>
      </c>
      <c r="AK18" s="80">
        <v>46023</v>
      </c>
      <c r="AL18" s="80">
        <v>46387</v>
      </c>
      <c r="AM18" s="79"/>
      <c r="AN18" s="79"/>
      <c r="AO18" s="79"/>
      <c r="AP18" s="81" t="s">
        <v>540</v>
      </c>
      <c r="AQ18" s="80" cm="1">
        <f t="array" ref="AQ18">IFERROR(DATE(2026, _xlfn.AGGREGATE(15, 6, (COLUMN(CI18:CT18)-COLUMN(CI18)+1)/(CI18:CT18&lt;&gt;0), 1), 1),"N/A")</f>
        <v>46357</v>
      </c>
      <c r="AR18" s="80" cm="1">
        <f t="array" ref="AR18">IFERROR(EOMONTH(DATE(2026, _xlfn.AGGREGATE(14, 6, (COLUMN(CI18:CT18)-COLUMN(CI18)+1)/(CI18:CT18&lt;&gt;0), 1), 1), 0),"N/A")</f>
        <v>46387</v>
      </c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398" t="s">
        <v>1146</v>
      </c>
      <c r="BG18" s="74"/>
      <c r="BH18" s="398" t="s">
        <v>1154</v>
      </c>
      <c r="BI18" s="74" t="s">
        <v>137</v>
      </c>
      <c r="BJ18" s="399">
        <v>530302</v>
      </c>
      <c r="BK18" s="400" t="s">
        <v>74</v>
      </c>
      <c r="BL18" s="83"/>
      <c r="BM18" s="73"/>
      <c r="BN18" s="73"/>
      <c r="BO18" s="73"/>
      <c r="BP18" s="73"/>
      <c r="BQ18" s="73"/>
      <c r="BR18" s="84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>
        <v>7000</v>
      </c>
      <c r="CE18" s="73"/>
      <c r="CF18" s="73"/>
      <c r="CG18" s="73"/>
      <c r="CH18" s="403">
        <f t="shared" si="1"/>
        <v>7000</v>
      </c>
      <c r="CI18" s="73"/>
      <c r="CJ18" s="73"/>
      <c r="CK18" s="72"/>
      <c r="CL18" s="73"/>
      <c r="CM18" s="73"/>
      <c r="CN18" s="84"/>
      <c r="CO18" s="73"/>
      <c r="CP18" s="73"/>
      <c r="CQ18" s="73"/>
      <c r="CR18" s="73"/>
      <c r="CS18" s="73"/>
      <c r="CT18" s="403">
        <v>7000</v>
      </c>
      <c r="CU18" s="403"/>
      <c r="CV18" s="404">
        <f t="shared" si="0"/>
        <v>0</v>
      </c>
      <c r="CW18" s="404"/>
      <c r="CX18" s="398"/>
      <c r="CY18" s="398"/>
      <c r="CZ18" s="398"/>
      <c r="DA18" s="398"/>
      <c r="DB18" s="398"/>
      <c r="DC18" s="398"/>
      <c r="DD18" s="398"/>
    </row>
    <row r="19" spans="1:108" s="68" customFormat="1" ht="15" customHeight="1" x14ac:dyDescent="0.25">
      <c r="A19" s="74" t="s">
        <v>691</v>
      </c>
      <c r="B19" s="74" t="s">
        <v>154</v>
      </c>
      <c r="C19" s="74" t="s">
        <v>172</v>
      </c>
      <c r="D19" s="74" t="s">
        <v>196</v>
      </c>
      <c r="E19" s="74" t="s">
        <v>309</v>
      </c>
      <c r="F19" s="74" t="s">
        <v>550</v>
      </c>
      <c r="G19" s="74" t="s">
        <v>137</v>
      </c>
      <c r="H19" s="74" t="s">
        <v>137</v>
      </c>
      <c r="I19" s="74" t="s">
        <v>66</v>
      </c>
      <c r="J19" s="74" t="s">
        <v>29</v>
      </c>
      <c r="K19" s="82" t="s">
        <v>137</v>
      </c>
      <c r="L19" s="82" t="s">
        <v>137</v>
      </c>
      <c r="M19" s="82" t="s">
        <v>137</v>
      </c>
      <c r="N19" s="82" t="s">
        <v>137</v>
      </c>
      <c r="O19" s="82" t="s">
        <v>137</v>
      </c>
      <c r="P19" s="82" t="s">
        <v>137</v>
      </c>
      <c r="Q19" s="74" t="s">
        <v>87</v>
      </c>
      <c r="R19" s="74" t="s">
        <v>709</v>
      </c>
      <c r="S19" s="74" t="s">
        <v>40</v>
      </c>
      <c r="T19" s="74" t="s">
        <v>2</v>
      </c>
      <c r="U19" s="75"/>
      <c r="V19" s="75">
        <v>0.05</v>
      </c>
      <c r="W19" s="75">
        <v>0.08</v>
      </c>
      <c r="X19" s="75">
        <v>0.15</v>
      </c>
      <c r="Y19" s="75">
        <v>0.2</v>
      </c>
      <c r="Z19" s="75">
        <v>0.25</v>
      </c>
      <c r="AA19" s="75">
        <v>0.37</v>
      </c>
      <c r="AB19" s="75">
        <v>0.42</v>
      </c>
      <c r="AC19" s="75">
        <v>0.57999999999999996</v>
      </c>
      <c r="AD19" s="75">
        <v>0.67</v>
      </c>
      <c r="AE19" s="75">
        <v>0.83</v>
      </c>
      <c r="AF19" s="75">
        <v>1</v>
      </c>
      <c r="AG19" s="74" t="s">
        <v>533</v>
      </c>
      <c r="AH19" s="74" t="s">
        <v>530</v>
      </c>
      <c r="AI19" s="78" t="s">
        <v>539</v>
      </c>
      <c r="AJ19" s="79" t="s">
        <v>539</v>
      </c>
      <c r="AK19" s="80">
        <v>46023</v>
      </c>
      <c r="AL19" s="80">
        <v>46387</v>
      </c>
      <c r="AM19" s="79"/>
      <c r="AN19" s="79"/>
      <c r="AO19" s="79"/>
      <c r="AP19" s="81" t="s">
        <v>540</v>
      </c>
      <c r="AQ19" s="80" t="str" cm="1">
        <f t="array" ref="AQ19">IFERROR(DATE(2026, _xlfn.AGGREGATE(15, 6, (COLUMN(CI19:CT19)-COLUMN(CI19)+1)/(CI19:CT19&lt;&gt;0), 1), 1),"N/A")</f>
        <v>N/A</v>
      </c>
      <c r="AR19" s="80" t="str" cm="1">
        <f t="array" ref="AR19">IFERROR(EOMONTH(DATE(2026, _xlfn.AGGREGATE(14, 6, (COLUMN(CI19:CT19)-COLUMN(CI19)+1)/(CI19:CT19&lt;&gt;0), 1), 1), 0),"N/A")</f>
        <v>N/A</v>
      </c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4" t="s">
        <v>611</v>
      </c>
      <c r="BG19" s="74" t="s">
        <v>1009</v>
      </c>
      <c r="BH19" s="74" t="s">
        <v>797</v>
      </c>
      <c r="BI19" s="74" t="s">
        <v>137</v>
      </c>
      <c r="BJ19" s="78">
        <v>531406</v>
      </c>
      <c r="BK19" s="82" t="s">
        <v>74</v>
      </c>
      <c r="BL19" s="83">
        <v>3383.88</v>
      </c>
      <c r="BM19" s="73">
        <v>0</v>
      </c>
      <c r="BN19" s="73">
        <v>0</v>
      </c>
      <c r="BO19" s="73">
        <v>0</v>
      </c>
      <c r="BP19" s="73">
        <v>0</v>
      </c>
      <c r="BQ19" s="84">
        <v>3383.88</v>
      </c>
      <c r="BR19" s="73">
        <v>0</v>
      </c>
      <c r="BS19" s="73">
        <v>0</v>
      </c>
      <c r="BT19" s="73">
        <v>0</v>
      </c>
      <c r="BU19" s="73">
        <v>0</v>
      </c>
      <c r="BV19" s="73">
        <v>0</v>
      </c>
      <c r="BW19" s="73">
        <v>0</v>
      </c>
      <c r="BX19" s="73">
        <v>0</v>
      </c>
      <c r="BY19" s="73">
        <v>-3383.88</v>
      </c>
      <c r="BZ19" s="73"/>
      <c r="CA19" s="73"/>
      <c r="CB19" s="73"/>
      <c r="CC19" s="73"/>
      <c r="CD19" s="73"/>
      <c r="CE19" s="73"/>
      <c r="CF19" s="73"/>
      <c r="CG19" s="73"/>
      <c r="CH19" s="73">
        <f t="shared" si="1"/>
        <v>0</v>
      </c>
      <c r="CI19" s="73"/>
      <c r="CJ19" s="73"/>
      <c r="CK19" s="72">
        <v>0</v>
      </c>
      <c r="CL19" s="73">
        <v>0</v>
      </c>
      <c r="CM19" s="84">
        <v>0</v>
      </c>
      <c r="CN19" s="73">
        <v>0</v>
      </c>
      <c r="CO19" s="73">
        <v>0</v>
      </c>
      <c r="CP19" s="73">
        <v>0</v>
      </c>
      <c r="CQ19" s="73">
        <v>0</v>
      </c>
      <c r="CR19" s="73">
        <v>0</v>
      </c>
      <c r="CS19" s="73">
        <v>0</v>
      </c>
      <c r="CT19" s="73">
        <v>0</v>
      </c>
      <c r="CU19" s="73"/>
      <c r="CV19" s="84">
        <f t="shared" si="0"/>
        <v>0</v>
      </c>
      <c r="CW19" s="84"/>
      <c r="CX19" s="74"/>
      <c r="CY19" s="74"/>
      <c r="CZ19" s="74"/>
      <c r="DA19" s="74"/>
      <c r="DB19" s="74"/>
      <c r="DC19" s="74"/>
      <c r="DD19" s="74"/>
    </row>
    <row r="20" spans="1:108" s="68" customFormat="1" ht="15" customHeight="1" x14ac:dyDescent="0.25">
      <c r="A20" s="74" t="s">
        <v>691</v>
      </c>
      <c r="B20" s="74" t="s">
        <v>154</v>
      </c>
      <c r="C20" s="74" t="s">
        <v>172</v>
      </c>
      <c r="D20" s="74" t="s">
        <v>196</v>
      </c>
      <c r="E20" s="74" t="s">
        <v>309</v>
      </c>
      <c r="F20" s="74" t="s">
        <v>550</v>
      </c>
      <c r="G20" s="74" t="s">
        <v>137</v>
      </c>
      <c r="H20" s="74" t="s">
        <v>137</v>
      </c>
      <c r="I20" s="74" t="s">
        <v>66</v>
      </c>
      <c r="J20" s="74" t="s">
        <v>29</v>
      </c>
      <c r="K20" s="82" t="s">
        <v>137</v>
      </c>
      <c r="L20" s="82" t="s">
        <v>137</v>
      </c>
      <c r="M20" s="82" t="s">
        <v>137</v>
      </c>
      <c r="N20" s="82" t="s">
        <v>137</v>
      </c>
      <c r="O20" s="82" t="s">
        <v>137</v>
      </c>
      <c r="P20" s="82" t="s">
        <v>137</v>
      </c>
      <c r="Q20" s="74" t="s">
        <v>87</v>
      </c>
      <c r="R20" s="74" t="s">
        <v>709</v>
      </c>
      <c r="S20" s="74" t="s">
        <v>40</v>
      </c>
      <c r="T20" s="74" t="s">
        <v>2</v>
      </c>
      <c r="U20" s="75"/>
      <c r="V20" s="75">
        <v>0.05</v>
      </c>
      <c r="W20" s="75">
        <v>0.08</v>
      </c>
      <c r="X20" s="75">
        <v>0.15</v>
      </c>
      <c r="Y20" s="75">
        <v>0.2</v>
      </c>
      <c r="Z20" s="75">
        <v>0.25</v>
      </c>
      <c r="AA20" s="75">
        <v>0.37</v>
      </c>
      <c r="AB20" s="75">
        <v>0.42</v>
      </c>
      <c r="AC20" s="75">
        <v>0.57999999999999996</v>
      </c>
      <c r="AD20" s="75">
        <v>0.67</v>
      </c>
      <c r="AE20" s="75">
        <v>0.83</v>
      </c>
      <c r="AF20" s="75">
        <v>1</v>
      </c>
      <c r="AG20" s="74" t="s">
        <v>533</v>
      </c>
      <c r="AH20" s="74" t="s">
        <v>530</v>
      </c>
      <c r="AI20" s="78" t="s">
        <v>539</v>
      </c>
      <c r="AJ20" s="79" t="s">
        <v>539</v>
      </c>
      <c r="AK20" s="80">
        <v>46023</v>
      </c>
      <c r="AL20" s="80">
        <v>46387</v>
      </c>
      <c r="AM20" s="79"/>
      <c r="AN20" s="79"/>
      <c r="AO20" s="79"/>
      <c r="AP20" s="81" t="s">
        <v>540</v>
      </c>
      <c r="AQ20" s="80" t="str" cm="1">
        <f t="array" ref="AQ20">IFERROR(DATE(2026, _xlfn.AGGREGATE(15, 6, (COLUMN(CI20:CT20)-COLUMN(CI20)+1)/(CI20:CT20&lt;&gt;0), 1), 1),"N/A")</f>
        <v>N/A</v>
      </c>
      <c r="AR20" s="80" t="str" cm="1">
        <f t="array" ref="AR20">IFERROR(EOMONTH(DATE(2026, _xlfn.AGGREGATE(14, 6, (COLUMN(CI20:CT20)-COLUMN(CI20)+1)/(CI20:CT20&lt;&gt;0), 1), 1), 0),"N/A")</f>
        <v>N/A</v>
      </c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4" t="s">
        <v>611</v>
      </c>
      <c r="BG20" s="74" t="s">
        <v>1009</v>
      </c>
      <c r="BH20" s="74" t="s">
        <v>799</v>
      </c>
      <c r="BI20" s="74" t="s">
        <v>137</v>
      </c>
      <c r="BJ20" s="78">
        <v>531407</v>
      </c>
      <c r="BK20" s="82" t="s">
        <v>74</v>
      </c>
      <c r="BL20" s="83">
        <v>3383.87</v>
      </c>
      <c r="BM20" s="73">
        <v>0</v>
      </c>
      <c r="BN20" s="73">
        <v>0</v>
      </c>
      <c r="BO20" s="73">
        <v>0</v>
      </c>
      <c r="BP20" s="73">
        <v>0</v>
      </c>
      <c r="BQ20" s="84">
        <v>3383.87</v>
      </c>
      <c r="BR20" s="73">
        <v>0</v>
      </c>
      <c r="BS20" s="73">
        <v>0</v>
      </c>
      <c r="BT20" s="73">
        <v>0</v>
      </c>
      <c r="BU20" s="73">
        <v>0</v>
      </c>
      <c r="BV20" s="73">
        <v>0</v>
      </c>
      <c r="BW20" s="73">
        <v>0</v>
      </c>
      <c r="BX20" s="73">
        <v>0</v>
      </c>
      <c r="BY20" s="73">
        <v>-3383.87</v>
      </c>
      <c r="BZ20" s="73"/>
      <c r="CA20" s="73"/>
      <c r="CB20" s="73"/>
      <c r="CC20" s="73"/>
      <c r="CD20" s="73"/>
      <c r="CE20" s="73"/>
      <c r="CF20" s="73"/>
      <c r="CG20" s="73"/>
      <c r="CH20" s="73">
        <f t="shared" si="1"/>
        <v>0</v>
      </c>
      <c r="CI20" s="73"/>
      <c r="CJ20" s="73"/>
      <c r="CK20" s="72">
        <v>0</v>
      </c>
      <c r="CL20" s="73">
        <v>0</v>
      </c>
      <c r="CM20" s="84">
        <v>0</v>
      </c>
      <c r="CN20" s="73">
        <v>0</v>
      </c>
      <c r="CO20" s="73">
        <v>0</v>
      </c>
      <c r="CP20" s="73">
        <v>0</v>
      </c>
      <c r="CQ20" s="73">
        <v>0</v>
      </c>
      <c r="CR20" s="73">
        <v>0</v>
      </c>
      <c r="CS20" s="73">
        <v>0</v>
      </c>
      <c r="CT20" s="73">
        <v>0</v>
      </c>
      <c r="CU20" s="73"/>
      <c r="CV20" s="84">
        <f t="shared" si="0"/>
        <v>0</v>
      </c>
      <c r="CW20" s="84"/>
      <c r="CX20" s="74"/>
      <c r="CY20" s="74"/>
      <c r="CZ20" s="74"/>
      <c r="DA20" s="74"/>
      <c r="DB20" s="74"/>
      <c r="DC20" s="74"/>
      <c r="DD20" s="74"/>
    </row>
    <row r="21" spans="1:108" s="68" customFormat="1" ht="15" customHeight="1" x14ac:dyDescent="0.25">
      <c r="A21" s="74" t="s">
        <v>691</v>
      </c>
      <c r="B21" s="74" t="s">
        <v>154</v>
      </c>
      <c r="C21" s="74" t="s">
        <v>172</v>
      </c>
      <c r="D21" s="74" t="s">
        <v>196</v>
      </c>
      <c r="E21" s="74" t="s">
        <v>309</v>
      </c>
      <c r="F21" s="74" t="s">
        <v>550</v>
      </c>
      <c r="G21" s="74" t="s">
        <v>137</v>
      </c>
      <c r="H21" s="74" t="s">
        <v>137</v>
      </c>
      <c r="I21" s="74" t="s">
        <v>66</v>
      </c>
      <c r="J21" s="74" t="s">
        <v>29</v>
      </c>
      <c r="K21" s="82" t="s">
        <v>137</v>
      </c>
      <c r="L21" s="82" t="s">
        <v>137</v>
      </c>
      <c r="M21" s="82" t="s">
        <v>137</v>
      </c>
      <c r="N21" s="82" t="s">
        <v>137</v>
      </c>
      <c r="O21" s="82" t="s">
        <v>137</v>
      </c>
      <c r="P21" s="82" t="s">
        <v>137</v>
      </c>
      <c r="Q21" s="74" t="s">
        <v>87</v>
      </c>
      <c r="R21" s="74" t="s">
        <v>709</v>
      </c>
      <c r="S21" s="74" t="s">
        <v>40</v>
      </c>
      <c r="T21" s="74" t="s">
        <v>2</v>
      </c>
      <c r="U21" s="75"/>
      <c r="V21" s="75">
        <v>0.05</v>
      </c>
      <c r="W21" s="75">
        <v>0.08</v>
      </c>
      <c r="X21" s="75">
        <v>0.15</v>
      </c>
      <c r="Y21" s="75">
        <v>0.2</v>
      </c>
      <c r="Z21" s="75">
        <v>0.25</v>
      </c>
      <c r="AA21" s="75">
        <v>0.37</v>
      </c>
      <c r="AB21" s="75">
        <v>0.42</v>
      </c>
      <c r="AC21" s="75">
        <v>0.57999999999999996</v>
      </c>
      <c r="AD21" s="75">
        <v>0.67</v>
      </c>
      <c r="AE21" s="75">
        <v>0.83</v>
      </c>
      <c r="AF21" s="75">
        <v>1</v>
      </c>
      <c r="AG21" s="74" t="s">
        <v>533</v>
      </c>
      <c r="AH21" s="74" t="s">
        <v>530</v>
      </c>
      <c r="AI21" s="78" t="s">
        <v>539</v>
      </c>
      <c r="AJ21" s="79" t="s">
        <v>539</v>
      </c>
      <c r="AK21" s="80">
        <v>46023</v>
      </c>
      <c r="AL21" s="80">
        <v>46387</v>
      </c>
      <c r="AM21" s="79"/>
      <c r="AN21" s="79"/>
      <c r="AO21" s="79"/>
      <c r="AP21" s="81" t="s">
        <v>540</v>
      </c>
      <c r="AQ21" s="80" t="str" cm="1">
        <f t="array" ref="AQ21">IFERROR(DATE(2026, _xlfn.AGGREGATE(15, 6, (COLUMN(CI21:CT21)-COLUMN(CI21)+1)/(CI21:CT21&lt;&gt;0), 1), 1),"N/A")</f>
        <v>N/A</v>
      </c>
      <c r="AR21" s="80" t="str" cm="1">
        <f t="array" ref="AR21">IFERROR(EOMONTH(DATE(2026, _xlfn.AGGREGATE(14, 6, (COLUMN(CI21:CT21)-COLUMN(CI21)+1)/(CI21:CT21&lt;&gt;0), 1), 1), 0),"N/A")</f>
        <v>N/A</v>
      </c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4" t="s">
        <v>971</v>
      </c>
      <c r="BG21" s="74" t="s">
        <v>1009</v>
      </c>
      <c r="BH21" s="74" t="s">
        <v>973</v>
      </c>
      <c r="BI21" s="74" t="s">
        <v>137</v>
      </c>
      <c r="BJ21" s="78">
        <v>530702</v>
      </c>
      <c r="BK21" s="82" t="s">
        <v>74</v>
      </c>
      <c r="BL21" s="83">
        <v>0</v>
      </c>
      <c r="BM21" s="73"/>
      <c r="BN21" s="73"/>
      <c r="BO21" s="73"/>
      <c r="BP21" s="73"/>
      <c r="BQ21" s="84"/>
      <c r="BR21" s="73"/>
      <c r="BS21" s="73"/>
      <c r="BT21" s="73"/>
      <c r="BU21" s="73"/>
      <c r="BV21" s="73"/>
      <c r="BW21" s="73"/>
      <c r="BX21" s="73"/>
      <c r="BY21" s="73">
        <v>34000</v>
      </c>
      <c r="BZ21" s="73"/>
      <c r="CA21" s="73"/>
      <c r="CB21" s="73"/>
      <c r="CC21" s="73"/>
      <c r="CD21" s="73">
        <v>-34000</v>
      </c>
      <c r="CE21" s="73"/>
      <c r="CF21" s="73"/>
      <c r="CG21" s="73"/>
      <c r="CH21" s="73">
        <f t="shared" si="1"/>
        <v>0</v>
      </c>
      <c r="CI21" s="73"/>
      <c r="CJ21" s="73"/>
      <c r="CK21" s="72"/>
      <c r="CL21" s="73"/>
      <c r="CM21" s="84"/>
      <c r="CN21" s="73"/>
      <c r="CO21" s="73"/>
      <c r="CP21" s="73"/>
      <c r="CQ21" s="73"/>
      <c r="CR21" s="73"/>
      <c r="CS21" s="73"/>
      <c r="CT21" s="73"/>
      <c r="CU21" s="73"/>
      <c r="CV21" s="84">
        <f t="shared" si="0"/>
        <v>0</v>
      </c>
      <c r="CW21" s="84"/>
      <c r="CX21" s="74"/>
      <c r="CY21" s="74"/>
      <c r="CZ21" s="74"/>
      <c r="DA21" s="74"/>
      <c r="DB21" s="74"/>
      <c r="DC21" s="74"/>
      <c r="DD21" s="74"/>
    </row>
    <row r="22" spans="1:108" s="68" customFormat="1" ht="15" customHeight="1" x14ac:dyDescent="0.25">
      <c r="A22" s="74" t="s">
        <v>691</v>
      </c>
      <c r="B22" s="74" t="s">
        <v>154</v>
      </c>
      <c r="C22" s="74" t="s">
        <v>172</v>
      </c>
      <c r="D22" s="74" t="s">
        <v>196</v>
      </c>
      <c r="E22" s="74" t="s">
        <v>309</v>
      </c>
      <c r="F22" s="74" t="s">
        <v>550</v>
      </c>
      <c r="G22" s="74" t="s">
        <v>137</v>
      </c>
      <c r="H22" s="74" t="s">
        <v>137</v>
      </c>
      <c r="I22" s="74" t="s">
        <v>66</v>
      </c>
      <c r="J22" s="74" t="s">
        <v>29</v>
      </c>
      <c r="K22" s="82" t="s">
        <v>137</v>
      </c>
      <c r="L22" s="82" t="s">
        <v>137</v>
      </c>
      <c r="M22" s="82" t="s">
        <v>137</v>
      </c>
      <c r="N22" s="82" t="s">
        <v>137</v>
      </c>
      <c r="O22" s="82" t="s">
        <v>137</v>
      </c>
      <c r="P22" s="82" t="s">
        <v>137</v>
      </c>
      <c r="Q22" s="74" t="s">
        <v>87</v>
      </c>
      <c r="R22" s="74" t="s">
        <v>709</v>
      </c>
      <c r="S22" s="74" t="s">
        <v>40</v>
      </c>
      <c r="T22" s="74" t="s">
        <v>2</v>
      </c>
      <c r="U22" s="75"/>
      <c r="V22" s="75">
        <v>0.05</v>
      </c>
      <c r="W22" s="75">
        <v>0.08</v>
      </c>
      <c r="X22" s="75">
        <v>0.15</v>
      </c>
      <c r="Y22" s="75">
        <v>0.2</v>
      </c>
      <c r="Z22" s="75">
        <v>0.25</v>
      </c>
      <c r="AA22" s="75">
        <v>0.37</v>
      </c>
      <c r="AB22" s="75">
        <v>0.42</v>
      </c>
      <c r="AC22" s="75">
        <v>0.57999999999999996</v>
      </c>
      <c r="AD22" s="75">
        <v>0.67</v>
      </c>
      <c r="AE22" s="75">
        <v>0.83</v>
      </c>
      <c r="AF22" s="75">
        <v>1</v>
      </c>
      <c r="AG22" s="74" t="s">
        <v>533</v>
      </c>
      <c r="AH22" s="74" t="s">
        <v>530</v>
      </c>
      <c r="AI22" s="78" t="s">
        <v>539</v>
      </c>
      <c r="AJ22" s="79" t="s">
        <v>539</v>
      </c>
      <c r="AK22" s="80">
        <v>46023</v>
      </c>
      <c r="AL22" s="80">
        <v>46387</v>
      </c>
      <c r="AM22" s="79"/>
      <c r="AN22" s="79"/>
      <c r="AO22" s="79"/>
      <c r="AP22" s="81" t="s">
        <v>540</v>
      </c>
      <c r="AQ22" s="80" t="str" cm="1">
        <f t="array" ref="AQ22">IFERROR(DATE(2026, _xlfn.AGGREGATE(15, 6, (COLUMN(CI22:CT22)-COLUMN(CI22)+1)/(CI22:CT22&lt;&gt;0), 1), 1),"N/A")</f>
        <v>N/A</v>
      </c>
      <c r="AR22" s="80" t="str" cm="1">
        <f t="array" ref="AR22">IFERROR(EOMONTH(DATE(2026, _xlfn.AGGREGATE(14, 6, (COLUMN(CI22:CT22)-COLUMN(CI22)+1)/(CI22:CT22&lt;&gt;0), 1), 1), 0),"N/A")</f>
        <v>N/A</v>
      </c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4" t="s">
        <v>971</v>
      </c>
      <c r="BG22" s="74" t="s">
        <v>1009</v>
      </c>
      <c r="BH22" s="74" t="s">
        <v>974</v>
      </c>
      <c r="BI22" s="74" t="s">
        <v>137</v>
      </c>
      <c r="BJ22" s="78">
        <v>530402</v>
      </c>
      <c r="BK22" s="82" t="s">
        <v>74</v>
      </c>
      <c r="BL22" s="83">
        <v>0</v>
      </c>
      <c r="BM22" s="73"/>
      <c r="BN22" s="73"/>
      <c r="BO22" s="73"/>
      <c r="BP22" s="73"/>
      <c r="BQ22" s="84"/>
      <c r="BR22" s="73"/>
      <c r="BS22" s="73"/>
      <c r="BT22" s="73"/>
      <c r="BU22" s="73"/>
      <c r="BV22" s="73"/>
      <c r="BW22" s="73"/>
      <c r="BX22" s="73"/>
      <c r="BY22" s="73">
        <v>8000</v>
      </c>
      <c r="BZ22" s="73"/>
      <c r="CA22" s="73"/>
      <c r="CB22" s="73"/>
      <c r="CC22" s="73"/>
      <c r="CD22" s="73">
        <v>-8000</v>
      </c>
      <c r="CE22" s="73"/>
      <c r="CF22" s="73"/>
      <c r="CG22" s="73"/>
      <c r="CH22" s="73">
        <f t="shared" si="1"/>
        <v>0</v>
      </c>
      <c r="CI22" s="73"/>
      <c r="CJ22" s="73"/>
      <c r="CK22" s="72"/>
      <c r="CL22" s="73"/>
      <c r="CM22" s="84"/>
      <c r="CN22" s="73"/>
      <c r="CO22" s="73"/>
      <c r="CP22" s="73"/>
      <c r="CQ22" s="73"/>
      <c r="CR22" s="73"/>
      <c r="CS22" s="73"/>
      <c r="CT22" s="73"/>
      <c r="CU22" s="73"/>
      <c r="CV22" s="84">
        <f t="shared" si="0"/>
        <v>0</v>
      </c>
      <c r="CW22" s="84"/>
      <c r="CX22" s="74"/>
      <c r="CY22" s="74"/>
      <c r="CZ22" s="74"/>
      <c r="DA22" s="74"/>
      <c r="DB22" s="74"/>
      <c r="DC22" s="74"/>
      <c r="DD22" s="74"/>
    </row>
    <row r="23" spans="1:108" s="68" customFormat="1" ht="336.75" customHeight="1" x14ac:dyDescent="0.25">
      <c r="A23" s="74" t="s">
        <v>691</v>
      </c>
      <c r="B23" s="74" t="s">
        <v>154</v>
      </c>
      <c r="C23" s="74" t="s">
        <v>172</v>
      </c>
      <c r="D23" s="74" t="s">
        <v>196</v>
      </c>
      <c r="E23" s="74" t="s">
        <v>309</v>
      </c>
      <c r="F23" s="74" t="s">
        <v>550</v>
      </c>
      <c r="G23" s="74" t="s">
        <v>137</v>
      </c>
      <c r="H23" s="74" t="s">
        <v>137</v>
      </c>
      <c r="I23" s="74" t="s">
        <v>66</v>
      </c>
      <c r="J23" s="74" t="s">
        <v>29</v>
      </c>
      <c r="K23" s="82" t="s">
        <v>137</v>
      </c>
      <c r="L23" s="82" t="s">
        <v>137</v>
      </c>
      <c r="M23" s="82" t="s">
        <v>137</v>
      </c>
      <c r="N23" s="82" t="s">
        <v>137</v>
      </c>
      <c r="O23" s="82" t="s">
        <v>137</v>
      </c>
      <c r="P23" s="82" t="s">
        <v>137</v>
      </c>
      <c r="Q23" s="74" t="s">
        <v>87</v>
      </c>
      <c r="R23" s="74" t="s">
        <v>709</v>
      </c>
      <c r="S23" s="74" t="s">
        <v>40</v>
      </c>
      <c r="T23" s="74" t="s">
        <v>2</v>
      </c>
      <c r="U23" s="75"/>
      <c r="V23" s="75">
        <v>0.05</v>
      </c>
      <c r="W23" s="75">
        <v>0.08</v>
      </c>
      <c r="X23" s="75">
        <v>0.15</v>
      </c>
      <c r="Y23" s="75">
        <v>0.2</v>
      </c>
      <c r="Z23" s="75">
        <v>0.25</v>
      </c>
      <c r="AA23" s="75">
        <v>0.37</v>
      </c>
      <c r="AB23" s="75">
        <v>0.42</v>
      </c>
      <c r="AC23" s="75">
        <v>0.57999999999999996</v>
      </c>
      <c r="AD23" s="75">
        <v>0.67</v>
      </c>
      <c r="AE23" s="75">
        <v>0.83</v>
      </c>
      <c r="AF23" s="75">
        <v>1</v>
      </c>
      <c r="AG23" s="74" t="s">
        <v>533</v>
      </c>
      <c r="AH23" s="74" t="s">
        <v>530</v>
      </c>
      <c r="AI23" s="78" t="s">
        <v>539</v>
      </c>
      <c r="AJ23" s="79" t="s">
        <v>539</v>
      </c>
      <c r="AK23" s="80">
        <v>46023</v>
      </c>
      <c r="AL23" s="80">
        <v>46387</v>
      </c>
      <c r="AM23" s="79"/>
      <c r="AN23" s="79"/>
      <c r="AO23" s="79"/>
      <c r="AP23" s="81" t="s">
        <v>540</v>
      </c>
      <c r="AQ23" s="80" t="str" cm="1">
        <f t="array" ref="AQ23">IFERROR(DATE(2026, _xlfn.AGGREGATE(15, 6, (COLUMN(CI23:CT23)-COLUMN(CI23)+1)/(CI23:CT23&lt;&gt;0), 1), 1),"N/A")</f>
        <v>N/A</v>
      </c>
      <c r="AR23" s="80" t="str" cm="1">
        <f t="array" ref="AR23">IFERROR(EOMONTH(DATE(2026, _xlfn.AGGREGATE(14, 6, (COLUMN(CI23:CT23)-COLUMN(CI23)+1)/(CI23:CT23&lt;&gt;0), 1), 1), 0),"N/A")</f>
        <v>N/A</v>
      </c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4" t="s">
        <v>1141</v>
      </c>
      <c r="BG23" s="74"/>
      <c r="BH23" s="74" t="s">
        <v>1152</v>
      </c>
      <c r="BI23" s="74" t="s">
        <v>137</v>
      </c>
      <c r="BJ23" s="78">
        <v>530402</v>
      </c>
      <c r="BK23" s="82" t="s">
        <v>74</v>
      </c>
      <c r="BL23" s="83"/>
      <c r="BM23" s="73"/>
      <c r="BN23" s="73"/>
      <c r="BO23" s="73"/>
      <c r="BP23" s="73"/>
      <c r="BQ23" s="84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>
        <v>8000</v>
      </c>
      <c r="CE23" s="73"/>
      <c r="CF23" s="73"/>
      <c r="CG23" s="73"/>
      <c r="CH23" s="73">
        <f t="shared" si="1"/>
        <v>8000</v>
      </c>
      <c r="CI23" s="73"/>
      <c r="CJ23" s="73"/>
      <c r="CK23" s="72"/>
      <c r="CL23" s="73"/>
      <c r="CM23" s="84"/>
      <c r="CN23" s="73"/>
      <c r="CO23" s="73"/>
      <c r="CP23" s="73"/>
      <c r="CQ23" s="73"/>
      <c r="CR23" s="73"/>
      <c r="CS23" s="73"/>
      <c r="CT23" s="73"/>
      <c r="CU23" s="73">
        <v>8000</v>
      </c>
      <c r="CV23" s="84">
        <f t="shared" si="0"/>
        <v>0</v>
      </c>
      <c r="CW23" s="84"/>
      <c r="CX23" s="74"/>
      <c r="CY23" s="74"/>
      <c r="CZ23" s="74"/>
      <c r="DA23" s="85" t="s">
        <v>1357</v>
      </c>
      <c r="DB23" s="74"/>
      <c r="DC23" s="74"/>
      <c r="DD23" s="74"/>
    </row>
    <row r="24" spans="1:108" s="68" customFormat="1" ht="15" customHeight="1" x14ac:dyDescent="0.25">
      <c r="A24" s="74" t="s">
        <v>691</v>
      </c>
      <c r="B24" s="74" t="s">
        <v>154</v>
      </c>
      <c r="C24" s="74" t="s">
        <v>172</v>
      </c>
      <c r="D24" s="74" t="s">
        <v>196</v>
      </c>
      <c r="E24" s="74" t="s">
        <v>309</v>
      </c>
      <c r="F24" s="74" t="s">
        <v>550</v>
      </c>
      <c r="G24" s="74" t="s">
        <v>137</v>
      </c>
      <c r="H24" s="74" t="s">
        <v>137</v>
      </c>
      <c r="I24" s="74" t="s">
        <v>66</v>
      </c>
      <c r="J24" s="74" t="s">
        <v>29</v>
      </c>
      <c r="K24" s="82" t="s">
        <v>137</v>
      </c>
      <c r="L24" s="82" t="s">
        <v>137</v>
      </c>
      <c r="M24" s="82" t="s">
        <v>137</v>
      </c>
      <c r="N24" s="82" t="s">
        <v>137</v>
      </c>
      <c r="O24" s="82" t="s">
        <v>137</v>
      </c>
      <c r="P24" s="82" t="s">
        <v>137</v>
      </c>
      <c r="Q24" s="74" t="s">
        <v>87</v>
      </c>
      <c r="R24" s="74" t="s">
        <v>709</v>
      </c>
      <c r="S24" s="74" t="s">
        <v>40</v>
      </c>
      <c r="T24" s="74" t="s">
        <v>2</v>
      </c>
      <c r="U24" s="75"/>
      <c r="V24" s="75">
        <v>0.05</v>
      </c>
      <c r="W24" s="75">
        <v>0.08</v>
      </c>
      <c r="X24" s="75">
        <v>0.15</v>
      </c>
      <c r="Y24" s="75">
        <v>0.2</v>
      </c>
      <c r="Z24" s="75">
        <v>0.25</v>
      </c>
      <c r="AA24" s="75">
        <v>0.37</v>
      </c>
      <c r="AB24" s="75">
        <v>0.42</v>
      </c>
      <c r="AC24" s="75">
        <v>0.57999999999999996</v>
      </c>
      <c r="AD24" s="75">
        <v>0.67</v>
      </c>
      <c r="AE24" s="75">
        <v>0.83</v>
      </c>
      <c r="AF24" s="75">
        <v>1</v>
      </c>
      <c r="AG24" s="74" t="s">
        <v>533</v>
      </c>
      <c r="AH24" s="74" t="s">
        <v>530</v>
      </c>
      <c r="AI24" s="78" t="s">
        <v>539</v>
      </c>
      <c r="AJ24" s="79" t="s">
        <v>539</v>
      </c>
      <c r="AK24" s="80">
        <v>46023</v>
      </c>
      <c r="AL24" s="80">
        <v>46387</v>
      </c>
      <c r="AM24" s="79"/>
      <c r="AN24" s="79"/>
      <c r="AO24" s="79"/>
      <c r="AP24" s="81" t="s">
        <v>540</v>
      </c>
      <c r="AQ24" s="80" t="str" cm="1">
        <f t="array" ref="AQ24">IFERROR(DATE(2026, _xlfn.AGGREGATE(15, 6, (COLUMN(CI24:CT24)-COLUMN(CI24)+1)/(CI24:CT24&lt;&gt;0), 1), 1),"N/A")</f>
        <v>N/A</v>
      </c>
      <c r="AR24" s="80" t="str" cm="1">
        <f t="array" ref="AR24">IFERROR(EOMONTH(DATE(2026, _xlfn.AGGREGATE(14, 6, (COLUMN(CI24:CT24)-COLUMN(CI24)+1)/(CI24:CT24&lt;&gt;0), 1), 1), 0),"N/A")</f>
        <v>N/A</v>
      </c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4" t="s">
        <v>971</v>
      </c>
      <c r="BG24" s="74" t="s">
        <v>1009</v>
      </c>
      <c r="BH24" s="74" t="s">
        <v>972</v>
      </c>
      <c r="BI24" s="74" t="s">
        <v>137</v>
      </c>
      <c r="BJ24" s="78">
        <v>840107</v>
      </c>
      <c r="BK24" s="82" t="s">
        <v>74</v>
      </c>
      <c r="BL24" s="83">
        <v>0</v>
      </c>
      <c r="BM24" s="73"/>
      <c r="BN24" s="73"/>
      <c r="BO24" s="73"/>
      <c r="BP24" s="73"/>
      <c r="BQ24" s="84"/>
      <c r="BR24" s="73"/>
      <c r="BS24" s="73"/>
      <c r="BT24" s="73"/>
      <c r="BU24" s="73"/>
      <c r="BV24" s="73"/>
      <c r="BW24" s="73"/>
      <c r="BX24" s="73"/>
      <c r="BY24" s="73">
        <v>106000</v>
      </c>
      <c r="BZ24" s="73">
        <v>-106000</v>
      </c>
      <c r="CA24" s="73"/>
      <c r="CB24" s="73"/>
      <c r="CC24" s="73"/>
      <c r="CD24" s="73"/>
      <c r="CE24" s="73"/>
      <c r="CF24" s="73"/>
      <c r="CG24" s="73"/>
      <c r="CH24" s="73">
        <f t="shared" si="1"/>
        <v>0</v>
      </c>
      <c r="CI24" s="73"/>
      <c r="CJ24" s="73"/>
      <c r="CK24" s="72"/>
      <c r="CL24" s="73"/>
      <c r="CM24" s="84"/>
      <c r="CN24" s="73"/>
      <c r="CO24" s="73"/>
      <c r="CP24" s="73"/>
      <c r="CQ24" s="73">
        <v>0</v>
      </c>
      <c r="CR24" s="73"/>
      <c r="CS24" s="73"/>
      <c r="CT24" s="73"/>
      <c r="CU24" s="73"/>
      <c r="CV24" s="84">
        <f t="shared" si="0"/>
        <v>0</v>
      </c>
      <c r="CW24" s="84"/>
      <c r="CX24" s="74"/>
      <c r="CY24" s="74"/>
      <c r="CZ24" s="74"/>
      <c r="DA24" s="74"/>
      <c r="DB24" s="74"/>
      <c r="DC24" s="74"/>
      <c r="DD24" s="74"/>
    </row>
    <row r="25" spans="1:108" s="68" customFormat="1" ht="15" hidden="1" customHeight="1" x14ac:dyDescent="0.25">
      <c r="A25" s="85" t="s">
        <v>690</v>
      </c>
      <c r="B25" s="74" t="s">
        <v>154</v>
      </c>
      <c r="C25" s="74" t="s">
        <v>172</v>
      </c>
      <c r="D25" s="74" t="s">
        <v>196</v>
      </c>
      <c r="E25" s="74" t="s">
        <v>309</v>
      </c>
      <c r="F25" s="74" t="s">
        <v>550</v>
      </c>
      <c r="G25" s="74" t="s">
        <v>137</v>
      </c>
      <c r="H25" s="74" t="s">
        <v>137</v>
      </c>
      <c r="I25" s="74" t="s">
        <v>66</v>
      </c>
      <c r="J25" s="74" t="s">
        <v>29</v>
      </c>
      <c r="K25" s="82" t="s">
        <v>137</v>
      </c>
      <c r="L25" s="82" t="s">
        <v>137</v>
      </c>
      <c r="M25" s="82" t="s">
        <v>137</v>
      </c>
      <c r="N25" s="82" t="s">
        <v>137</v>
      </c>
      <c r="O25" s="82" t="s">
        <v>137</v>
      </c>
      <c r="P25" s="82" t="s">
        <v>137</v>
      </c>
      <c r="Q25" s="74" t="s">
        <v>87</v>
      </c>
      <c r="R25" s="74" t="s">
        <v>709</v>
      </c>
      <c r="S25" s="74" t="s">
        <v>40</v>
      </c>
      <c r="T25" s="74" t="s">
        <v>2</v>
      </c>
      <c r="U25" s="75"/>
      <c r="V25" s="75">
        <v>0.05</v>
      </c>
      <c r="W25" s="75">
        <v>0.08</v>
      </c>
      <c r="X25" s="75">
        <v>0.15</v>
      </c>
      <c r="Y25" s="75">
        <v>0.2</v>
      </c>
      <c r="Z25" s="75">
        <v>0.25</v>
      </c>
      <c r="AA25" s="75">
        <v>0.37</v>
      </c>
      <c r="AB25" s="75">
        <v>0.42</v>
      </c>
      <c r="AC25" s="75">
        <v>0.57999999999999996</v>
      </c>
      <c r="AD25" s="75">
        <v>0.67</v>
      </c>
      <c r="AE25" s="75">
        <v>0.83</v>
      </c>
      <c r="AF25" s="75">
        <v>1</v>
      </c>
      <c r="AG25" s="74" t="s">
        <v>533</v>
      </c>
      <c r="AH25" s="74" t="s">
        <v>530</v>
      </c>
      <c r="AI25" s="78" t="s">
        <v>539</v>
      </c>
      <c r="AJ25" s="79" t="s">
        <v>539</v>
      </c>
      <c r="AK25" s="80">
        <v>46023</v>
      </c>
      <c r="AL25" s="80">
        <v>46387</v>
      </c>
      <c r="AM25" s="79"/>
      <c r="AN25" s="79"/>
      <c r="AO25" s="79"/>
      <c r="AP25" s="81" t="s">
        <v>540</v>
      </c>
      <c r="AQ25" s="80" cm="1">
        <f t="array" ref="AQ25">IFERROR(DATE(2026, _xlfn.AGGREGATE(15, 6, (COLUMN(CI25:CT25)-COLUMN(CI25)+1)/(CI25:CT25&lt;&gt;0), 1), 1),"N/A")</f>
        <v>46235</v>
      </c>
      <c r="AR25" s="80" cm="1">
        <f t="array" ref="AR25">IFERROR(EOMONTH(DATE(2026, _xlfn.AGGREGATE(14, 6, (COLUMN(CI25:CT25)-COLUMN(CI25)+1)/(CI25:CT25&lt;&gt;0), 1), 1), 0),"N/A")</f>
        <v>46265</v>
      </c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4" t="s">
        <v>1049</v>
      </c>
      <c r="BG25" s="74"/>
      <c r="BH25" s="74" t="s">
        <v>1050</v>
      </c>
      <c r="BI25" s="74" t="s">
        <v>137</v>
      </c>
      <c r="BJ25" s="78">
        <v>840103</v>
      </c>
      <c r="BK25" s="82" t="s">
        <v>74</v>
      </c>
      <c r="BL25" s="83">
        <v>0</v>
      </c>
      <c r="BM25" s="73"/>
      <c r="BN25" s="73"/>
      <c r="BO25" s="73"/>
      <c r="BP25" s="73"/>
      <c r="BQ25" s="73"/>
      <c r="BR25" s="73"/>
      <c r="BS25" s="73"/>
      <c r="BT25" s="73"/>
      <c r="BU25" s="84"/>
      <c r="BV25" s="73"/>
      <c r="BW25" s="73"/>
      <c r="BX25" s="73"/>
      <c r="BY25" s="73"/>
      <c r="BZ25" s="73"/>
      <c r="CA25" s="73">
        <v>10000</v>
      </c>
      <c r="CB25" s="73"/>
      <c r="CC25" s="73"/>
      <c r="CD25" s="73"/>
      <c r="CE25" s="73"/>
      <c r="CF25" s="73"/>
      <c r="CG25" s="73"/>
      <c r="CH25" s="73">
        <f t="shared" si="1"/>
        <v>10000</v>
      </c>
      <c r="CI25" s="73"/>
      <c r="CJ25" s="73"/>
      <c r="CK25" s="72"/>
      <c r="CL25" s="73"/>
      <c r="CM25" s="119"/>
      <c r="CN25" s="73"/>
      <c r="CO25" s="73"/>
      <c r="CP25" s="73">
        <v>10000</v>
      </c>
      <c r="CQ25" s="84"/>
      <c r="CR25" s="73"/>
      <c r="CS25" s="73"/>
      <c r="CT25" s="73"/>
      <c r="CU25" s="73"/>
      <c r="CV25" s="84">
        <f t="shared" si="0"/>
        <v>0</v>
      </c>
      <c r="CW25" s="84"/>
      <c r="CX25" s="74"/>
      <c r="CY25" s="74"/>
      <c r="CZ25" s="74"/>
      <c r="DA25" s="74"/>
      <c r="DB25" s="74"/>
      <c r="DC25" s="74"/>
      <c r="DD25" s="74"/>
    </row>
    <row r="26" spans="1:108" s="68" customFormat="1" ht="286.14999999999998" hidden="1" customHeight="1" x14ac:dyDescent="0.25">
      <c r="A26" s="85" t="s">
        <v>695</v>
      </c>
      <c r="B26" s="74" t="s">
        <v>154</v>
      </c>
      <c r="C26" s="74" t="s">
        <v>172</v>
      </c>
      <c r="D26" s="85" t="s">
        <v>196</v>
      </c>
      <c r="E26" s="74" t="s">
        <v>5</v>
      </c>
      <c r="F26" s="85" t="s">
        <v>551</v>
      </c>
      <c r="G26" s="74" t="s">
        <v>288</v>
      </c>
      <c r="H26" s="74" t="s">
        <v>552</v>
      </c>
      <c r="I26" s="74" t="s">
        <v>300</v>
      </c>
      <c r="J26" s="74" t="s">
        <v>529</v>
      </c>
      <c r="K26" s="82" t="s">
        <v>326</v>
      </c>
      <c r="L26" s="78" t="s">
        <v>559</v>
      </c>
      <c r="M26" s="78" t="s">
        <v>531</v>
      </c>
      <c r="N26" s="78" t="s">
        <v>7</v>
      </c>
      <c r="O26" s="97" t="s">
        <v>560</v>
      </c>
      <c r="P26" s="97" t="s">
        <v>561</v>
      </c>
      <c r="Q26" s="74" t="s">
        <v>766</v>
      </c>
      <c r="R26" s="74" t="s">
        <v>767</v>
      </c>
      <c r="S26" s="74" t="s">
        <v>768</v>
      </c>
      <c r="T26" s="74" t="s">
        <v>320</v>
      </c>
      <c r="U26" s="75"/>
      <c r="V26" s="75"/>
      <c r="W26" s="75">
        <v>0.05</v>
      </c>
      <c r="X26" s="75"/>
      <c r="Y26" s="75"/>
      <c r="Z26" s="75">
        <v>0.05</v>
      </c>
      <c r="AA26" s="75"/>
      <c r="AB26" s="75"/>
      <c r="AC26" s="75">
        <v>0.05</v>
      </c>
      <c r="AD26" s="75"/>
      <c r="AE26" s="75"/>
      <c r="AF26" s="75">
        <v>0.05</v>
      </c>
      <c r="AG26" s="74" t="s">
        <v>536</v>
      </c>
      <c r="AH26" s="74" t="s">
        <v>530</v>
      </c>
      <c r="AI26" s="78" t="s">
        <v>539</v>
      </c>
      <c r="AJ26" s="79" t="s">
        <v>539</v>
      </c>
      <c r="AK26" s="80">
        <v>46023</v>
      </c>
      <c r="AL26" s="80">
        <v>46387</v>
      </c>
      <c r="AM26" s="79"/>
      <c r="AN26" s="79"/>
      <c r="AO26" s="79"/>
      <c r="AP26" s="103" t="s">
        <v>546</v>
      </c>
      <c r="AQ26" s="80" cm="1">
        <f t="array" ref="AQ26">IFERROR(DATE(2026, _xlfn.AGGREGATE(15, 6, (COLUMN(CI26:CT26)-COLUMN(CI26)+1)/(CI26:CT26&lt;&gt;0), 1), 1),"N/A")</f>
        <v>46357</v>
      </c>
      <c r="AR26" s="80" cm="1">
        <f t="array" ref="AR26">IFERROR(EOMONTH(DATE(2026, _xlfn.AGGREGATE(14, 6, (COLUMN(CI26:CT26)-COLUMN(CI26)+1)/(CI26:CT26&lt;&gt;0), 1), 1), 0),"N/A")</f>
        <v>46387</v>
      </c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85" t="s">
        <v>1157</v>
      </c>
      <c r="BG26" s="74"/>
      <c r="BH26" s="74" t="s">
        <v>945</v>
      </c>
      <c r="BI26" s="74" t="s">
        <v>1011</v>
      </c>
      <c r="BJ26" s="78">
        <v>730249</v>
      </c>
      <c r="BK26" s="82" t="s">
        <v>703</v>
      </c>
      <c r="BL26" s="86">
        <v>340000</v>
      </c>
      <c r="BM26" s="73">
        <v>0</v>
      </c>
      <c r="BN26" s="73">
        <v>0</v>
      </c>
      <c r="BO26" s="84">
        <v>50000</v>
      </c>
      <c r="BP26" s="73">
        <v>0</v>
      </c>
      <c r="BQ26" s="73">
        <v>0</v>
      </c>
      <c r="BR26" s="73">
        <v>0</v>
      </c>
      <c r="BS26" s="73">
        <v>0</v>
      </c>
      <c r="BT26" s="73">
        <v>0</v>
      </c>
      <c r="BU26" s="84">
        <v>230000</v>
      </c>
      <c r="BV26" s="73">
        <v>0</v>
      </c>
      <c r="BW26" s="73">
        <v>0</v>
      </c>
      <c r="BX26" s="84">
        <v>60000</v>
      </c>
      <c r="BY26" s="84">
        <v>360000</v>
      </c>
      <c r="BZ26" s="84"/>
      <c r="CA26" s="84">
        <v>-700000</v>
      </c>
      <c r="CB26" s="84"/>
      <c r="CC26" s="84"/>
      <c r="CD26" s="84">
        <v>1079831.02</v>
      </c>
      <c r="CE26" s="84"/>
      <c r="CF26" s="84"/>
      <c r="CG26" s="84"/>
      <c r="CH26" s="73">
        <f t="shared" si="1"/>
        <v>1079831.02</v>
      </c>
      <c r="CI26" s="73"/>
      <c r="CJ26" s="73"/>
      <c r="CK26" s="84"/>
      <c r="CL26" s="73"/>
      <c r="CM26" s="73"/>
      <c r="CN26" s="73"/>
      <c r="CO26" s="73"/>
      <c r="CP26" s="73"/>
      <c r="CQ26" s="84"/>
      <c r="CR26" s="73"/>
      <c r="CS26" s="73"/>
      <c r="CT26" s="84">
        <v>1079831.02</v>
      </c>
      <c r="CU26" s="84"/>
      <c r="CV26" s="84">
        <f t="shared" si="0"/>
        <v>0</v>
      </c>
      <c r="CW26" s="135" t="s">
        <v>1228</v>
      </c>
      <c r="CX26" s="74"/>
      <c r="CY26" s="135" t="s">
        <v>1269</v>
      </c>
      <c r="CZ26" s="135" t="s">
        <v>1272</v>
      </c>
      <c r="DA26" s="85" t="s">
        <v>1376</v>
      </c>
      <c r="DB26" s="74" t="s">
        <v>1377</v>
      </c>
      <c r="DC26" s="74"/>
      <c r="DD26" s="74"/>
    </row>
    <row r="27" spans="1:108" s="129" customFormat="1" ht="177" hidden="1" customHeight="1" x14ac:dyDescent="0.25">
      <c r="A27" s="85" t="s">
        <v>695</v>
      </c>
      <c r="B27" s="74" t="s">
        <v>154</v>
      </c>
      <c r="C27" s="74" t="s">
        <v>172</v>
      </c>
      <c r="D27" s="85" t="s">
        <v>196</v>
      </c>
      <c r="E27" s="74" t="s">
        <v>5</v>
      </c>
      <c r="F27" s="85" t="s">
        <v>551</v>
      </c>
      <c r="G27" s="74" t="s">
        <v>288</v>
      </c>
      <c r="H27" s="74" t="s">
        <v>552</v>
      </c>
      <c r="I27" s="74" t="s">
        <v>300</v>
      </c>
      <c r="J27" s="74" t="s">
        <v>529</v>
      </c>
      <c r="K27" s="82" t="s">
        <v>326</v>
      </c>
      <c r="L27" s="78" t="s">
        <v>559</v>
      </c>
      <c r="M27" s="78" t="s">
        <v>531</v>
      </c>
      <c r="N27" s="78" t="s">
        <v>7</v>
      </c>
      <c r="O27" s="97" t="s">
        <v>560</v>
      </c>
      <c r="P27" s="97" t="s">
        <v>561</v>
      </c>
      <c r="Q27" s="74" t="s">
        <v>766</v>
      </c>
      <c r="R27" s="74" t="s">
        <v>767</v>
      </c>
      <c r="S27" s="74" t="s">
        <v>768</v>
      </c>
      <c r="T27" s="74" t="s">
        <v>320</v>
      </c>
      <c r="U27" s="75"/>
      <c r="V27" s="75"/>
      <c r="W27" s="75">
        <v>0.05</v>
      </c>
      <c r="X27" s="75"/>
      <c r="Y27" s="75"/>
      <c r="Z27" s="75">
        <v>0.05</v>
      </c>
      <c r="AA27" s="75"/>
      <c r="AB27" s="75"/>
      <c r="AC27" s="75">
        <v>0.05</v>
      </c>
      <c r="AD27" s="75"/>
      <c r="AE27" s="75"/>
      <c r="AF27" s="75">
        <v>0.05</v>
      </c>
      <c r="AG27" s="74" t="s">
        <v>536</v>
      </c>
      <c r="AH27" s="74" t="s">
        <v>530</v>
      </c>
      <c r="AI27" s="78" t="s">
        <v>539</v>
      </c>
      <c r="AJ27" s="79" t="s">
        <v>539</v>
      </c>
      <c r="AK27" s="80">
        <v>46023</v>
      </c>
      <c r="AL27" s="80">
        <v>46387</v>
      </c>
      <c r="AM27" s="79"/>
      <c r="AN27" s="79"/>
      <c r="AO27" s="79"/>
      <c r="AP27" s="103" t="s">
        <v>546</v>
      </c>
      <c r="AQ27" s="80" cm="1">
        <f t="array" ref="AQ27">IFERROR(DATE(2026, _xlfn.AGGREGATE(15, 6, (COLUMN(CI27:CT27)-COLUMN(CI27)+1)/(CI27:CT27&lt;&gt;0), 1), 1),"N/A")</f>
        <v>46266</v>
      </c>
      <c r="AR27" s="80" cm="1">
        <f t="array" ref="AR27">IFERROR(EOMONTH(DATE(2026, _xlfn.AGGREGATE(14, 6, (COLUMN(CI27:CT27)-COLUMN(CI27)+1)/(CI27:CT27&lt;&gt;0), 1), 1), 0),"N/A")</f>
        <v>46387</v>
      </c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85" t="s">
        <v>1105</v>
      </c>
      <c r="BG27" s="74"/>
      <c r="BH27" s="74" t="s">
        <v>1124</v>
      </c>
      <c r="BI27" s="74" t="s">
        <v>1011</v>
      </c>
      <c r="BJ27" s="78">
        <v>730207</v>
      </c>
      <c r="BK27" s="82" t="s">
        <v>703</v>
      </c>
      <c r="BL27" s="83"/>
      <c r="BM27" s="73"/>
      <c r="BN27" s="73"/>
      <c r="BO27" s="73"/>
      <c r="BP27" s="73"/>
      <c r="BQ27" s="73"/>
      <c r="BR27" s="84"/>
      <c r="BS27" s="73"/>
      <c r="BT27" s="84"/>
      <c r="BU27" s="73"/>
      <c r="BV27" s="84"/>
      <c r="BW27" s="73"/>
      <c r="BX27" s="73"/>
      <c r="BY27" s="73"/>
      <c r="BZ27" s="73"/>
      <c r="CA27" s="73"/>
      <c r="CB27" s="154">
        <v>326900</v>
      </c>
      <c r="CC27" s="154"/>
      <c r="CD27" s="73"/>
      <c r="CE27" s="73"/>
      <c r="CF27" s="73"/>
      <c r="CG27" s="73"/>
      <c r="CH27" s="73">
        <f t="shared" si="1"/>
        <v>326900</v>
      </c>
      <c r="CI27" s="119"/>
      <c r="CJ27" s="119"/>
      <c r="CK27" s="128"/>
      <c r="CL27" s="119"/>
      <c r="CM27" s="119"/>
      <c r="CN27" s="118"/>
      <c r="CO27" s="119"/>
      <c r="CP27" s="118"/>
      <c r="CQ27" s="119">
        <v>300000</v>
      </c>
      <c r="CR27" s="118"/>
      <c r="CS27" s="119"/>
      <c r="CT27" s="119">
        <v>26900</v>
      </c>
      <c r="CU27" s="73"/>
      <c r="CV27" s="84">
        <f t="shared" si="0"/>
        <v>0</v>
      </c>
      <c r="CW27" s="155" t="s">
        <v>1227</v>
      </c>
      <c r="CX27" s="127"/>
      <c r="CY27" s="127"/>
      <c r="CZ27" s="127"/>
      <c r="DA27" s="85" t="s">
        <v>1354</v>
      </c>
      <c r="DB27" s="170" t="s">
        <v>1355</v>
      </c>
      <c r="DC27" s="127"/>
      <c r="DD27" s="127"/>
    </row>
    <row r="28" spans="1:108" s="68" customFormat="1" ht="102" customHeight="1" x14ac:dyDescent="0.25">
      <c r="A28" s="74" t="s">
        <v>691</v>
      </c>
      <c r="B28" s="74" t="s">
        <v>154</v>
      </c>
      <c r="C28" s="74" t="s">
        <v>172</v>
      </c>
      <c r="D28" s="74" t="s">
        <v>196</v>
      </c>
      <c r="E28" s="74" t="s">
        <v>309</v>
      </c>
      <c r="F28" s="74" t="s">
        <v>550</v>
      </c>
      <c r="G28" s="74" t="s">
        <v>137</v>
      </c>
      <c r="H28" s="74" t="s">
        <v>137</v>
      </c>
      <c r="I28" s="74" t="s">
        <v>66</v>
      </c>
      <c r="J28" s="74" t="s">
        <v>29</v>
      </c>
      <c r="K28" s="82" t="s">
        <v>137</v>
      </c>
      <c r="L28" s="82" t="s">
        <v>137</v>
      </c>
      <c r="M28" s="82" t="s">
        <v>137</v>
      </c>
      <c r="N28" s="82" t="s">
        <v>137</v>
      </c>
      <c r="O28" s="82" t="s">
        <v>137</v>
      </c>
      <c r="P28" s="82" t="s">
        <v>137</v>
      </c>
      <c r="Q28" s="74" t="s">
        <v>87</v>
      </c>
      <c r="R28" s="74" t="s">
        <v>709</v>
      </c>
      <c r="S28" s="74" t="s">
        <v>40</v>
      </c>
      <c r="T28" s="74" t="s">
        <v>2</v>
      </c>
      <c r="U28" s="75"/>
      <c r="V28" s="75">
        <v>0.05</v>
      </c>
      <c r="W28" s="75">
        <v>0.08</v>
      </c>
      <c r="X28" s="75">
        <v>0.15</v>
      </c>
      <c r="Y28" s="75">
        <v>0.2</v>
      </c>
      <c r="Z28" s="75">
        <v>0.25</v>
      </c>
      <c r="AA28" s="75">
        <v>0.37</v>
      </c>
      <c r="AB28" s="75">
        <v>0.42</v>
      </c>
      <c r="AC28" s="75">
        <v>0.57999999999999996</v>
      </c>
      <c r="AD28" s="75">
        <v>0.67</v>
      </c>
      <c r="AE28" s="75">
        <v>0.83</v>
      </c>
      <c r="AF28" s="75">
        <v>1</v>
      </c>
      <c r="AG28" s="74" t="s">
        <v>533</v>
      </c>
      <c r="AH28" s="74" t="s">
        <v>530</v>
      </c>
      <c r="AI28" s="78" t="s">
        <v>539</v>
      </c>
      <c r="AJ28" s="79" t="s">
        <v>539</v>
      </c>
      <c r="AK28" s="80">
        <v>46023</v>
      </c>
      <c r="AL28" s="80">
        <v>46387</v>
      </c>
      <c r="AM28" s="79"/>
      <c r="AN28" s="79"/>
      <c r="AO28" s="79"/>
      <c r="AP28" s="81" t="s">
        <v>540</v>
      </c>
      <c r="AQ28" s="80" t="str" cm="1">
        <f t="array" ref="AQ28">IFERROR(DATE(2026, _xlfn.AGGREGATE(15, 6, (COLUMN(CI28:CT28)-COLUMN(CI28)+1)/(CI28:CT28&lt;&gt;0), 1), 1),"N/A")</f>
        <v>N/A</v>
      </c>
      <c r="AR28" s="80" t="str" cm="1">
        <f t="array" ref="AR28">IFERROR(EOMONTH(DATE(2026, _xlfn.AGGREGATE(14, 6, (COLUMN(CI28:CT28)-COLUMN(CI28)+1)/(CI28:CT28&lt;&gt;0), 1), 1), 0),"N/A")</f>
        <v>N/A</v>
      </c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4" t="s">
        <v>644</v>
      </c>
      <c r="BG28" s="74" t="s">
        <v>1009</v>
      </c>
      <c r="BH28" s="74" t="s">
        <v>880</v>
      </c>
      <c r="BI28" s="74" t="s">
        <v>137</v>
      </c>
      <c r="BJ28" s="78">
        <v>840107</v>
      </c>
      <c r="BK28" s="82" t="s">
        <v>74</v>
      </c>
      <c r="BL28" s="83">
        <v>10000</v>
      </c>
      <c r="BM28" s="73">
        <v>0</v>
      </c>
      <c r="BN28" s="73">
        <v>0</v>
      </c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3">
        <v>0</v>
      </c>
      <c r="BU28" s="84">
        <v>10000</v>
      </c>
      <c r="BV28" s="73">
        <v>0</v>
      </c>
      <c r="BW28" s="73">
        <v>0</v>
      </c>
      <c r="BX28" s="73">
        <v>0</v>
      </c>
      <c r="BY28" s="73">
        <v>-10000</v>
      </c>
      <c r="BZ28" s="73"/>
      <c r="CA28" s="73"/>
      <c r="CB28" s="73"/>
      <c r="CC28" s="73"/>
      <c r="CD28" s="73"/>
      <c r="CE28" s="73"/>
      <c r="CF28" s="73"/>
      <c r="CG28" s="73"/>
      <c r="CH28" s="73">
        <f t="shared" si="1"/>
        <v>0</v>
      </c>
      <c r="CI28" s="73"/>
      <c r="CJ28" s="73"/>
      <c r="CK28" s="72">
        <v>0</v>
      </c>
      <c r="CL28" s="73">
        <v>0</v>
      </c>
      <c r="CM28" s="73">
        <v>0</v>
      </c>
      <c r="CN28" s="73">
        <v>0</v>
      </c>
      <c r="CO28" s="73">
        <v>0</v>
      </c>
      <c r="CP28" s="73">
        <v>0</v>
      </c>
      <c r="CQ28" s="84">
        <v>0</v>
      </c>
      <c r="CR28" s="73">
        <v>0</v>
      </c>
      <c r="CS28" s="73">
        <v>0</v>
      </c>
      <c r="CT28" s="73">
        <v>0</v>
      </c>
      <c r="CU28" s="73"/>
      <c r="CV28" s="84">
        <f t="shared" si="0"/>
        <v>0</v>
      </c>
      <c r="CW28" s="84"/>
      <c r="CX28" s="74"/>
      <c r="CY28" s="74"/>
      <c r="CZ28" s="74"/>
      <c r="DA28" s="74" t="s">
        <v>1341</v>
      </c>
      <c r="DB28" s="74"/>
      <c r="DC28" s="74"/>
      <c r="DD28" s="74"/>
    </row>
    <row r="29" spans="1:108" s="68" customFormat="1" ht="65.25" hidden="1" customHeight="1" x14ac:dyDescent="0.25">
      <c r="A29" s="74" t="s">
        <v>692</v>
      </c>
      <c r="B29" s="74" t="s">
        <v>154</v>
      </c>
      <c r="C29" s="74" t="s">
        <v>172</v>
      </c>
      <c r="D29" s="85" t="s">
        <v>196</v>
      </c>
      <c r="E29" s="74" t="s">
        <v>5</v>
      </c>
      <c r="F29" s="85" t="s">
        <v>551</v>
      </c>
      <c r="G29" s="74" t="s">
        <v>288</v>
      </c>
      <c r="H29" s="74" t="s">
        <v>552</v>
      </c>
      <c r="I29" s="74" t="s">
        <v>300</v>
      </c>
      <c r="J29" s="74" t="s">
        <v>529</v>
      </c>
      <c r="K29" s="82" t="s">
        <v>326</v>
      </c>
      <c r="L29" s="78" t="s">
        <v>559</v>
      </c>
      <c r="M29" s="78" t="s">
        <v>531</v>
      </c>
      <c r="N29" s="78" t="s">
        <v>7</v>
      </c>
      <c r="O29" s="97" t="s">
        <v>560</v>
      </c>
      <c r="P29" s="97" t="s">
        <v>561</v>
      </c>
      <c r="Q29" s="74" t="s">
        <v>766</v>
      </c>
      <c r="R29" s="74" t="s">
        <v>767</v>
      </c>
      <c r="S29" s="74" t="s">
        <v>768</v>
      </c>
      <c r="T29" s="74" t="s">
        <v>320</v>
      </c>
      <c r="U29" s="75"/>
      <c r="V29" s="75"/>
      <c r="W29" s="75">
        <v>0.05</v>
      </c>
      <c r="X29" s="75"/>
      <c r="Y29" s="75"/>
      <c r="Z29" s="75">
        <v>0.05</v>
      </c>
      <c r="AA29" s="75"/>
      <c r="AB29" s="75"/>
      <c r="AC29" s="75">
        <v>0.05</v>
      </c>
      <c r="AD29" s="75"/>
      <c r="AE29" s="75"/>
      <c r="AF29" s="75">
        <v>0.05</v>
      </c>
      <c r="AG29" s="74" t="s">
        <v>536</v>
      </c>
      <c r="AH29" s="74" t="s">
        <v>530</v>
      </c>
      <c r="AI29" s="78" t="s">
        <v>539</v>
      </c>
      <c r="AJ29" s="79" t="s">
        <v>539</v>
      </c>
      <c r="AK29" s="80">
        <v>46023</v>
      </c>
      <c r="AL29" s="80">
        <v>46387</v>
      </c>
      <c r="AM29" s="79"/>
      <c r="AN29" s="79"/>
      <c r="AO29" s="79"/>
      <c r="AP29" s="81" t="s">
        <v>546</v>
      </c>
      <c r="AQ29" s="80" cm="1">
        <f t="array" ref="AQ29">IFERROR(DATE(2026, _xlfn.AGGREGATE(15, 6, (COLUMN(CI29:CT29)-COLUMN(CI29)+1)/(CI29:CT29&lt;&gt;0), 1), 1),"N/A")</f>
        <v>46357</v>
      </c>
      <c r="AR29" s="80" cm="1">
        <f t="array" ref="AR29">IFERROR(EOMONTH(DATE(2026, _xlfn.AGGREGATE(14, 6, (COLUMN(CI29:CT29)-COLUMN(CI29)+1)/(CI29:CT29&lt;&gt;0), 1), 1), 0),"N/A")</f>
        <v>46387</v>
      </c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85" t="s">
        <v>1157</v>
      </c>
      <c r="BG29" s="74"/>
      <c r="BH29" s="74" t="s">
        <v>1128</v>
      </c>
      <c r="BI29" s="74" t="s">
        <v>1011</v>
      </c>
      <c r="BJ29" s="78">
        <v>730249</v>
      </c>
      <c r="BK29" s="82" t="s">
        <v>74</v>
      </c>
      <c r="BL29" s="8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84"/>
      <c r="BY29" s="84"/>
      <c r="BZ29" s="84"/>
      <c r="CA29" s="84"/>
      <c r="CB29" s="84"/>
      <c r="CC29" s="84">
        <v>303760</v>
      </c>
      <c r="CD29" s="84"/>
      <c r="CE29" s="84"/>
      <c r="CF29" s="84"/>
      <c r="CG29" s="84"/>
      <c r="CH29" s="73">
        <f t="shared" si="1"/>
        <v>303760</v>
      </c>
      <c r="CI29" s="73"/>
      <c r="CJ29" s="73"/>
      <c r="CK29" s="72"/>
      <c r="CL29" s="73"/>
      <c r="CM29" s="73"/>
      <c r="CN29" s="73"/>
      <c r="CO29" s="73"/>
      <c r="CP29" s="73"/>
      <c r="CQ29" s="73"/>
      <c r="CR29" s="73"/>
      <c r="CS29" s="73"/>
      <c r="CT29" s="84">
        <v>303760</v>
      </c>
      <c r="CU29" s="84"/>
      <c r="CV29" s="84">
        <f t="shared" si="0"/>
        <v>0</v>
      </c>
      <c r="CW29" s="135" t="s">
        <v>1228</v>
      </c>
      <c r="CX29" s="74"/>
      <c r="CY29" s="74"/>
      <c r="CZ29" s="135" t="s">
        <v>1273</v>
      </c>
      <c r="DA29" s="85" t="s">
        <v>1376</v>
      </c>
      <c r="DB29" s="162" t="s">
        <v>1377</v>
      </c>
      <c r="DC29" s="74"/>
      <c r="DD29" s="74"/>
    </row>
    <row r="30" spans="1:108" s="68" customFormat="1" ht="15" customHeight="1" x14ac:dyDescent="0.25">
      <c r="A30" s="74" t="s">
        <v>691</v>
      </c>
      <c r="B30" s="74" t="s">
        <v>154</v>
      </c>
      <c r="C30" s="74" t="s">
        <v>172</v>
      </c>
      <c r="D30" s="74" t="s">
        <v>196</v>
      </c>
      <c r="E30" s="74" t="s">
        <v>309</v>
      </c>
      <c r="F30" s="74" t="s">
        <v>550</v>
      </c>
      <c r="G30" s="74" t="s">
        <v>137</v>
      </c>
      <c r="H30" s="74" t="s">
        <v>137</v>
      </c>
      <c r="I30" s="74" t="s">
        <v>66</v>
      </c>
      <c r="J30" s="74" t="s">
        <v>29</v>
      </c>
      <c r="K30" s="82" t="s">
        <v>137</v>
      </c>
      <c r="L30" s="82" t="s">
        <v>137</v>
      </c>
      <c r="M30" s="82" t="s">
        <v>137</v>
      </c>
      <c r="N30" s="82" t="s">
        <v>137</v>
      </c>
      <c r="O30" s="82" t="s">
        <v>137</v>
      </c>
      <c r="P30" s="82" t="s">
        <v>137</v>
      </c>
      <c r="Q30" s="74" t="s">
        <v>87</v>
      </c>
      <c r="R30" s="74" t="s">
        <v>709</v>
      </c>
      <c r="S30" s="74" t="s">
        <v>40</v>
      </c>
      <c r="T30" s="74" t="s">
        <v>2</v>
      </c>
      <c r="U30" s="75"/>
      <c r="V30" s="75">
        <v>0.05</v>
      </c>
      <c r="W30" s="75">
        <v>0.08</v>
      </c>
      <c r="X30" s="75">
        <v>0.15</v>
      </c>
      <c r="Y30" s="75">
        <v>0.2</v>
      </c>
      <c r="Z30" s="75">
        <v>0.25</v>
      </c>
      <c r="AA30" s="75">
        <v>0.37</v>
      </c>
      <c r="AB30" s="75">
        <v>0.42</v>
      </c>
      <c r="AC30" s="75">
        <v>0.57999999999999996</v>
      </c>
      <c r="AD30" s="75">
        <v>0.67</v>
      </c>
      <c r="AE30" s="75">
        <v>0.83</v>
      </c>
      <c r="AF30" s="75">
        <v>1</v>
      </c>
      <c r="AG30" s="74" t="s">
        <v>533</v>
      </c>
      <c r="AH30" s="74" t="s">
        <v>530</v>
      </c>
      <c r="AI30" s="78" t="s">
        <v>539</v>
      </c>
      <c r="AJ30" s="79" t="s">
        <v>539</v>
      </c>
      <c r="AK30" s="80">
        <v>46023</v>
      </c>
      <c r="AL30" s="80">
        <v>46387</v>
      </c>
      <c r="AM30" s="79"/>
      <c r="AN30" s="79"/>
      <c r="AO30" s="79"/>
      <c r="AP30" s="81" t="s">
        <v>540</v>
      </c>
      <c r="AQ30" s="80" cm="1">
        <f t="array" ref="AQ30">IFERROR(DATE(2026, _xlfn.AGGREGATE(15, 6, (COLUMN(CI30:CT30)-COLUMN(CI30)+1)/(CI30:CT30&lt;&gt;0), 1), 1),"N/A")</f>
        <v>46235</v>
      </c>
      <c r="AR30" s="80" cm="1">
        <f t="array" ref="AR30">IFERROR(EOMONTH(DATE(2026, _xlfn.AGGREGATE(14, 6, (COLUMN(CI30:CT30)-COLUMN(CI30)+1)/(CI30:CT30&lt;&gt;0), 1), 1), 0),"N/A")</f>
        <v>46265</v>
      </c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4" t="s">
        <v>618</v>
      </c>
      <c r="BG30" s="74" t="s">
        <v>1009</v>
      </c>
      <c r="BH30" s="74" t="s">
        <v>856</v>
      </c>
      <c r="BI30" s="74" t="s">
        <v>137</v>
      </c>
      <c r="BJ30" s="78">
        <v>530813</v>
      </c>
      <c r="BK30" s="82" t="s">
        <v>74</v>
      </c>
      <c r="BL30" s="83">
        <v>5000</v>
      </c>
      <c r="BM30" s="73">
        <v>0</v>
      </c>
      <c r="BN30" s="73">
        <v>0</v>
      </c>
      <c r="BO30" s="73">
        <v>0</v>
      </c>
      <c r="BP30" s="73">
        <v>0</v>
      </c>
      <c r="BQ30" s="73">
        <v>0</v>
      </c>
      <c r="BR30" s="73">
        <v>0</v>
      </c>
      <c r="BS30" s="73">
        <v>0</v>
      </c>
      <c r="BT30" s="84">
        <v>5000</v>
      </c>
      <c r="BU30" s="73">
        <v>0</v>
      </c>
      <c r="BV30" s="73">
        <v>0</v>
      </c>
      <c r="BW30" s="73">
        <v>0</v>
      </c>
      <c r="BX30" s="73">
        <v>0</v>
      </c>
      <c r="BY30" s="73">
        <v>-2260</v>
      </c>
      <c r="BZ30" s="73"/>
      <c r="CA30" s="73"/>
      <c r="CB30" s="73"/>
      <c r="CC30" s="73"/>
      <c r="CD30" s="73"/>
      <c r="CE30" s="73"/>
      <c r="CF30" s="73"/>
      <c r="CG30" s="73"/>
      <c r="CH30" s="73">
        <f t="shared" si="1"/>
        <v>2740</v>
      </c>
      <c r="CI30" s="73"/>
      <c r="CJ30" s="73"/>
      <c r="CK30" s="72">
        <v>0</v>
      </c>
      <c r="CL30" s="73">
        <v>0</v>
      </c>
      <c r="CM30" s="73">
        <v>0</v>
      </c>
      <c r="CN30" s="73">
        <v>0</v>
      </c>
      <c r="CO30" s="73">
        <v>0</v>
      </c>
      <c r="CP30" s="84">
        <v>2740</v>
      </c>
      <c r="CQ30" s="73">
        <v>0</v>
      </c>
      <c r="CR30" s="73">
        <v>0</v>
      </c>
      <c r="CS30" s="73">
        <v>0</v>
      </c>
      <c r="CT30" s="73">
        <v>0</v>
      </c>
      <c r="CU30" s="73"/>
      <c r="CV30" s="84">
        <f t="shared" si="0"/>
        <v>0</v>
      </c>
      <c r="CW30" s="84"/>
      <c r="CX30" s="74"/>
      <c r="CY30" s="74"/>
      <c r="CZ30" s="74"/>
      <c r="DA30" s="74" t="s">
        <v>1342</v>
      </c>
      <c r="DB30" s="74"/>
      <c r="DC30" s="74"/>
      <c r="DD30" s="74"/>
    </row>
    <row r="31" spans="1:108" s="68" customFormat="1" ht="15" customHeight="1" x14ac:dyDescent="0.25">
      <c r="A31" s="74" t="s">
        <v>691</v>
      </c>
      <c r="B31" s="74" t="s">
        <v>154</v>
      </c>
      <c r="C31" s="74" t="s">
        <v>172</v>
      </c>
      <c r="D31" s="74" t="s">
        <v>196</v>
      </c>
      <c r="E31" s="74" t="s">
        <v>309</v>
      </c>
      <c r="F31" s="74" t="s">
        <v>550</v>
      </c>
      <c r="G31" s="74" t="s">
        <v>137</v>
      </c>
      <c r="H31" s="74" t="s">
        <v>137</v>
      </c>
      <c r="I31" s="74" t="s">
        <v>66</v>
      </c>
      <c r="J31" s="74" t="s">
        <v>29</v>
      </c>
      <c r="K31" s="82" t="s">
        <v>137</v>
      </c>
      <c r="L31" s="82" t="s">
        <v>137</v>
      </c>
      <c r="M31" s="82" t="s">
        <v>137</v>
      </c>
      <c r="N31" s="82" t="s">
        <v>137</v>
      </c>
      <c r="O31" s="82" t="s">
        <v>137</v>
      </c>
      <c r="P31" s="82" t="s">
        <v>137</v>
      </c>
      <c r="Q31" s="74" t="s">
        <v>87</v>
      </c>
      <c r="R31" s="74" t="s">
        <v>709</v>
      </c>
      <c r="S31" s="74" t="s">
        <v>40</v>
      </c>
      <c r="T31" s="74" t="s">
        <v>2</v>
      </c>
      <c r="U31" s="75"/>
      <c r="V31" s="75">
        <v>0.05</v>
      </c>
      <c r="W31" s="75">
        <v>0.08</v>
      </c>
      <c r="X31" s="75">
        <v>0.15</v>
      </c>
      <c r="Y31" s="75">
        <v>0.2</v>
      </c>
      <c r="Z31" s="75">
        <v>0.25</v>
      </c>
      <c r="AA31" s="75">
        <v>0.37</v>
      </c>
      <c r="AB31" s="75">
        <v>0.42</v>
      </c>
      <c r="AC31" s="75">
        <v>0.57999999999999996</v>
      </c>
      <c r="AD31" s="75">
        <v>0.67</v>
      </c>
      <c r="AE31" s="75">
        <v>0.83</v>
      </c>
      <c r="AF31" s="75">
        <v>1</v>
      </c>
      <c r="AG31" s="74" t="s">
        <v>533</v>
      </c>
      <c r="AH31" s="74" t="s">
        <v>530</v>
      </c>
      <c r="AI31" s="78" t="s">
        <v>539</v>
      </c>
      <c r="AJ31" s="79" t="s">
        <v>539</v>
      </c>
      <c r="AK31" s="80">
        <v>46023</v>
      </c>
      <c r="AL31" s="80">
        <v>46387</v>
      </c>
      <c r="AM31" s="79"/>
      <c r="AN31" s="79"/>
      <c r="AO31" s="79"/>
      <c r="AP31" s="81" t="s">
        <v>540</v>
      </c>
      <c r="AQ31" s="80" t="str" cm="1">
        <f t="array" ref="AQ31">IFERROR(DATE(2026, _xlfn.AGGREGATE(15, 6, (COLUMN(CI31:CT31)-COLUMN(CI31)+1)/(CI31:CT31&lt;&gt;0), 1), 1),"N/A")</f>
        <v>N/A</v>
      </c>
      <c r="AR31" s="80" t="str" cm="1">
        <f t="array" ref="AR31">IFERROR(EOMONTH(DATE(2026, _xlfn.AGGREGATE(14, 6, (COLUMN(CI31:CT31)-COLUMN(CI31)+1)/(CI31:CT31&lt;&gt;0), 1), 1), 0),"N/A")</f>
        <v>N/A</v>
      </c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4" t="s">
        <v>618</v>
      </c>
      <c r="BG31" s="74" t="s">
        <v>1009</v>
      </c>
      <c r="BH31" s="74" t="s">
        <v>855</v>
      </c>
      <c r="BI31" s="74" t="s">
        <v>137</v>
      </c>
      <c r="BJ31" s="78">
        <v>530813</v>
      </c>
      <c r="BK31" s="82" t="s">
        <v>74</v>
      </c>
      <c r="BL31" s="83">
        <v>5000</v>
      </c>
      <c r="BM31" s="73">
        <v>0</v>
      </c>
      <c r="BN31" s="73">
        <v>0</v>
      </c>
      <c r="BO31" s="73">
        <v>0</v>
      </c>
      <c r="BP31" s="73">
        <v>0</v>
      </c>
      <c r="BQ31" s="73">
        <v>0</v>
      </c>
      <c r="BR31" s="73">
        <v>0</v>
      </c>
      <c r="BS31" s="73">
        <v>0</v>
      </c>
      <c r="BT31" s="84">
        <v>5000</v>
      </c>
      <c r="BU31" s="73">
        <v>0</v>
      </c>
      <c r="BV31" s="73">
        <v>0</v>
      </c>
      <c r="BW31" s="73">
        <v>0</v>
      </c>
      <c r="BX31" s="73">
        <v>0</v>
      </c>
      <c r="BY31" s="73">
        <v>-5000</v>
      </c>
      <c r="BZ31" s="73"/>
      <c r="CA31" s="73"/>
      <c r="CB31" s="73"/>
      <c r="CC31" s="73"/>
      <c r="CD31" s="73"/>
      <c r="CE31" s="73"/>
      <c r="CF31" s="73"/>
      <c r="CG31" s="73"/>
      <c r="CH31" s="73">
        <f t="shared" si="1"/>
        <v>0</v>
      </c>
      <c r="CI31" s="73"/>
      <c r="CJ31" s="73"/>
      <c r="CK31" s="72">
        <v>0</v>
      </c>
      <c r="CL31" s="73">
        <v>0</v>
      </c>
      <c r="CM31" s="73">
        <v>0</v>
      </c>
      <c r="CN31" s="73">
        <v>0</v>
      </c>
      <c r="CO31" s="73">
        <v>0</v>
      </c>
      <c r="CP31" s="84">
        <v>0</v>
      </c>
      <c r="CQ31" s="73">
        <v>0</v>
      </c>
      <c r="CR31" s="73">
        <v>0</v>
      </c>
      <c r="CS31" s="73">
        <v>0</v>
      </c>
      <c r="CT31" s="73">
        <v>0</v>
      </c>
      <c r="CU31" s="73"/>
      <c r="CV31" s="84">
        <f t="shared" si="0"/>
        <v>0</v>
      </c>
      <c r="CW31" s="84"/>
      <c r="CX31" s="74"/>
      <c r="CY31" s="74"/>
      <c r="CZ31" s="74"/>
      <c r="DA31" s="74" t="s">
        <v>1343</v>
      </c>
      <c r="DB31" s="74"/>
      <c r="DC31" s="74"/>
      <c r="DD31" s="74"/>
    </row>
    <row r="32" spans="1:108" s="181" customFormat="1" ht="15" customHeight="1" x14ac:dyDescent="0.25">
      <c r="A32" s="179" t="s">
        <v>691</v>
      </c>
      <c r="B32" s="74" t="s">
        <v>154</v>
      </c>
      <c r="C32" s="74" t="s">
        <v>172</v>
      </c>
      <c r="D32" s="74" t="s">
        <v>196</v>
      </c>
      <c r="E32" s="179" t="s">
        <v>309</v>
      </c>
      <c r="F32" s="74" t="s">
        <v>550</v>
      </c>
      <c r="G32" s="74" t="s">
        <v>137</v>
      </c>
      <c r="H32" s="74" t="s">
        <v>137</v>
      </c>
      <c r="I32" s="74" t="s">
        <v>66</v>
      </c>
      <c r="J32" s="74" t="s">
        <v>29</v>
      </c>
      <c r="K32" s="82" t="s">
        <v>137</v>
      </c>
      <c r="L32" s="82" t="s">
        <v>137</v>
      </c>
      <c r="M32" s="82" t="s">
        <v>137</v>
      </c>
      <c r="N32" s="82" t="s">
        <v>137</v>
      </c>
      <c r="O32" s="82" t="s">
        <v>137</v>
      </c>
      <c r="P32" s="82" t="s">
        <v>137</v>
      </c>
      <c r="Q32" s="74" t="s">
        <v>87</v>
      </c>
      <c r="R32" s="74" t="s">
        <v>709</v>
      </c>
      <c r="S32" s="74" t="s">
        <v>40</v>
      </c>
      <c r="T32" s="74" t="s">
        <v>2</v>
      </c>
      <c r="U32" s="75"/>
      <c r="V32" s="75">
        <v>0.05</v>
      </c>
      <c r="W32" s="75">
        <v>0.08</v>
      </c>
      <c r="X32" s="75">
        <v>0.15</v>
      </c>
      <c r="Y32" s="75">
        <v>0.2</v>
      </c>
      <c r="Z32" s="75">
        <v>0.25</v>
      </c>
      <c r="AA32" s="75">
        <v>0.37</v>
      </c>
      <c r="AB32" s="75">
        <v>0.42</v>
      </c>
      <c r="AC32" s="75">
        <v>0.57999999999999996</v>
      </c>
      <c r="AD32" s="75">
        <v>0.67</v>
      </c>
      <c r="AE32" s="75">
        <v>0.83</v>
      </c>
      <c r="AF32" s="75">
        <v>1</v>
      </c>
      <c r="AG32" s="74" t="s">
        <v>533</v>
      </c>
      <c r="AH32" s="74" t="s">
        <v>788</v>
      </c>
      <c r="AI32" s="78" t="s">
        <v>539</v>
      </c>
      <c r="AJ32" s="79" t="s">
        <v>539</v>
      </c>
      <c r="AK32" s="80">
        <v>46023</v>
      </c>
      <c r="AL32" s="80">
        <v>46387</v>
      </c>
      <c r="AM32" s="79"/>
      <c r="AN32" s="79"/>
      <c r="AO32" s="79"/>
      <c r="AP32" s="81" t="s">
        <v>540</v>
      </c>
      <c r="AQ32" s="80" cm="1">
        <f t="array" ref="AQ32">IFERROR(DATE(2026, _xlfn.AGGREGATE(15, 6, (COLUMN(CI32:CT32)-COLUMN(CI32)+1)/(CI32:CT32&lt;&gt;0), 1), 1),"N/A")</f>
        <v>46082</v>
      </c>
      <c r="AR32" s="80" cm="1">
        <f t="array" ref="AR32">IFERROR(EOMONTH(DATE(2026, _xlfn.AGGREGATE(14, 6, (COLUMN(CI32:CT32)-COLUMN(CI32)+1)/(CI32:CT32&lt;&gt;0), 1), 1), 0),"N/A")</f>
        <v>46112</v>
      </c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179" t="s">
        <v>1005</v>
      </c>
      <c r="BG32" s="74" t="s">
        <v>1009</v>
      </c>
      <c r="BH32" s="74" t="s">
        <v>967</v>
      </c>
      <c r="BI32" s="74" t="s">
        <v>137</v>
      </c>
      <c r="BJ32" s="78">
        <v>530813</v>
      </c>
      <c r="BK32" s="82" t="s">
        <v>74</v>
      </c>
      <c r="BL32" s="83">
        <v>0</v>
      </c>
      <c r="BM32" s="73"/>
      <c r="BN32" s="73"/>
      <c r="BO32" s="73"/>
      <c r="BP32" s="73"/>
      <c r="BQ32" s="73"/>
      <c r="BR32" s="73"/>
      <c r="BS32" s="73"/>
      <c r="BT32" s="84"/>
      <c r="BU32" s="73"/>
      <c r="BV32" s="73"/>
      <c r="BW32" s="73"/>
      <c r="BX32" s="73"/>
      <c r="BY32" s="73">
        <v>7060</v>
      </c>
      <c r="BZ32" s="73"/>
      <c r="CA32" s="73"/>
      <c r="CB32" s="73"/>
      <c r="CC32" s="73"/>
      <c r="CD32" s="73"/>
      <c r="CE32" s="73"/>
      <c r="CF32" s="73"/>
      <c r="CG32" s="180"/>
      <c r="CH32" s="180">
        <f t="shared" si="1"/>
        <v>7060</v>
      </c>
      <c r="CI32" s="73"/>
      <c r="CJ32" s="73"/>
      <c r="CK32" s="72">
        <v>7060</v>
      </c>
      <c r="CL32" s="73"/>
      <c r="CM32" s="73"/>
      <c r="CN32" s="73"/>
      <c r="CO32" s="73"/>
      <c r="CP32" s="84"/>
      <c r="CQ32" s="73"/>
      <c r="CR32" s="73"/>
      <c r="CS32" s="73"/>
      <c r="CT32" s="73"/>
      <c r="CU32" s="73"/>
      <c r="CV32" s="84">
        <f t="shared" si="0"/>
        <v>0</v>
      </c>
      <c r="CW32" s="84"/>
      <c r="CX32" s="74"/>
      <c r="CY32" s="74"/>
      <c r="CZ32" s="74"/>
      <c r="DA32" s="179" t="s">
        <v>1344</v>
      </c>
      <c r="DB32" s="179"/>
      <c r="DC32" s="179"/>
      <c r="DD32" s="179"/>
    </row>
    <row r="33" spans="1:108" s="68" customFormat="1" ht="15" customHeight="1" x14ac:dyDescent="0.25">
      <c r="A33" s="74" t="s">
        <v>691</v>
      </c>
      <c r="B33" s="74" t="s">
        <v>154</v>
      </c>
      <c r="C33" s="74" t="s">
        <v>172</v>
      </c>
      <c r="D33" s="74" t="s">
        <v>196</v>
      </c>
      <c r="E33" s="74" t="s">
        <v>309</v>
      </c>
      <c r="F33" s="74" t="s">
        <v>550</v>
      </c>
      <c r="G33" s="74" t="s">
        <v>137</v>
      </c>
      <c r="H33" s="74" t="s">
        <v>137</v>
      </c>
      <c r="I33" s="74" t="s">
        <v>66</v>
      </c>
      <c r="J33" s="74" t="s">
        <v>29</v>
      </c>
      <c r="K33" s="82" t="s">
        <v>137</v>
      </c>
      <c r="L33" s="82" t="s">
        <v>137</v>
      </c>
      <c r="M33" s="82" t="s">
        <v>137</v>
      </c>
      <c r="N33" s="82" t="s">
        <v>137</v>
      </c>
      <c r="O33" s="82" t="s">
        <v>137</v>
      </c>
      <c r="P33" s="82" t="s">
        <v>137</v>
      </c>
      <c r="Q33" s="74" t="s">
        <v>87</v>
      </c>
      <c r="R33" s="74" t="s">
        <v>709</v>
      </c>
      <c r="S33" s="74" t="s">
        <v>40</v>
      </c>
      <c r="T33" s="74" t="s">
        <v>2</v>
      </c>
      <c r="U33" s="75"/>
      <c r="V33" s="75">
        <v>0.05</v>
      </c>
      <c r="W33" s="75">
        <v>0.08</v>
      </c>
      <c r="X33" s="75">
        <v>0.15</v>
      </c>
      <c r="Y33" s="75">
        <v>0.2</v>
      </c>
      <c r="Z33" s="75">
        <v>0.25</v>
      </c>
      <c r="AA33" s="75">
        <v>0.37</v>
      </c>
      <c r="AB33" s="75">
        <v>0.42</v>
      </c>
      <c r="AC33" s="75">
        <v>0.57999999999999996</v>
      </c>
      <c r="AD33" s="75">
        <v>0.67</v>
      </c>
      <c r="AE33" s="75">
        <v>0.83</v>
      </c>
      <c r="AF33" s="75">
        <v>1</v>
      </c>
      <c r="AG33" s="74" t="s">
        <v>533</v>
      </c>
      <c r="AH33" s="74" t="s">
        <v>530</v>
      </c>
      <c r="AI33" s="78" t="s">
        <v>539</v>
      </c>
      <c r="AJ33" s="79" t="s">
        <v>539</v>
      </c>
      <c r="AK33" s="80">
        <v>46023</v>
      </c>
      <c r="AL33" s="80">
        <v>46387</v>
      </c>
      <c r="AM33" s="79"/>
      <c r="AN33" s="79"/>
      <c r="AO33" s="79"/>
      <c r="AP33" s="81" t="s">
        <v>540</v>
      </c>
      <c r="AQ33" s="80" t="str" cm="1">
        <f t="array" ref="AQ33">IFERROR(DATE(2026, _xlfn.AGGREGATE(15, 6, (COLUMN(CI33:CT33)-COLUMN(CI33)+1)/(CI33:CT33&lt;&gt;0), 1), 1),"N/A")</f>
        <v>N/A</v>
      </c>
      <c r="AR33" s="80" t="str" cm="1">
        <f t="array" ref="AR33">IFERROR(EOMONTH(DATE(2026, _xlfn.AGGREGATE(14, 6, (COLUMN(CI33:CT33)-COLUMN(CI33)+1)/(CI33:CT33&lt;&gt;0), 1), 1), 0),"N/A")</f>
        <v>N/A</v>
      </c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4" t="s">
        <v>609</v>
      </c>
      <c r="BG33" s="74" t="s">
        <v>1009</v>
      </c>
      <c r="BH33" s="74" t="s">
        <v>881</v>
      </c>
      <c r="BI33" s="74" t="s">
        <v>137</v>
      </c>
      <c r="BJ33" s="78">
        <v>840107</v>
      </c>
      <c r="BK33" s="82" t="s">
        <v>74</v>
      </c>
      <c r="BL33" s="83">
        <v>3000</v>
      </c>
      <c r="BM33" s="73">
        <v>0</v>
      </c>
      <c r="BN33" s="73">
        <v>0</v>
      </c>
      <c r="BO33" s="73">
        <v>0</v>
      </c>
      <c r="BP33" s="72">
        <v>3000</v>
      </c>
      <c r="BQ33" s="73">
        <v>0</v>
      </c>
      <c r="BR33" s="73">
        <v>0</v>
      </c>
      <c r="BS33" s="73">
        <v>0</v>
      </c>
      <c r="BT33" s="73">
        <v>0</v>
      </c>
      <c r="BU33" s="73">
        <v>0</v>
      </c>
      <c r="BV33" s="73">
        <v>0</v>
      </c>
      <c r="BW33" s="73">
        <v>0</v>
      </c>
      <c r="BX33" s="73">
        <v>0</v>
      </c>
      <c r="BY33" s="73">
        <v>-3000</v>
      </c>
      <c r="BZ33" s="73"/>
      <c r="CA33" s="73"/>
      <c r="CB33" s="73"/>
      <c r="CC33" s="73"/>
      <c r="CD33" s="73"/>
      <c r="CE33" s="73"/>
      <c r="CF33" s="73"/>
      <c r="CG33" s="73"/>
      <c r="CH33" s="73">
        <f t="shared" si="1"/>
        <v>0</v>
      </c>
      <c r="CI33" s="73"/>
      <c r="CJ33" s="73"/>
      <c r="CK33" s="72">
        <v>0</v>
      </c>
      <c r="CL33" s="73">
        <v>0</v>
      </c>
      <c r="CM33" s="73">
        <v>0</v>
      </c>
      <c r="CN33" s="73">
        <v>0</v>
      </c>
      <c r="CO33" s="73">
        <v>0</v>
      </c>
      <c r="CP33" s="73">
        <v>0</v>
      </c>
      <c r="CQ33" s="73">
        <v>0</v>
      </c>
      <c r="CR33" s="73">
        <v>0</v>
      </c>
      <c r="CS33" s="73">
        <v>0</v>
      </c>
      <c r="CT33" s="73">
        <v>0</v>
      </c>
      <c r="CU33" s="73"/>
      <c r="CV33" s="84">
        <f t="shared" si="0"/>
        <v>0</v>
      </c>
      <c r="CW33" s="84"/>
      <c r="CX33" s="74"/>
      <c r="CY33" s="74"/>
      <c r="CZ33" s="74"/>
      <c r="DA33" s="74" t="s">
        <v>1345</v>
      </c>
      <c r="DB33" s="74"/>
      <c r="DC33" s="74"/>
      <c r="DD33" s="74"/>
    </row>
    <row r="34" spans="1:108" s="68" customFormat="1" ht="24" hidden="1" customHeight="1" x14ac:dyDescent="0.25">
      <c r="A34" s="74" t="s">
        <v>690</v>
      </c>
      <c r="B34" s="74" t="s">
        <v>154</v>
      </c>
      <c r="C34" s="74" t="s">
        <v>172</v>
      </c>
      <c r="D34" s="74" t="s">
        <v>196</v>
      </c>
      <c r="E34" s="74" t="s">
        <v>309</v>
      </c>
      <c r="F34" s="74" t="s">
        <v>550</v>
      </c>
      <c r="G34" s="74" t="s">
        <v>137</v>
      </c>
      <c r="H34" s="74" t="s">
        <v>137</v>
      </c>
      <c r="I34" s="74" t="s">
        <v>66</v>
      </c>
      <c r="J34" s="74" t="s">
        <v>29</v>
      </c>
      <c r="K34" s="82" t="s">
        <v>137</v>
      </c>
      <c r="L34" s="82" t="s">
        <v>137</v>
      </c>
      <c r="M34" s="82" t="s">
        <v>137</v>
      </c>
      <c r="N34" s="82" t="s">
        <v>137</v>
      </c>
      <c r="O34" s="82" t="s">
        <v>137</v>
      </c>
      <c r="P34" s="82" t="s">
        <v>137</v>
      </c>
      <c r="Q34" s="74" t="s">
        <v>87</v>
      </c>
      <c r="R34" s="74" t="s">
        <v>709</v>
      </c>
      <c r="S34" s="74" t="s">
        <v>40</v>
      </c>
      <c r="T34" s="74" t="s">
        <v>2</v>
      </c>
      <c r="U34" s="75"/>
      <c r="V34" s="75">
        <v>0.05</v>
      </c>
      <c r="W34" s="75">
        <v>0.08</v>
      </c>
      <c r="X34" s="75">
        <v>0.15</v>
      </c>
      <c r="Y34" s="75">
        <v>0.2</v>
      </c>
      <c r="Z34" s="75">
        <v>0.25</v>
      </c>
      <c r="AA34" s="75">
        <v>0.37</v>
      </c>
      <c r="AB34" s="75">
        <v>0.42</v>
      </c>
      <c r="AC34" s="75">
        <v>0.57999999999999996</v>
      </c>
      <c r="AD34" s="75">
        <v>0.67</v>
      </c>
      <c r="AE34" s="75">
        <v>0.83</v>
      </c>
      <c r="AF34" s="75">
        <v>1</v>
      </c>
      <c r="AG34" s="74" t="s">
        <v>533</v>
      </c>
      <c r="AH34" s="74" t="s">
        <v>530</v>
      </c>
      <c r="AI34" s="78" t="s">
        <v>539</v>
      </c>
      <c r="AJ34" s="79" t="s">
        <v>539</v>
      </c>
      <c r="AK34" s="80">
        <v>46023</v>
      </c>
      <c r="AL34" s="80">
        <v>46387</v>
      </c>
      <c r="AM34" s="79"/>
      <c r="AN34" s="79"/>
      <c r="AO34" s="79"/>
      <c r="AP34" s="81" t="s">
        <v>540</v>
      </c>
      <c r="AQ34" s="80" t="str" cm="1">
        <f t="array" ref="AQ34">IFERROR(DATE(2026, _xlfn.AGGREGATE(15, 6, (COLUMN(CI34:CT34)-COLUMN(CI34)+1)/(CI34:CT34&lt;&gt;0), 1), 1),"N/A")</f>
        <v>N/A</v>
      </c>
      <c r="AR34" s="80" t="str" cm="1">
        <f t="array" ref="AR34">IFERROR(EOMONTH(DATE(2026, _xlfn.AGGREGATE(14, 6, (COLUMN(CI34:CT34)-COLUMN(CI34)+1)/(CI34:CT34&lt;&gt;0), 1), 1), 0),"N/A")</f>
        <v>N/A</v>
      </c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4" t="s">
        <v>578</v>
      </c>
      <c r="BG34" s="74"/>
      <c r="BH34" s="74" t="s">
        <v>804</v>
      </c>
      <c r="BI34" s="74" t="s">
        <v>137</v>
      </c>
      <c r="BJ34" s="78">
        <v>530813</v>
      </c>
      <c r="BK34" s="82" t="s">
        <v>74</v>
      </c>
      <c r="BL34" s="83">
        <v>500</v>
      </c>
      <c r="BM34" s="73">
        <v>0</v>
      </c>
      <c r="BN34" s="73">
        <v>0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3">
        <v>0</v>
      </c>
      <c r="BU34" s="73">
        <v>0</v>
      </c>
      <c r="BV34" s="84">
        <v>500</v>
      </c>
      <c r="BW34" s="73">
        <v>0</v>
      </c>
      <c r="BX34" s="73">
        <v>0</v>
      </c>
      <c r="BY34" s="73">
        <v>-500</v>
      </c>
      <c r="BZ34" s="73"/>
      <c r="CA34" s="73"/>
      <c r="CB34" s="73"/>
      <c r="CC34" s="73"/>
      <c r="CD34" s="73"/>
      <c r="CE34" s="73"/>
      <c r="CF34" s="73"/>
      <c r="CG34" s="73"/>
      <c r="CH34" s="73">
        <f t="shared" si="1"/>
        <v>0</v>
      </c>
      <c r="CI34" s="73"/>
      <c r="CJ34" s="73"/>
      <c r="CK34" s="72">
        <v>0</v>
      </c>
      <c r="CL34" s="73">
        <v>0</v>
      </c>
      <c r="CM34" s="73">
        <v>0</v>
      </c>
      <c r="CN34" s="73">
        <v>0</v>
      </c>
      <c r="CO34" s="73">
        <v>0</v>
      </c>
      <c r="CP34" s="73">
        <v>0</v>
      </c>
      <c r="CQ34" s="73">
        <v>0</v>
      </c>
      <c r="CR34" s="84">
        <v>0</v>
      </c>
      <c r="CS34" s="73">
        <v>0</v>
      </c>
      <c r="CT34" s="73">
        <v>0</v>
      </c>
      <c r="CU34" s="73"/>
      <c r="CV34" s="84">
        <f t="shared" si="0"/>
        <v>0</v>
      </c>
      <c r="CW34" s="84"/>
      <c r="CX34" s="74"/>
      <c r="CY34" s="74"/>
      <c r="CZ34" s="74"/>
      <c r="DA34" s="74" t="s">
        <v>1346</v>
      </c>
      <c r="DB34" s="74"/>
      <c r="DC34" s="74"/>
      <c r="DD34" s="74"/>
    </row>
    <row r="35" spans="1:108" s="68" customFormat="1" ht="26.25" hidden="1" customHeight="1" x14ac:dyDescent="0.25">
      <c r="A35" s="74" t="s">
        <v>689</v>
      </c>
      <c r="B35" s="74" t="s">
        <v>154</v>
      </c>
      <c r="C35" s="74" t="s">
        <v>172</v>
      </c>
      <c r="D35" s="74" t="s">
        <v>196</v>
      </c>
      <c r="E35" s="74" t="s">
        <v>309</v>
      </c>
      <c r="F35" s="74" t="s">
        <v>550</v>
      </c>
      <c r="G35" s="74" t="s">
        <v>137</v>
      </c>
      <c r="H35" s="74" t="s">
        <v>137</v>
      </c>
      <c r="I35" s="74" t="s">
        <v>66</v>
      </c>
      <c r="J35" s="74" t="s">
        <v>29</v>
      </c>
      <c r="K35" s="82" t="s">
        <v>137</v>
      </c>
      <c r="L35" s="82" t="s">
        <v>137</v>
      </c>
      <c r="M35" s="82" t="s">
        <v>137</v>
      </c>
      <c r="N35" s="82" t="s">
        <v>137</v>
      </c>
      <c r="O35" s="82" t="s">
        <v>137</v>
      </c>
      <c r="P35" s="82" t="s">
        <v>137</v>
      </c>
      <c r="Q35" s="74" t="s">
        <v>87</v>
      </c>
      <c r="R35" s="74" t="s">
        <v>709</v>
      </c>
      <c r="S35" s="74" t="s">
        <v>40</v>
      </c>
      <c r="T35" s="74" t="s">
        <v>2</v>
      </c>
      <c r="U35" s="75"/>
      <c r="V35" s="75">
        <v>0.05</v>
      </c>
      <c r="W35" s="75">
        <v>0.08</v>
      </c>
      <c r="X35" s="75">
        <v>0.15</v>
      </c>
      <c r="Y35" s="75">
        <v>0.2</v>
      </c>
      <c r="Z35" s="75">
        <v>0.25</v>
      </c>
      <c r="AA35" s="75">
        <v>0.37</v>
      </c>
      <c r="AB35" s="75">
        <v>0.42</v>
      </c>
      <c r="AC35" s="75">
        <v>0.57999999999999996</v>
      </c>
      <c r="AD35" s="75">
        <v>0.67</v>
      </c>
      <c r="AE35" s="75">
        <v>0.83</v>
      </c>
      <c r="AF35" s="75">
        <v>1</v>
      </c>
      <c r="AG35" s="74" t="s">
        <v>533</v>
      </c>
      <c r="AH35" s="74" t="s">
        <v>530</v>
      </c>
      <c r="AI35" s="78" t="s">
        <v>539</v>
      </c>
      <c r="AJ35" s="79" t="s">
        <v>539</v>
      </c>
      <c r="AK35" s="80">
        <v>46023</v>
      </c>
      <c r="AL35" s="80">
        <v>46387</v>
      </c>
      <c r="AM35" s="79"/>
      <c r="AN35" s="79"/>
      <c r="AO35" s="79"/>
      <c r="AP35" s="81" t="s">
        <v>540</v>
      </c>
      <c r="AQ35" s="80" cm="1">
        <f t="array" ref="AQ35">IFERROR(DATE(2026, _xlfn.AGGREGATE(15, 6, (COLUMN(CI35:CT35)-COLUMN(CI35)+1)/(CI35:CT35&lt;&gt;0), 1), 1),"N/A")</f>
        <v>46296</v>
      </c>
      <c r="AR35" s="80" cm="1">
        <f t="array" ref="AR35">IFERROR(EOMONTH(DATE(2026, _xlfn.AGGREGATE(14, 6, (COLUMN(CI35:CT35)-COLUMN(CI35)+1)/(CI35:CT35&lt;&gt;0), 1), 1), 0),"N/A")</f>
        <v>46326</v>
      </c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4" t="s">
        <v>580</v>
      </c>
      <c r="BG35" s="74"/>
      <c r="BH35" s="74" t="s">
        <v>805</v>
      </c>
      <c r="BI35" s="74" t="s">
        <v>137</v>
      </c>
      <c r="BJ35" s="78">
        <v>530802</v>
      </c>
      <c r="BK35" s="82" t="s">
        <v>74</v>
      </c>
      <c r="BL35" s="83">
        <v>676</v>
      </c>
      <c r="BM35" s="73">
        <v>0</v>
      </c>
      <c r="BN35" s="73">
        <v>0</v>
      </c>
      <c r="BO35" s="73">
        <v>0</v>
      </c>
      <c r="BP35" s="73">
        <v>0</v>
      </c>
      <c r="BQ35" s="73">
        <v>0</v>
      </c>
      <c r="BR35" s="73">
        <v>0</v>
      </c>
      <c r="BS35" s="73">
        <v>0</v>
      </c>
      <c r="BT35" s="73">
        <v>0</v>
      </c>
      <c r="BU35" s="73">
        <v>0</v>
      </c>
      <c r="BV35" s="84">
        <v>676</v>
      </c>
      <c r="BW35" s="73">
        <v>0</v>
      </c>
      <c r="BX35" s="73">
        <v>0</v>
      </c>
      <c r="BY35" s="73"/>
      <c r="BZ35" s="73"/>
      <c r="CA35" s="73"/>
      <c r="CB35" s="73"/>
      <c r="CC35" s="73"/>
      <c r="CD35" s="73"/>
      <c r="CE35" s="73"/>
      <c r="CF35" s="73"/>
      <c r="CG35" s="73"/>
      <c r="CH35" s="73">
        <f t="shared" si="1"/>
        <v>676</v>
      </c>
      <c r="CI35" s="73"/>
      <c r="CJ35" s="73"/>
      <c r="CK35" s="72">
        <v>0</v>
      </c>
      <c r="CL35" s="73">
        <v>0</v>
      </c>
      <c r="CM35" s="73">
        <v>0</v>
      </c>
      <c r="CN35" s="73">
        <v>0</v>
      </c>
      <c r="CO35" s="73">
        <v>0</v>
      </c>
      <c r="CP35" s="73">
        <v>0</v>
      </c>
      <c r="CQ35" s="73">
        <v>0</v>
      </c>
      <c r="CR35" s="84">
        <v>676</v>
      </c>
      <c r="CS35" s="73">
        <v>0</v>
      </c>
      <c r="CT35" s="73">
        <v>0</v>
      </c>
      <c r="CU35" s="73"/>
      <c r="CV35" s="84">
        <f t="shared" si="0"/>
        <v>0</v>
      </c>
      <c r="CW35" s="84"/>
      <c r="CX35" s="74"/>
      <c r="CY35" s="74"/>
      <c r="CZ35" s="74"/>
      <c r="DA35" s="74" t="s">
        <v>1347</v>
      </c>
      <c r="DB35" s="74"/>
      <c r="DC35" s="74"/>
      <c r="DD35" s="74"/>
    </row>
    <row r="36" spans="1:108" s="68" customFormat="1" ht="29.25" hidden="1" customHeight="1" x14ac:dyDescent="0.25">
      <c r="A36" s="74" t="s">
        <v>690</v>
      </c>
      <c r="B36" s="74" t="s">
        <v>154</v>
      </c>
      <c r="C36" s="74" t="s">
        <v>172</v>
      </c>
      <c r="D36" s="74" t="s">
        <v>196</v>
      </c>
      <c r="E36" s="74" t="s">
        <v>309</v>
      </c>
      <c r="F36" s="74" t="s">
        <v>550</v>
      </c>
      <c r="G36" s="74" t="s">
        <v>137</v>
      </c>
      <c r="H36" s="74" t="s">
        <v>137</v>
      </c>
      <c r="I36" s="74" t="s">
        <v>66</v>
      </c>
      <c r="J36" s="74" t="s">
        <v>29</v>
      </c>
      <c r="K36" s="82" t="s">
        <v>137</v>
      </c>
      <c r="L36" s="82" t="s">
        <v>137</v>
      </c>
      <c r="M36" s="82" t="s">
        <v>137</v>
      </c>
      <c r="N36" s="82" t="s">
        <v>137</v>
      </c>
      <c r="O36" s="82" t="s">
        <v>137</v>
      </c>
      <c r="P36" s="82" t="s">
        <v>137</v>
      </c>
      <c r="Q36" s="74" t="s">
        <v>87</v>
      </c>
      <c r="R36" s="74" t="s">
        <v>709</v>
      </c>
      <c r="S36" s="74" t="s">
        <v>40</v>
      </c>
      <c r="T36" s="74" t="s">
        <v>2</v>
      </c>
      <c r="U36" s="75"/>
      <c r="V36" s="75">
        <v>0.05</v>
      </c>
      <c r="W36" s="75">
        <v>0.08</v>
      </c>
      <c r="X36" s="75">
        <v>0.15</v>
      </c>
      <c r="Y36" s="75">
        <v>0.2</v>
      </c>
      <c r="Z36" s="75">
        <v>0.25</v>
      </c>
      <c r="AA36" s="75">
        <v>0.37</v>
      </c>
      <c r="AB36" s="75">
        <v>0.42</v>
      </c>
      <c r="AC36" s="75">
        <v>0.57999999999999996</v>
      </c>
      <c r="AD36" s="75">
        <v>0.67</v>
      </c>
      <c r="AE36" s="75">
        <v>0.83</v>
      </c>
      <c r="AF36" s="75">
        <v>1</v>
      </c>
      <c r="AG36" s="74" t="s">
        <v>533</v>
      </c>
      <c r="AH36" s="74" t="s">
        <v>530</v>
      </c>
      <c r="AI36" s="78" t="s">
        <v>539</v>
      </c>
      <c r="AJ36" s="79" t="s">
        <v>539</v>
      </c>
      <c r="AK36" s="80">
        <v>46023</v>
      </c>
      <c r="AL36" s="80">
        <v>46387</v>
      </c>
      <c r="AM36" s="79"/>
      <c r="AN36" s="79"/>
      <c r="AO36" s="79"/>
      <c r="AP36" s="81" t="s">
        <v>540</v>
      </c>
      <c r="AQ36" s="80" cm="1">
        <f t="array" ref="AQ36">IFERROR(DATE(2026, _xlfn.AGGREGATE(15, 6, (COLUMN(CI36:CT36)-COLUMN(CI36)+1)/(CI36:CT36&lt;&gt;0), 1), 1),"N/A")</f>
        <v>46204</v>
      </c>
      <c r="AR36" s="80" cm="1">
        <f t="array" ref="AR36">IFERROR(EOMONTH(DATE(2026, _xlfn.AGGREGATE(14, 6, (COLUMN(CI36:CT36)-COLUMN(CI36)+1)/(CI36:CT36&lt;&gt;0), 1), 1), 0),"N/A")</f>
        <v>46234</v>
      </c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4" t="s">
        <v>656</v>
      </c>
      <c r="BG36" s="74"/>
      <c r="BH36" s="74" t="s">
        <v>806</v>
      </c>
      <c r="BI36" s="74" t="s">
        <v>137</v>
      </c>
      <c r="BJ36" s="78">
        <v>530807</v>
      </c>
      <c r="BK36" s="82" t="s">
        <v>74</v>
      </c>
      <c r="BL36" s="83">
        <v>20000</v>
      </c>
      <c r="BM36" s="73">
        <v>0</v>
      </c>
      <c r="BN36" s="73">
        <v>0</v>
      </c>
      <c r="BO36" s="73">
        <v>0</v>
      </c>
      <c r="BP36" s="73">
        <v>0</v>
      </c>
      <c r="BQ36" s="73">
        <v>0</v>
      </c>
      <c r="BR36" s="73">
        <v>0</v>
      </c>
      <c r="BS36" s="73">
        <v>0</v>
      </c>
      <c r="BT36" s="84">
        <v>20000</v>
      </c>
      <c r="BU36" s="73">
        <v>0</v>
      </c>
      <c r="BV36" s="73">
        <v>0</v>
      </c>
      <c r="BW36" s="73">
        <v>0</v>
      </c>
      <c r="BX36" s="73">
        <v>0</v>
      </c>
      <c r="BY36" s="73">
        <v>-1188</v>
      </c>
      <c r="BZ36" s="73"/>
      <c r="CA36" s="73"/>
      <c r="CB36" s="73"/>
      <c r="CC36" s="73"/>
      <c r="CD36" s="73"/>
      <c r="CE36" s="73"/>
      <c r="CF36" s="73"/>
      <c r="CG36" s="73"/>
      <c r="CH36" s="73">
        <f t="shared" si="1"/>
        <v>18812</v>
      </c>
      <c r="CI36" s="73"/>
      <c r="CJ36" s="73"/>
      <c r="CK36" s="72">
        <v>0</v>
      </c>
      <c r="CL36" s="73">
        <v>0</v>
      </c>
      <c r="CM36" s="119"/>
      <c r="CN36" s="73">
        <v>0</v>
      </c>
      <c r="CO36" s="73">
        <v>18812</v>
      </c>
      <c r="CP36" s="84"/>
      <c r="CQ36" s="73">
        <v>0</v>
      </c>
      <c r="CR36" s="73">
        <v>0</v>
      </c>
      <c r="CS36" s="73">
        <v>0</v>
      </c>
      <c r="CT36" s="73">
        <v>0</v>
      </c>
      <c r="CU36" s="73"/>
      <c r="CV36" s="84">
        <f t="shared" si="0"/>
        <v>0</v>
      </c>
      <c r="CW36" s="84"/>
      <c r="CX36" s="74"/>
      <c r="CY36" s="74"/>
      <c r="CZ36" s="74"/>
      <c r="DA36" s="74" t="s">
        <v>1348</v>
      </c>
      <c r="DB36" s="74"/>
      <c r="DC36" s="74"/>
      <c r="DD36" s="74"/>
    </row>
    <row r="37" spans="1:108" s="402" customFormat="1" ht="22.5" hidden="1" customHeight="1" x14ac:dyDescent="0.25">
      <c r="A37" s="398" t="s">
        <v>690</v>
      </c>
      <c r="B37" s="74" t="s">
        <v>154</v>
      </c>
      <c r="C37" s="74" t="s">
        <v>172</v>
      </c>
      <c r="D37" s="74" t="s">
        <v>196</v>
      </c>
      <c r="E37" s="74" t="s">
        <v>309</v>
      </c>
      <c r="F37" s="74" t="s">
        <v>550</v>
      </c>
      <c r="G37" s="74" t="s">
        <v>137</v>
      </c>
      <c r="H37" s="74" t="s">
        <v>137</v>
      </c>
      <c r="I37" s="74" t="s">
        <v>66</v>
      </c>
      <c r="J37" s="74" t="s">
        <v>29</v>
      </c>
      <c r="K37" s="82" t="s">
        <v>137</v>
      </c>
      <c r="L37" s="82" t="s">
        <v>137</v>
      </c>
      <c r="M37" s="82" t="s">
        <v>137</v>
      </c>
      <c r="N37" s="82" t="s">
        <v>137</v>
      </c>
      <c r="O37" s="82" t="s">
        <v>137</v>
      </c>
      <c r="P37" s="82" t="s">
        <v>137</v>
      </c>
      <c r="Q37" s="74" t="s">
        <v>87</v>
      </c>
      <c r="R37" s="74" t="s">
        <v>709</v>
      </c>
      <c r="S37" s="74" t="s">
        <v>40</v>
      </c>
      <c r="T37" s="74" t="s">
        <v>2</v>
      </c>
      <c r="U37" s="75"/>
      <c r="V37" s="75">
        <v>0.05</v>
      </c>
      <c r="W37" s="75">
        <v>0.08</v>
      </c>
      <c r="X37" s="75">
        <v>0.15</v>
      </c>
      <c r="Y37" s="75">
        <v>0.2</v>
      </c>
      <c r="Z37" s="75">
        <v>0.25</v>
      </c>
      <c r="AA37" s="75">
        <v>0.37</v>
      </c>
      <c r="AB37" s="75">
        <v>0.42</v>
      </c>
      <c r="AC37" s="75">
        <v>0.57999999999999996</v>
      </c>
      <c r="AD37" s="75">
        <v>0.67</v>
      </c>
      <c r="AE37" s="75">
        <v>0.83</v>
      </c>
      <c r="AF37" s="75">
        <v>1</v>
      </c>
      <c r="AG37" s="74" t="s">
        <v>533</v>
      </c>
      <c r="AH37" s="74" t="s">
        <v>788</v>
      </c>
      <c r="AI37" s="78" t="s">
        <v>539</v>
      </c>
      <c r="AJ37" s="79" t="s">
        <v>539</v>
      </c>
      <c r="AK37" s="80">
        <v>46023</v>
      </c>
      <c r="AL37" s="80">
        <v>46387</v>
      </c>
      <c r="AM37" s="79"/>
      <c r="AN37" s="79"/>
      <c r="AO37" s="79"/>
      <c r="AP37" s="81" t="s">
        <v>540</v>
      </c>
      <c r="AQ37" s="80" cm="1">
        <f t="array" ref="AQ37">IFERROR(DATE(2026, _xlfn.AGGREGATE(15, 6, (COLUMN(CI37:CT37)-COLUMN(CI37)+1)/(CI37:CT37&lt;&gt;0), 1), 1),"N/A")</f>
        <v>46082</v>
      </c>
      <c r="AR37" s="80" cm="1">
        <f t="array" ref="AR37">IFERROR(EOMONTH(DATE(2026, _xlfn.AGGREGATE(14, 6, (COLUMN(CI37:CT37)-COLUMN(CI37)+1)/(CI37:CT37&lt;&gt;0), 1), 1), 0),"N/A")</f>
        <v>46112</v>
      </c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398" t="s">
        <v>983</v>
      </c>
      <c r="BG37" s="74"/>
      <c r="BH37" s="398" t="s">
        <v>984</v>
      </c>
      <c r="BI37" s="74" t="s">
        <v>137</v>
      </c>
      <c r="BJ37" s="399">
        <v>530807</v>
      </c>
      <c r="BK37" s="400" t="s">
        <v>74</v>
      </c>
      <c r="BL37" s="83">
        <v>0</v>
      </c>
      <c r="BM37" s="73"/>
      <c r="BN37" s="73"/>
      <c r="BO37" s="73"/>
      <c r="BP37" s="73"/>
      <c r="BQ37" s="73"/>
      <c r="BR37" s="73"/>
      <c r="BS37" s="73"/>
      <c r="BT37" s="84"/>
      <c r="BU37" s="73"/>
      <c r="BV37" s="73"/>
      <c r="BW37" s="73"/>
      <c r="BX37" s="73"/>
      <c r="BY37" s="73">
        <v>1188</v>
      </c>
      <c r="BZ37" s="73"/>
      <c r="CA37" s="73"/>
      <c r="CB37" s="73"/>
      <c r="CC37" s="73"/>
      <c r="CD37" s="73"/>
      <c r="CE37" s="73"/>
      <c r="CF37" s="73"/>
      <c r="CG37" s="73"/>
      <c r="CH37" s="403">
        <f t="shared" si="1"/>
        <v>1188</v>
      </c>
      <c r="CI37" s="73"/>
      <c r="CJ37" s="73"/>
      <c r="CK37" s="72">
        <v>1188</v>
      </c>
      <c r="CL37" s="73"/>
      <c r="CM37" s="73"/>
      <c r="CN37" s="73"/>
      <c r="CO37" s="73"/>
      <c r="CP37" s="84"/>
      <c r="CQ37" s="73"/>
      <c r="CR37" s="73"/>
      <c r="CS37" s="73"/>
      <c r="CT37" s="403"/>
      <c r="CU37" s="403"/>
      <c r="CV37" s="404">
        <f t="shared" si="0"/>
        <v>0</v>
      </c>
      <c r="CW37" s="404"/>
      <c r="CX37" s="398"/>
      <c r="CY37" s="398"/>
      <c r="CZ37" s="398"/>
      <c r="DA37" s="398" t="s">
        <v>1349</v>
      </c>
      <c r="DB37" s="398"/>
      <c r="DC37" s="398"/>
      <c r="DD37" s="398"/>
    </row>
    <row r="38" spans="1:108" s="68" customFormat="1" ht="25.5" customHeight="1" x14ac:dyDescent="0.25">
      <c r="A38" s="74" t="s">
        <v>691</v>
      </c>
      <c r="B38" s="74" t="s">
        <v>154</v>
      </c>
      <c r="C38" s="74" t="s">
        <v>172</v>
      </c>
      <c r="D38" s="74" t="s">
        <v>196</v>
      </c>
      <c r="E38" s="74" t="s">
        <v>309</v>
      </c>
      <c r="F38" s="74" t="s">
        <v>550</v>
      </c>
      <c r="G38" s="74" t="s">
        <v>137</v>
      </c>
      <c r="H38" s="74" t="s">
        <v>137</v>
      </c>
      <c r="I38" s="74" t="s">
        <v>66</v>
      </c>
      <c r="J38" s="74" t="s">
        <v>29</v>
      </c>
      <c r="K38" s="82" t="s">
        <v>137</v>
      </c>
      <c r="L38" s="82" t="s">
        <v>137</v>
      </c>
      <c r="M38" s="82" t="s">
        <v>137</v>
      </c>
      <c r="N38" s="82" t="s">
        <v>137</v>
      </c>
      <c r="O38" s="82" t="s">
        <v>137</v>
      </c>
      <c r="P38" s="82" t="s">
        <v>137</v>
      </c>
      <c r="Q38" s="74" t="s">
        <v>87</v>
      </c>
      <c r="R38" s="74" t="s">
        <v>709</v>
      </c>
      <c r="S38" s="74" t="s">
        <v>40</v>
      </c>
      <c r="T38" s="74" t="s">
        <v>2</v>
      </c>
      <c r="U38" s="75"/>
      <c r="V38" s="75">
        <v>0.05</v>
      </c>
      <c r="W38" s="75">
        <v>0.08</v>
      </c>
      <c r="X38" s="75">
        <v>0.15</v>
      </c>
      <c r="Y38" s="75">
        <v>0.2</v>
      </c>
      <c r="Z38" s="75">
        <v>0.25</v>
      </c>
      <c r="AA38" s="75">
        <v>0.37</v>
      </c>
      <c r="AB38" s="75">
        <v>0.42</v>
      </c>
      <c r="AC38" s="75">
        <v>0.57999999999999996</v>
      </c>
      <c r="AD38" s="75">
        <v>0.67</v>
      </c>
      <c r="AE38" s="75">
        <v>0.83</v>
      </c>
      <c r="AF38" s="75">
        <v>1</v>
      </c>
      <c r="AG38" s="74" t="s">
        <v>772</v>
      </c>
      <c r="AH38" s="74" t="s">
        <v>531</v>
      </c>
      <c r="AI38" s="78" t="s">
        <v>539</v>
      </c>
      <c r="AJ38" s="79" t="s">
        <v>539</v>
      </c>
      <c r="AK38" s="80">
        <v>46023</v>
      </c>
      <c r="AL38" s="80">
        <v>46387</v>
      </c>
      <c r="AM38" s="79"/>
      <c r="AN38" s="79"/>
      <c r="AO38" s="79"/>
      <c r="AP38" s="81" t="s">
        <v>540</v>
      </c>
      <c r="AQ38" s="80" t="str" cm="1">
        <f t="array" ref="AQ38">IFERROR(DATE(2026, _xlfn.AGGREGATE(15, 6, (COLUMN(CI38:CT38)-COLUMN(CI38)+1)/(CI38:CT38&lt;&gt;0), 1), 1),"N/A")</f>
        <v>N/A</v>
      </c>
      <c r="AR38" s="80" t="str" cm="1">
        <f t="array" ref="AR38">IFERROR(EOMONTH(DATE(2026, _xlfn.AGGREGATE(14, 6, (COLUMN(CI38:CT38)-COLUMN(CI38)+1)/(CI38:CT38&lt;&gt;0), 1), 1), 0),"N/A")</f>
        <v>N/A</v>
      </c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4" t="s">
        <v>787</v>
      </c>
      <c r="BG38" s="74" t="s">
        <v>1009</v>
      </c>
      <c r="BH38" s="74" t="s">
        <v>743</v>
      </c>
      <c r="BI38" s="74" t="s">
        <v>137</v>
      </c>
      <c r="BJ38" s="78">
        <v>530701</v>
      </c>
      <c r="BK38" s="82" t="s">
        <v>74</v>
      </c>
      <c r="BL38" s="83">
        <v>7000</v>
      </c>
      <c r="BM38" s="73">
        <v>0</v>
      </c>
      <c r="BN38" s="73">
        <v>0</v>
      </c>
      <c r="BO38" s="84">
        <v>7000</v>
      </c>
      <c r="BP38" s="73">
        <v>0</v>
      </c>
      <c r="BQ38" s="73">
        <v>0</v>
      </c>
      <c r="BR38" s="73">
        <v>0</v>
      </c>
      <c r="BS38" s="73">
        <v>0</v>
      </c>
      <c r="BT38" s="73">
        <v>0</v>
      </c>
      <c r="BU38" s="73">
        <v>0</v>
      </c>
      <c r="BV38" s="73">
        <v>0</v>
      </c>
      <c r="BW38" s="73">
        <v>0</v>
      </c>
      <c r="BX38" s="73">
        <v>0</v>
      </c>
      <c r="BY38" s="73">
        <v>-7000</v>
      </c>
      <c r="BZ38" s="73"/>
      <c r="CA38" s="73"/>
      <c r="CB38" s="73"/>
      <c r="CC38" s="73"/>
      <c r="CD38" s="73"/>
      <c r="CE38" s="73"/>
      <c r="CF38" s="73"/>
      <c r="CG38" s="73"/>
      <c r="CH38" s="73">
        <f t="shared" si="1"/>
        <v>0</v>
      </c>
      <c r="CI38" s="73"/>
      <c r="CJ38" s="73"/>
      <c r="CK38" s="84">
        <v>0</v>
      </c>
      <c r="CL38" s="73">
        <v>0</v>
      </c>
      <c r="CM38" s="73">
        <v>0</v>
      </c>
      <c r="CN38" s="73">
        <v>0</v>
      </c>
      <c r="CO38" s="73">
        <v>0</v>
      </c>
      <c r="CP38" s="73">
        <v>0</v>
      </c>
      <c r="CQ38" s="73">
        <v>0</v>
      </c>
      <c r="CR38" s="73">
        <v>0</v>
      </c>
      <c r="CS38" s="73">
        <v>0</v>
      </c>
      <c r="CT38" s="73">
        <v>0</v>
      </c>
      <c r="CU38" s="73"/>
      <c r="CV38" s="84">
        <f t="shared" si="0"/>
        <v>0</v>
      </c>
      <c r="CW38" s="84"/>
      <c r="CX38" s="74"/>
      <c r="CY38" s="74"/>
      <c r="CZ38" s="74"/>
      <c r="DA38" s="74" t="s">
        <v>1350</v>
      </c>
      <c r="DB38" s="74"/>
      <c r="DC38" s="74"/>
      <c r="DD38" s="74"/>
    </row>
    <row r="39" spans="1:108" s="68" customFormat="1" ht="34.5" customHeight="1" x14ac:dyDescent="0.25">
      <c r="A39" s="74" t="s">
        <v>691</v>
      </c>
      <c r="B39" s="74" t="s">
        <v>154</v>
      </c>
      <c r="C39" s="74" t="s">
        <v>172</v>
      </c>
      <c r="D39" s="74" t="s">
        <v>196</v>
      </c>
      <c r="E39" s="74" t="s">
        <v>309</v>
      </c>
      <c r="F39" s="74" t="s">
        <v>550</v>
      </c>
      <c r="G39" s="74" t="s">
        <v>137</v>
      </c>
      <c r="H39" s="74" t="s">
        <v>137</v>
      </c>
      <c r="I39" s="74" t="s">
        <v>66</v>
      </c>
      <c r="J39" s="74" t="s">
        <v>29</v>
      </c>
      <c r="K39" s="82" t="s">
        <v>137</v>
      </c>
      <c r="L39" s="82" t="s">
        <v>137</v>
      </c>
      <c r="M39" s="82" t="s">
        <v>137</v>
      </c>
      <c r="N39" s="82" t="s">
        <v>137</v>
      </c>
      <c r="O39" s="82" t="s">
        <v>137</v>
      </c>
      <c r="P39" s="82" t="s">
        <v>137</v>
      </c>
      <c r="Q39" s="74" t="s">
        <v>87</v>
      </c>
      <c r="R39" s="74" t="s">
        <v>709</v>
      </c>
      <c r="S39" s="74" t="s">
        <v>40</v>
      </c>
      <c r="T39" s="74" t="s">
        <v>2</v>
      </c>
      <c r="U39" s="75"/>
      <c r="V39" s="75">
        <v>0.05</v>
      </c>
      <c r="W39" s="75">
        <v>0.08</v>
      </c>
      <c r="X39" s="75">
        <v>0.15</v>
      </c>
      <c r="Y39" s="75">
        <v>0.2</v>
      </c>
      <c r="Z39" s="75">
        <v>0.25</v>
      </c>
      <c r="AA39" s="75">
        <v>0.37</v>
      </c>
      <c r="AB39" s="75">
        <v>0.42</v>
      </c>
      <c r="AC39" s="75">
        <v>0.57999999999999996</v>
      </c>
      <c r="AD39" s="75">
        <v>0.67</v>
      </c>
      <c r="AE39" s="75">
        <v>0.83</v>
      </c>
      <c r="AF39" s="75">
        <v>1</v>
      </c>
      <c r="AG39" s="74" t="s">
        <v>772</v>
      </c>
      <c r="AH39" s="74" t="s">
        <v>531</v>
      </c>
      <c r="AI39" s="78" t="s">
        <v>539</v>
      </c>
      <c r="AJ39" s="79" t="s">
        <v>539</v>
      </c>
      <c r="AK39" s="80">
        <v>46023</v>
      </c>
      <c r="AL39" s="80">
        <v>46387</v>
      </c>
      <c r="AM39" s="79"/>
      <c r="AN39" s="79"/>
      <c r="AO39" s="79"/>
      <c r="AP39" s="81" t="s">
        <v>540</v>
      </c>
      <c r="AQ39" s="80" t="str" cm="1">
        <f t="array" ref="AQ39">IFERROR(DATE(2026, _xlfn.AGGREGATE(15, 6, (COLUMN(CI39:CT39)-COLUMN(CI39)+1)/(CI39:CT39&lt;&gt;0), 1), 1),"N/A")</f>
        <v>N/A</v>
      </c>
      <c r="AR39" s="80" t="str" cm="1">
        <f t="array" ref="AR39">IFERROR(EOMONTH(DATE(2026, _xlfn.AGGREGATE(14, 6, (COLUMN(CI39:CT39)-COLUMN(CI39)+1)/(CI39:CT39&lt;&gt;0), 1), 1), 0),"N/A")</f>
        <v>N/A</v>
      </c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4" t="s">
        <v>787</v>
      </c>
      <c r="BG39" s="74" t="s">
        <v>1009</v>
      </c>
      <c r="BH39" s="74" t="s">
        <v>745</v>
      </c>
      <c r="BI39" s="74" t="s">
        <v>137</v>
      </c>
      <c r="BJ39" s="78">
        <v>530702</v>
      </c>
      <c r="BK39" s="82" t="s">
        <v>74</v>
      </c>
      <c r="BL39" s="83">
        <v>40000</v>
      </c>
      <c r="BM39" s="73">
        <v>0</v>
      </c>
      <c r="BN39" s="73">
        <v>0</v>
      </c>
      <c r="BO39" s="84">
        <v>40000</v>
      </c>
      <c r="BP39" s="73">
        <v>0</v>
      </c>
      <c r="BQ39" s="73">
        <v>0</v>
      </c>
      <c r="BR39" s="73">
        <v>0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73">
        <v>0</v>
      </c>
      <c r="BY39" s="73">
        <v>-40000</v>
      </c>
      <c r="BZ39" s="73"/>
      <c r="CA39" s="73"/>
      <c r="CB39" s="73"/>
      <c r="CC39" s="73"/>
      <c r="CD39" s="73"/>
      <c r="CE39" s="73"/>
      <c r="CF39" s="73"/>
      <c r="CG39" s="73"/>
      <c r="CH39" s="73">
        <f t="shared" si="1"/>
        <v>0</v>
      </c>
      <c r="CI39" s="73"/>
      <c r="CJ39" s="73"/>
      <c r="CK39" s="84">
        <v>0</v>
      </c>
      <c r="CL39" s="73">
        <v>0</v>
      </c>
      <c r="CM39" s="73">
        <v>0</v>
      </c>
      <c r="CN39" s="73">
        <v>0</v>
      </c>
      <c r="CO39" s="73">
        <v>0</v>
      </c>
      <c r="CP39" s="73">
        <v>0</v>
      </c>
      <c r="CQ39" s="73">
        <v>0</v>
      </c>
      <c r="CR39" s="73">
        <v>0</v>
      </c>
      <c r="CS39" s="73">
        <v>0</v>
      </c>
      <c r="CT39" s="73">
        <v>0</v>
      </c>
      <c r="CU39" s="73"/>
      <c r="CV39" s="84">
        <f t="shared" si="0"/>
        <v>0</v>
      </c>
      <c r="CW39" s="84"/>
      <c r="CX39" s="74"/>
      <c r="CY39" s="74"/>
      <c r="CZ39" s="74"/>
      <c r="DA39" s="74" t="s">
        <v>1351</v>
      </c>
      <c r="DB39" s="74"/>
      <c r="DC39" s="74"/>
      <c r="DD39" s="74"/>
    </row>
    <row r="40" spans="1:108" s="68" customFormat="1" ht="48" customHeight="1" x14ac:dyDescent="0.25">
      <c r="A40" s="74" t="s">
        <v>691</v>
      </c>
      <c r="B40" s="74" t="s">
        <v>154</v>
      </c>
      <c r="C40" s="74" t="s">
        <v>172</v>
      </c>
      <c r="D40" s="74" t="s">
        <v>196</v>
      </c>
      <c r="E40" s="74" t="s">
        <v>309</v>
      </c>
      <c r="F40" s="74" t="s">
        <v>550</v>
      </c>
      <c r="G40" s="74" t="s">
        <v>137</v>
      </c>
      <c r="H40" s="74" t="s">
        <v>137</v>
      </c>
      <c r="I40" s="74" t="s">
        <v>66</v>
      </c>
      <c r="J40" s="74" t="s">
        <v>29</v>
      </c>
      <c r="K40" s="82" t="s">
        <v>137</v>
      </c>
      <c r="L40" s="82" t="s">
        <v>137</v>
      </c>
      <c r="M40" s="82" t="s">
        <v>137</v>
      </c>
      <c r="N40" s="82" t="s">
        <v>137</v>
      </c>
      <c r="O40" s="82" t="s">
        <v>137</v>
      </c>
      <c r="P40" s="82" t="s">
        <v>137</v>
      </c>
      <c r="Q40" s="74" t="s">
        <v>87</v>
      </c>
      <c r="R40" s="74" t="s">
        <v>709</v>
      </c>
      <c r="S40" s="74" t="s">
        <v>40</v>
      </c>
      <c r="T40" s="74" t="s">
        <v>2</v>
      </c>
      <c r="U40" s="75"/>
      <c r="V40" s="75">
        <v>0.05</v>
      </c>
      <c r="W40" s="75">
        <v>0.08</v>
      </c>
      <c r="X40" s="75">
        <v>0.15</v>
      </c>
      <c r="Y40" s="75">
        <v>0.2</v>
      </c>
      <c r="Z40" s="75">
        <v>0.25</v>
      </c>
      <c r="AA40" s="75">
        <v>0.37</v>
      </c>
      <c r="AB40" s="75">
        <v>0.42</v>
      </c>
      <c r="AC40" s="75">
        <v>0.57999999999999996</v>
      </c>
      <c r="AD40" s="75">
        <v>0.67</v>
      </c>
      <c r="AE40" s="75">
        <v>0.83</v>
      </c>
      <c r="AF40" s="75">
        <v>1</v>
      </c>
      <c r="AG40" s="74" t="s">
        <v>772</v>
      </c>
      <c r="AH40" s="74" t="s">
        <v>531</v>
      </c>
      <c r="AI40" s="78" t="s">
        <v>539</v>
      </c>
      <c r="AJ40" s="79" t="s">
        <v>539</v>
      </c>
      <c r="AK40" s="80">
        <v>46023</v>
      </c>
      <c r="AL40" s="80">
        <v>46387</v>
      </c>
      <c r="AM40" s="79"/>
      <c r="AN40" s="79"/>
      <c r="AO40" s="79"/>
      <c r="AP40" s="81" t="s">
        <v>540</v>
      </c>
      <c r="AQ40" s="80" t="str" cm="1">
        <f t="array" ref="AQ40">IFERROR(DATE(2026, _xlfn.AGGREGATE(15, 6, (COLUMN(CI40:CT40)-COLUMN(CI40)+1)/(CI40:CT40&lt;&gt;0), 1), 1),"N/A")</f>
        <v>N/A</v>
      </c>
      <c r="AR40" s="80" t="str" cm="1">
        <f t="array" ref="AR40">IFERROR(EOMONTH(DATE(2026, _xlfn.AGGREGATE(14, 6, (COLUMN(CI40:CT40)-COLUMN(CI40)+1)/(CI40:CT40&lt;&gt;0), 1), 1), 0),"N/A")</f>
        <v>N/A</v>
      </c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4" t="s">
        <v>787</v>
      </c>
      <c r="BG40" s="74" t="s">
        <v>1009</v>
      </c>
      <c r="BH40" s="74" t="s">
        <v>744</v>
      </c>
      <c r="BI40" s="74" t="s">
        <v>137</v>
      </c>
      <c r="BJ40" s="78">
        <v>840107</v>
      </c>
      <c r="BK40" s="82" t="s">
        <v>74</v>
      </c>
      <c r="BL40" s="83">
        <v>60000</v>
      </c>
      <c r="BM40" s="73">
        <v>0</v>
      </c>
      <c r="BN40" s="73">
        <v>0</v>
      </c>
      <c r="BO40" s="84">
        <v>60000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73">
        <v>0</v>
      </c>
      <c r="BW40" s="73">
        <v>0</v>
      </c>
      <c r="BX40" s="73">
        <v>0</v>
      </c>
      <c r="BY40" s="73">
        <v>-60000</v>
      </c>
      <c r="BZ40" s="73"/>
      <c r="CA40" s="73"/>
      <c r="CB40" s="73"/>
      <c r="CC40" s="73"/>
      <c r="CD40" s="73"/>
      <c r="CE40" s="73"/>
      <c r="CF40" s="73"/>
      <c r="CG40" s="73"/>
      <c r="CH40" s="73">
        <f t="shared" si="1"/>
        <v>0</v>
      </c>
      <c r="CI40" s="73"/>
      <c r="CJ40" s="73"/>
      <c r="CK40" s="84">
        <v>0</v>
      </c>
      <c r="CL40" s="73">
        <v>0</v>
      </c>
      <c r="CM40" s="73">
        <v>0</v>
      </c>
      <c r="CN40" s="73">
        <v>0</v>
      </c>
      <c r="CO40" s="73">
        <v>0</v>
      </c>
      <c r="CP40" s="73">
        <v>0</v>
      </c>
      <c r="CQ40" s="73">
        <v>0</v>
      </c>
      <c r="CR40" s="73">
        <v>0</v>
      </c>
      <c r="CS40" s="73">
        <v>0</v>
      </c>
      <c r="CT40" s="73">
        <v>0</v>
      </c>
      <c r="CU40" s="73"/>
      <c r="CV40" s="84">
        <f t="shared" si="0"/>
        <v>0</v>
      </c>
      <c r="CW40" s="84"/>
      <c r="CX40" s="74"/>
      <c r="CY40" s="74"/>
      <c r="CZ40" s="74"/>
      <c r="DA40" s="74" t="s">
        <v>1352</v>
      </c>
      <c r="DB40" s="74"/>
      <c r="DC40" s="74"/>
      <c r="DD40" s="74"/>
    </row>
    <row r="41" spans="1:108" s="68" customFormat="1" ht="57.75" customHeight="1" x14ac:dyDescent="0.25">
      <c r="A41" s="74" t="s">
        <v>691</v>
      </c>
      <c r="B41" s="74" t="s">
        <v>154</v>
      </c>
      <c r="C41" s="74" t="s">
        <v>172</v>
      </c>
      <c r="D41" s="74" t="s">
        <v>196</v>
      </c>
      <c r="E41" s="74" t="s">
        <v>309</v>
      </c>
      <c r="F41" s="74" t="s">
        <v>550</v>
      </c>
      <c r="G41" s="74" t="s">
        <v>137</v>
      </c>
      <c r="H41" s="74" t="s">
        <v>137</v>
      </c>
      <c r="I41" s="74" t="s">
        <v>66</v>
      </c>
      <c r="J41" s="74" t="s">
        <v>29</v>
      </c>
      <c r="K41" s="82" t="s">
        <v>137</v>
      </c>
      <c r="L41" s="82" t="s">
        <v>137</v>
      </c>
      <c r="M41" s="82" t="s">
        <v>137</v>
      </c>
      <c r="N41" s="82" t="s">
        <v>137</v>
      </c>
      <c r="O41" s="82" t="s">
        <v>137</v>
      </c>
      <c r="P41" s="82" t="s">
        <v>137</v>
      </c>
      <c r="Q41" s="74" t="s">
        <v>87</v>
      </c>
      <c r="R41" s="74" t="s">
        <v>709</v>
      </c>
      <c r="S41" s="74" t="s">
        <v>40</v>
      </c>
      <c r="T41" s="74" t="s">
        <v>2</v>
      </c>
      <c r="U41" s="75"/>
      <c r="V41" s="75">
        <v>0.05</v>
      </c>
      <c r="W41" s="75">
        <v>0.08</v>
      </c>
      <c r="X41" s="75">
        <v>0.15</v>
      </c>
      <c r="Y41" s="75">
        <v>0.2</v>
      </c>
      <c r="Z41" s="75">
        <v>0.25</v>
      </c>
      <c r="AA41" s="75">
        <v>0.37</v>
      </c>
      <c r="AB41" s="75">
        <v>0.42</v>
      </c>
      <c r="AC41" s="75">
        <v>0.57999999999999996</v>
      </c>
      <c r="AD41" s="75">
        <v>0.67</v>
      </c>
      <c r="AE41" s="75">
        <v>0.83</v>
      </c>
      <c r="AF41" s="75">
        <v>1</v>
      </c>
      <c r="AG41" s="74" t="s">
        <v>533</v>
      </c>
      <c r="AH41" s="74" t="s">
        <v>530</v>
      </c>
      <c r="AI41" s="78" t="s">
        <v>539</v>
      </c>
      <c r="AJ41" s="79" t="s">
        <v>539</v>
      </c>
      <c r="AK41" s="80">
        <v>46023</v>
      </c>
      <c r="AL41" s="80">
        <v>46387</v>
      </c>
      <c r="AM41" s="79"/>
      <c r="AN41" s="79"/>
      <c r="AO41" s="79"/>
      <c r="AP41" s="81" t="s">
        <v>540</v>
      </c>
      <c r="AQ41" s="80" t="str" cm="1">
        <f t="array" ref="AQ41">IFERROR(DATE(2026, _xlfn.AGGREGATE(15, 6, (COLUMN(CI41:CT41)-COLUMN(CI41)+1)/(CI41:CT41&lt;&gt;0), 1), 1),"N/A")</f>
        <v>N/A</v>
      </c>
      <c r="AR41" s="80" t="str" cm="1">
        <f t="array" ref="AR41">IFERROR(EOMONTH(DATE(2026, _xlfn.AGGREGATE(14, 6, (COLUMN(CI41:CT41)-COLUMN(CI41)+1)/(CI41:CT41&lt;&gt;0), 1), 1), 0),"N/A")</f>
        <v>N/A</v>
      </c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4" t="s">
        <v>784</v>
      </c>
      <c r="BG41" s="74" t="s">
        <v>1009</v>
      </c>
      <c r="BH41" s="74" t="s">
        <v>882</v>
      </c>
      <c r="BI41" s="74" t="s">
        <v>137</v>
      </c>
      <c r="BJ41" s="78">
        <v>530702</v>
      </c>
      <c r="BK41" s="82" t="s">
        <v>74</v>
      </c>
      <c r="BL41" s="83">
        <v>30000</v>
      </c>
      <c r="BM41" s="73">
        <v>0</v>
      </c>
      <c r="BN41" s="73">
        <v>0</v>
      </c>
      <c r="BO41" s="73">
        <v>0</v>
      </c>
      <c r="BP41" s="73">
        <v>0</v>
      </c>
      <c r="BQ41" s="73">
        <v>0</v>
      </c>
      <c r="BR41" s="73">
        <v>0</v>
      </c>
      <c r="BS41" s="73">
        <v>0</v>
      </c>
      <c r="BT41" s="73">
        <v>0</v>
      </c>
      <c r="BU41" s="73">
        <v>0</v>
      </c>
      <c r="BV41" s="84">
        <v>30000</v>
      </c>
      <c r="BW41" s="73">
        <v>0</v>
      </c>
      <c r="BX41" s="73">
        <v>0</v>
      </c>
      <c r="BY41" s="73">
        <v>-30000</v>
      </c>
      <c r="BZ41" s="73"/>
      <c r="CA41" s="73"/>
      <c r="CB41" s="73"/>
      <c r="CC41" s="73"/>
      <c r="CD41" s="73"/>
      <c r="CE41" s="73"/>
      <c r="CF41" s="73"/>
      <c r="CG41" s="73"/>
      <c r="CH41" s="73">
        <f t="shared" si="1"/>
        <v>0</v>
      </c>
      <c r="CI41" s="73"/>
      <c r="CJ41" s="73"/>
      <c r="CK41" s="72">
        <v>0</v>
      </c>
      <c r="CL41" s="73">
        <v>0</v>
      </c>
      <c r="CM41" s="73">
        <v>0</v>
      </c>
      <c r="CN41" s="73">
        <v>0</v>
      </c>
      <c r="CO41" s="73">
        <v>0</v>
      </c>
      <c r="CP41" s="73">
        <v>0</v>
      </c>
      <c r="CQ41" s="73">
        <v>0</v>
      </c>
      <c r="CR41" s="84">
        <v>0</v>
      </c>
      <c r="CS41" s="73">
        <v>0</v>
      </c>
      <c r="CT41" s="73">
        <v>0</v>
      </c>
      <c r="CU41" s="73"/>
      <c r="CV41" s="84">
        <f t="shared" si="0"/>
        <v>0</v>
      </c>
      <c r="CW41" s="84"/>
      <c r="CX41" s="74"/>
      <c r="CY41" s="74"/>
      <c r="CZ41" s="74"/>
      <c r="DA41" s="74" t="s">
        <v>1353</v>
      </c>
      <c r="DB41" s="74"/>
      <c r="DC41" s="74"/>
      <c r="DD41" s="74"/>
    </row>
    <row r="42" spans="1:108" s="68" customFormat="1" ht="15" customHeight="1" x14ac:dyDescent="0.25">
      <c r="A42" s="74" t="s">
        <v>691</v>
      </c>
      <c r="B42" s="74" t="s">
        <v>154</v>
      </c>
      <c r="C42" s="74" t="s">
        <v>172</v>
      </c>
      <c r="D42" s="74" t="s">
        <v>196</v>
      </c>
      <c r="E42" s="74" t="s">
        <v>309</v>
      </c>
      <c r="F42" s="74" t="s">
        <v>550</v>
      </c>
      <c r="G42" s="74" t="s">
        <v>137</v>
      </c>
      <c r="H42" s="74" t="s">
        <v>137</v>
      </c>
      <c r="I42" s="74" t="s">
        <v>66</v>
      </c>
      <c r="J42" s="74" t="s">
        <v>29</v>
      </c>
      <c r="K42" s="82" t="s">
        <v>137</v>
      </c>
      <c r="L42" s="82" t="s">
        <v>137</v>
      </c>
      <c r="M42" s="82" t="s">
        <v>137</v>
      </c>
      <c r="N42" s="82" t="s">
        <v>137</v>
      </c>
      <c r="O42" s="82" t="s">
        <v>137</v>
      </c>
      <c r="P42" s="82" t="s">
        <v>137</v>
      </c>
      <c r="Q42" s="74" t="s">
        <v>87</v>
      </c>
      <c r="R42" s="74" t="s">
        <v>709</v>
      </c>
      <c r="S42" s="74" t="s">
        <v>40</v>
      </c>
      <c r="T42" s="74" t="s">
        <v>2</v>
      </c>
      <c r="U42" s="75"/>
      <c r="V42" s="75">
        <v>0.05</v>
      </c>
      <c r="W42" s="75">
        <v>0.08</v>
      </c>
      <c r="X42" s="75">
        <v>0.15</v>
      </c>
      <c r="Y42" s="75">
        <v>0.2</v>
      </c>
      <c r="Z42" s="75">
        <v>0.25</v>
      </c>
      <c r="AA42" s="75">
        <v>0.37</v>
      </c>
      <c r="AB42" s="75">
        <v>0.42</v>
      </c>
      <c r="AC42" s="75">
        <v>0.57999999999999996</v>
      </c>
      <c r="AD42" s="75">
        <v>0.67</v>
      </c>
      <c r="AE42" s="75">
        <v>0.83</v>
      </c>
      <c r="AF42" s="75">
        <v>1</v>
      </c>
      <c r="AG42" s="74" t="s">
        <v>533</v>
      </c>
      <c r="AH42" s="74" t="s">
        <v>530</v>
      </c>
      <c r="AI42" s="78" t="s">
        <v>539</v>
      </c>
      <c r="AJ42" s="79" t="s">
        <v>539</v>
      </c>
      <c r="AK42" s="80">
        <v>46023</v>
      </c>
      <c r="AL42" s="80">
        <v>46387</v>
      </c>
      <c r="AM42" s="79"/>
      <c r="AN42" s="79"/>
      <c r="AO42" s="79"/>
      <c r="AP42" s="81" t="s">
        <v>540</v>
      </c>
      <c r="AQ42" s="80" t="str" cm="1">
        <f t="array" ref="AQ42">IFERROR(DATE(2026, _xlfn.AGGREGATE(15, 6, (COLUMN(CI42:CT42)-COLUMN(CI42)+1)/(CI42:CT42&lt;&gt;0), 1), 1),"N/A")</f>
        <v>N/A</v>
      </c>
      <c r="AR42" s="80" t="str" cm="1">
        <f t="array" ref="AR42">IFERROR(EOMONTH(DATE(2026, _xlfn.AGGREGATE(14, 6, (COLUMN(CI42:CT42)-COLUMN(CI42)+1)/(CI42:CT42&lt;&gt;0), 1), 1), 0),"N/A")</f>
        <v>N/A</v>
      </c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4" t="s">
        <v>784</v>
      </c>
      <c r="BG42" s="74" t="s">
        <v>1009</v>
      </c>
      <c r="BH42" s="74" t="s">
        <v>883</v>
      </c>
      <c r="BI42" s="74" t="s">
        <v>137</v>
      </c>
      <c r="BJ42" s="78">
        <v>840107</v>
      </c>
      <c r="BK42" s="82" t="s">
        <v>74</v>
      </c>
      <c r="BL42" s="83">
        <v>8492.18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73">
        <v>0</v>
      </c>
      <c r="BU42" s="73">
        <v>0</v>
      </c>
      <c r="BV42" s="84">
        <v>8492.18</v>
      </c>
      <c r="BW42" s="73">
        <v>0</v>
      </c>
      <c r="BX42" s="73">
        <v>0</v>
      </c>
      <c r="BY42" s="73">
        <v>-8492.18</v>
      </c>
      <c r="BZ42" s="73"/>
      <c r="CA42" s="73"/>
      <c r="CB42" s="73"/>
      <c r="CC42" s="73"/>
      <c r="CD42" s="73"/>
      <c r="CE42" s="73"/>
      <c r="CF42" s="73"/>
      <c r="CG42" s="73"/>
      <c r="CH42" s="73">
        <f t="shared" si="1"/>
        <v>0</v>
      </c>
      <c r="CI42" s="73"/>
      <c r="CJ42" s="73"/>
      <c r="CK42" s="72">
        <v>0</v>
      </c>
      <c r="CL42" s="73">
        <v>0</v>
      </c>
      <c r="CM42" s="73">
        <v>0</v>
      </c>
      <c r="CN42" s="73">
        <v>0</v>
      </c>
      <c r="CO42" s="73">
        <v>0</v>
      </c>
      <c r="CP42" s="73">
        <v>0</v>
      </c>
      <c r="CQ42" s="73">
        <v>0</v>
      </c>
      <c r="CR42" s="84">
        <v>0</v>
      </c>
      <c r="CS42" s="73">
        <v>0</v>
      </c>
      <c r="CT42" s="73">
        <v>0</v>
      </c>
      <c r="CU42" s="73"/>
      <c r="CV42" s="84">
        <f t="shared" si="0"/>
        <v>0</v>
      </c>
      <c r="CW42" s="84"/>
      <c r="CX42" s="74"/>
      <c r="CY42" s="74"/>
      <c r="CZ42" s="74"/>
      <c r="DA42" s="74"/>
      <c r="DB42" s="74"/>
      <c r="DC42" s="74"/>
      <c r="DD42" s="74"/>
    </row>
    <row r="43" spans="1:108" s="68" customFormat="1" ht="15" customHeight="1" x14ac:dyDescent="0.25">
      <c r="A43" s="74" t="s">
        <v>691</v>
      </c>
      <c r="B43" s="74" t="s">
        <v>154</v>
      </c>
      <c r="C43" s="74" t="s">
        <v>172</v>
      </c>
      <c r="D43" s="74" t="s">
        <v>196</v>
      </c>
      <c r="E43" s="74" t="s">
        <v>309</v>
      </c>
      <c r="F43" s="74" t="s">
        <v>550</v>
      </c>
      <c r="G43" s="74" t="s">
        <v>137</v>
      </c>
      <c r="H43" s="74" t="s">
        <v>137</v>
      </c>
      <c r="I43" s="74" t="s">
        <v>66</v>
      </c>
      <c r="J43" s="74" t="s">
        <v>29</v>
      </c>
      <c r="K43" s="82" t="s">
        <v>137</v>
      </c>
      <c r="L43" s="82" t="s">
        <v>137</v>
      </c>
      <c r="M43" s="82" t="s">
        <v>137</v>
      </c>
      <c r="N43" s="82" t="s">
        <v>137</v>
      </c>
      <c r="O43" s="82" t="s">
        <v>137</v>
      </c>
      <c r="P43" s="82" t="s">
        <v>137</v>
      </c>
      <c r="Q43" s="74" t="s">
        <v>87</v>
      </c>
      <c r="R43" s="74" t="s">
        <v>709</v>
      </c>
      <c r="S43" s="74" t="s">
        <v>40</v>
      </c>
      <c r="T43" s="74" t="s">
        <v>2</v>
      </c>
      <c r="U43" s="75"/>
      <c r="V43" s="75">
        <v>0.05</v>
      </c>
      <c r="W43" s="75">
        <v>0.08</v>
      </c>
      <c r="X43" s="75">
        <v>0.15</v>
      </c>
      <c r="Y43" s="75">
        <v>0.2</v>
      </c>
      <c r="Z43" s="75">
        <v>0.25</v>
      </c>
      <c r="AA43" s="75">
        <v>0.37</v>
      </c>
      <c r="AB43" s="75">
        <v>0.42</v>
      </c>
      <c r="AC43" s="75">
        <v>0.57999999999999996</v>
      </c>
      <c r="AD43" s="75">
        <v>0.67</v>
      </c>
      <c r="AE43" s="75">
        <v>0.83</v>
      </c>
      <c r="AF43" s="75">
        <v>1</v>
      </c>
      <c r="AG43" s="74" t="s">
        <v>533</v>
      </c>
      <c r="AH43" s="74" t="s">
        <v>530</v>
      </c>
      <c r="AI43" s="78" t="s">
        <v>539</v>
      </c>
      <c r="AJ43" s="79" t="s">
        <v>539</v>
      </c>
      <c r="AK43" s="80">
        <v>46023</v>
      </c>
      <c r="AL43" s="80">
        <v>46387</v>
      </c>
      <c r="AM43" s="79"/>
      <c r="AN43" s="79"/>
      <c r="AO43" s="79"/>
      <c r="AP43" s="81" t="s">
        <v>540</v>
      </c>
      <c r="AQ43" s="80" t="str" cm="1">
        <f t="array" ref="AQ43">IFERROR(DATE(2026, _xlfn.AGGREGATE(15, 6, (COLUMN(CI43:CT43)-COLUMN(CI43)+1)/(CI43:CT43&lt;&gt;0), 1), 1),"N/A")</f>
        <v>N/A</v>
      </c>
      <c r="AR43" s="80" t="str" cm="1">
        <f t="array" ref="AR43">IFERROR(EOMONTH(DATE(2026, _xlfn.AGGREGATE(14, 6, (COLUMN(CI43:CT43)-COLUMN(CI43)+1)/(CI43:CT43&lt;&gt;0), 1), 1), 0),"N/A")</f>
        <v>N/A</v>
      </c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4" t="s">
        <v>653</v>
      </c>
      <c r="BG43" s="74" t="s">
        <v>1009</v>
      </c>
      <c r="BH43" s="74" t="s">
        <v>884</v>
      </c>
      <c r="BI43" s="74" t="s">
        <v>137</v>
      </c>
      <c r="BJ43" s="78">
        <v>840107</v>
      </c>
      <c r="BK43" s="82" t="s">
        <v>74</v>
      </c>
      <c r="BL43" s="83">
        <v>17000</v>
      </c>
      <c r="BM43" s="73">
        <v>0</v>
      </c>
      <c r="BN43" s="73">
        <v>0</v>
      </c>
      <c r="BO43" s="73">
        <v>0</v>
      </c>
      <c r="BP43" s="73">
        <v>0</v>
      </c>
      <c r="BQ43" s="73">
        <v>0</v>
      </c>
      <c r="BR43" s="73">
        <v>0</v>
      </c>
      <c r="BS43" s="84">
        <v>17000</v>
      </c>
      <c r="BT43" s="73">
        <v>0</v>
      </c>
      <c r="BU43" s="73">
        <v>0</v>
      </c>
      <c r="BV43" s="73">
        <v>0</v>
      </c>
      <c r="BW43" s="73">
        <v>0</v>
      </c>
      <c r="BX43" s="73">
        <v>0</v>
      </c>
      <c r="BY43" s="73"/>
      <c r="BZ43" s="73">
        <v>-17000</v>
      </c>
      <c r="CA43" s="73"/>
      <c r="CB43" s="73"/>
      <c r="CC43" s="73"/>
      <c r="CD43" s="73"/>
      <c r="CE43" s="73"/>
      <c r="CF43" s="73"/>
      <c r="CG43" s="73"/>
      <c r="CH43" s="73">
        <f t="shared" si="1"/>
        <v>0</v>
      </c>
      <c r="CI43" s="73"/>
      <c r="CJ43" s="73"/>
      <c r="CK43" s="72">
        <v>0</v>
      </c>
      <c r="CL43" s="73">
        <v>0</v>
      </c>
      <c r="CM43" s="73">
        <v>0</v>
      </c>
      <c r="CN43" s="73">
        <v>0</v>
      </c>
      <c r="CO43" s="84">
        <v>0</v>
      </c>
      <c r="CP43" s="73">
        <v>0</v>
      </c>
      <c r="CQ43" s="73">
        <v>0</v>
      </c>
      <c r="CR43" s="73">
        <v>0</v>
      </c>
      <c r="CS43" s="73">
        <v>0</v>
      </c>
      <c r="CT43" s="73">
        <v>0</v>
      </c>
      <c r="CU43" s="73"/>
      <c r="CV43" s="84">
        <f t="shared" si="0"/>
        <v>0</v>
      </c>
      <c r="CW43" s="84"/>
      <c r="CX43" s="74"/>
      <c r="CY43" s="74"/>
      <c r="CZ43" s="74"/>
      <c r="DA43" s="74"/>
      <c r="DB43" s="74"/>
      <c r="DC43" s="74"/>
      <c r="DD43" s="74"/>
    </row>
    <row r="44" spans="1:108" s="68" customFormat="1" ht="15" hidden="1" customHeight="1" x14ac:dyDescent="0.25">
      <c r="A44" s="74" t="s">
        <v>690</v>
      </c>
      <c r="B44" s="74" t="s">
        <v>154</v>
      </c>
      <c r="C44" s="74" t="s">
        <v>172</v>
      </c>
      <c r="D44" s="74" t="s">
        <v>196</v>
      </c>
      <c r="E44" s="74" t="s">
        <v>309</v>
      </c>
      <c r="F44" s="74" t="s">
        <v>550</v>
      </c>
      <c r="G44" s="74" t="s">
        <v>137</v>
      </c>
      <c r="H44" s="74" t="s">
        <v>137</v>
      </c>
      <c r="I44" s="74" t="s">
        <v>66</v>
      </c>
      <c r="J44" s="74" t="s">
        <v>29</v>
      </c>
      <c r="K44" s="82" t="s">
        <v>137</v>
      </c>
      <c r="L44" s="82" t="s">
        <v>137</v>
      </c>
      <c r="M44" s="82" t="s">
        <v>137</v>
      </c>
      <c r="N44" s="82" t="s">
        <v>137</v>
      </c>
      <c r="O44" s="82" t="s">
        <v>137</v>
      </c>
      <c r="P44" s="82" t="s">
        <v>137</v>
      </c>
      <c r="Q44" s="74" t="s">
        <v>87</v>
      </c>
      <c r="R44" s="74" t="s">
        <v>709</v>
      </c>
      <c r="S44" s="74" t="s">
        <v>40</v>
      </c>
      <c r="T44" s="74" t="s">
        <v>2</v>
      </c>
      <c r="U44" s="75"/>
      <c r="V44" s="75">
        <v>0.05</v>
      </c>
      <c r="W44" s="75">
        <v>0.08</v>
      </c>
      <c r="X44" s="75">
        <v>0.15</v>
      </c>
      <c r="Y44" s="75">
        <v>0.2</v>
      </c>
      <c r="Z44" s="75">
        <v>0.25</v>
      </c>
      <c r="AA44" s="75">
        <v>0.37</v>
      </c>
      <c r="AB44" s="75">
        <v>0.42</v>
      </c>
      <c r="AC44" s="75">
        <v>0.57999999999999996</v>
      </c>
      <c r="AD44" s="75">
        <v>0.67</v>
      </c>
      <c r="AE44" s="75">
        <v>0.83</v>
      </c>
      <c r="AF44" s="75">
        <v>1</v>
      </c>
      <c r="AG44" s="74" t="s">
        <v>533</v>
      </c>
      <c r="AH44" s="74" t="s">
        <v>530</v>
      </c>
      <c r="AI44" s="78" t="s">
        <v>539</v>
      </c>
      <c r="AJ44" s="79" t="s">
        <v>539</v>
      </c>
      <c r="AK44" s="80">
        <v>46023</v>
      </c>
      <c r="AL44" s="80">
        <v>46387</v>
      </c>
      <c r="AM44" s="79"/>
      <c r="AN44" s="79"/>
      <c r="AO44" s="79"/>
      <c r="AP44" s="81" t="s">
        <v>540</v>
      </c>
      <c r="AQ44" s="80" t="str" cm="1">
        <f t="array" ref="AQ44">IFERROR(DATE(2026, _xlfn.AGGREGATE(15, 6, (COLUMN(CI44:CT44)-COLUMN(CI44)+1)/(CI44:CT44&lt;&gt;0), 1), 1),"N/A")</f>
        <v>N/A</v>
      </c>
      <c r="AR44" s="80" t="str" cm="1">
        <f t="array" ref="AR44">IFERROR(EOMONTH(DATE(2026, _xlfn.AGGREGATE(14, 6, (COLUMN(CI44:CT44)-COLUMN(CI44)+1)/(CI44:CT44&lt;&gt;0), 1), 1), 0),"N/A")</f>
        <v>N/A</v>
      </c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4" t="s">
        <v>641</v>
      </c>
      <c r="BG44" s="74"/>
      <c r="BH44" s="74" t="s">
        <v>808</v>
      </c>
      <c r="BI44" s="74" t="s">
        <v>137</v>
      </c>
      <c r="BJ44" s="78">
        <v>530807</v>
      </c>
      <c r="BK44" s="82" t="s">
        <v>74</v>
      </c>
      <c r="BL44" s="83">
        <v>10000</v>
      </c>
      <c r="BM44" s="73">
        <v>0</v>
      </c>
      <c r="BN44" s="73">
        <v>0</v>
      </c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0</v>
      </c>
      <c r="BU44" s="73">
        <v>0</v>
      </c>
      <c r="BV44" s="84">
        <v>10000</v>
      </c>
      <c r="BW44" s="73">
        <v>0</v>
      </c>
      <c r="BX44" s="73">
        <v>0</v>
      </c>
      <c r="BY44" s="73"/>
      <c r="BZ44" s="73"/>
      <c r="CA44" s="73">
        <v>-10000</v>
      </c>
      <c r="CB44" s="73"/>
      <c r="CC44" s="73"/>
      <c r="CD44" s="73"/>
      <c r="CE44" s="73"/>
      <c r="CF44" s="73"/>
      <c r="CG44" s="73"/>
      <c r="CH44" s="73">
        <f t="shared" si="1"/>
        <v>0</v>
      </c>
      <c r="CI44" s="73"/>
      <c r="CJ44" s="73"/>
      <c r="CK44" s="72">
        <v>0</v>
      </c>
      <c r="CL44" s="73">
        <v>0</v>
      </c>
      <c r="CM44" s="73">
        <v>0</v>
      </c>
      <c r="CN44" s="73">
        <v>0</v>
      </c>
      <c r="CO44" s="73">
        <v>0</v>
      </c>
      <c r="CP44" s="73">
        <v>0</v>
      </c>
      <c r="CQ44" s="73">
        <v>0</v>
      </c>
      <c r="CR44" s="84">
        <v>0</v>
      </c>
      <c r="CS44" s="73">
        <v>0</v>
      </c>
      <c r="CT44" s="73">
        <v>0</v>
      </c>
      <c r="CU44" s="73"/>
      <c r="CV44" s="84">
        <f t="shared" si="0"/>
        <v>0</v>
      </c>
      <c r="CW44" s="84"/>
      <c r="CX44" s="74"/>
      <c r="CY44" s="74"/>
      <c r="CZ44" s="74"/>
      <c r="DA44" s="74"/>
      <c r="DB44" s="74"/>
      <c r="DC44" s="74"/>
      <c r="DD44" s="74"/>
    </row>
    <row r="45" spans="1:108" s="68" customFormat="1" ht="15" hidden="1" customHeight="1" x14ac:dyDescent="0.25">
      <c r="A45" s="74" t="s">
        <v>689</v>
      </c>
      <c r="B45" s="74" t="s">
        <v>154</v>
      </c>
      <c r="C45" s="74" t="s">
        <v>172</v>
      </c>
      <c r="D45" s="74" t="s">
        <v>196</v>
      </c>
      <c r="E45" s="74" t="s">
        <v>309</v>
      </c>
      <c r="F45" s="74" t="s">
        <v>550</v>
      </c>
      <c r="G45" s="74" t="s">
        <v>137</v>
      </c>
      <c r="H45" s="74" t="s">
        <v>137</v>
      </c>
      <c r="I45" s="74" t="s">
        <v>66</v>
      </c>
      <c r="J45" s="74" t="s">
        <v>29</v>
      </c>
      <c r="K45" s="82" t="s">
        <v>137</v>
      </c>
      <c r="L45" s="82" t="s">
        <v>137</v>
      </c>
      <c r="M45" s="82" t="s">
        <v>137</v>
      </c>
      <c r="N45" s="82" t="s">
        <v>137</v>
      </c>
      <c r="O45" s="82" t="s">
        <v>137</v>
      </c>
      <c r="P45" s="82" t="s">
        <v>137</v>
      </c>
      <c r="Q45" s="74" t="s">
        <v>87</v>
      </c>
      <c r="R45" s="74" t="s">
        <v>709</v>
      </c>
      <c r="S45" s="74" t="s">
        <v>40</v>
      </c>
      <c r="T45" s="74" t="s">
        <v>2</v>
      </c>
      <c r="U45" s="75"/>
      <c r="V45" s="75">
        <v>0.05</v>
      </c>
      <c r="W45" s="75">
        <v>0.08</v>
      </c>
      <c r="X45" s="75">
        <v>0.15</v>
      </c>
      <c r="Y45" s="75">
        <v>0.2</v>
      </c>
      <c r="Z45" s="75">
        <v>0.25</v>
      </c>
      <c r="AA45" s="75">
        <v>0.37</v>
      </c>
      <c r="AB45" s="75">
        <v>0.42</v>
      </c>
      <c r="AC45" s="75">
        <v>0.57999999999999996</v>
      </c>
      <c r="AD45" s="75">
        <v>0.67</v>
      </c>
      <c r="AE45" s="75">
        <v>0.83</v>
      </c>
      <c r="AF45" s="75">
        <v>1</v>
      </c>
      <c r="AG45" s="74" t="s">
        <v>533</v>
      </c>
      <c r="AH45" s="74" t="s">
        <v>530</v>
      </c>
      <c r="AI45" s="78" t="s">
        <v>539</v>
      </c>
      <c r="AJ45" s="79" t="s">
        <v>539</v>
      </c>
      <c r="AK45" s="80">
        <v>46023</v>
      </c>
      <c r="AL45" s="80">
        <v>46387</v>
      </c>
      <c r="AM45" s="79"/>
      <c r="AN45" s="79"/>
      <c r="AO45" s="79"/>
      <c r="AP45" s="81" t="s">
        <v>540</v>
      </c>
      <c r="AQ45" s="80" cm="1">
        <f t="array" ref="AQ45">IFERROR(DATE(2026, _xlfn.AGGREGATE(15, 6, (COLUMN(CI45:CT45)-COLUMN(CI45)+1)/(CI45:CT45&lt;&gt;0), 1), 1),"N/A")</f>
        <v>46023</v>
      </c>
      <c r="AR45" s="80" cm="1">
        <f t="array" ref="AR45">IFERROR(EOMONTH(DATE(2026, _xlfn.AGGREGATE(14, 6, (COLUMN(CI45:CT45)-COLUMN(CI45)+1)/(CI45:CT45&lt;&gt;0), 1), 1), 0),"N/A")</f>
        <v>46387</v>
      </c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4" t="s">
        <v>636</v>
      </c>
      <c r="BG45" s="74"/>
      <c r="BH45" s="74" t="s">
        <v>858</v>
      </c>
      <c r="BI45" s="74" t="s">
        <v>137</v>
      </c>
      <c r="BJ45" s="78">
        <v>530210</v>
      </c>
      <c r="BK45" s="82" t="s">
        <v>74</v>
      </c>
      <c r="BL45" s="83">
        <v>7800</v>
      </c>
      <c r="BM45" s="84">
        <v>650</v>
      </c>
      <c r="BN45" s="84">
        <v>650</v>
      </c>
      <c r="BO45" s="84">
        <v>650</v>
      </c>
      <c r="BP45" s="72">
        <v>650</v>
      </c>
      <c r="BQ45" s="84">
        <v>650</v>
      </c>
      <c r="BR45" s="84">
        <v>650</v>
      </c>
      <c r="BS45" s="84">
        <v>650</v>
      </c>
      <c r="BT45" s="84">
        <v>650</v>
      </c>
      <c r="BU45" s="84">
        <v>650</v>
      </c>
      <c r="BV45" s="84">
        <v>650</v>
      </c>
      <c r="BW45" s="84">
        <v>650</v>
      </c>
      <c r="BX45" s="84">
        <v>650</v>
      </c>
      <c r="BY45" s="84"/>
      <c r="BZ45" s="84"/>
      <c r="CA45" s="84">
        <v>-1729.68</v>
      </c>
      <c r="CB45" s="84"/>
      <c r="CC45" s="84"/>
      <c r="CD45" s="84"/>
      <c r="CE45" s="84"/>
      <c r="CF45" s="84"/>
      <c r="CG45" s="84"/>
      <c r="CH45" s="73">
        <f t="shared" si="1"/>
        <v>6070.32</v>
      </c>
      <c r="CI45" s="84">
        <v>431.16</v>
      </c>
      <c r="CJ45" s="84">
        <v>448.08</v>
      </c>
      <c r="CK45" s="84">
        <v>448.08</v>
      </c>
      <c r="CL45" s="72">
        <v>465</v>
      </c>
      <c r="CM45" s="84">
        <v>465</v>
      </c>
      <c r="CN45" s="84">
        <v>465</v>
      </c>
      <c r="CO45" s="84">
        <v>558</v>
      </c>
      <c r="CP45" s="84">
        <v>558</v>
      </c>
      <c r="CQ45" s="84">
        <v>558</v>
      </c>
      <c r="CR45" s="84">
        <v>558</v>
      </c>
      <c r="CS45" s="84">
        <v>558</v>
      </c>
      <c r="CT45" s="84">
        <v>558</v>
      </c>
      <c r="CU45" s="84"/>
      <c r="CV45" s="84">
        <f t="shared" si="0"/>
        <v>0</v>
      </c>
      <c r="CW45" s="84"/>
      <c r="CX45" s="74"/>
      <c r="CY45" s="74"/>
      <c r="CZ45" s="74"/>
      <c r="DA45" s="74"/>
      <c r="DB45" s="74"/>
      <c r="DC45" s="74"/>
      <c r="DD45" s="74"/>
    </row>
    <row r="46" spans="1:108" s="423" customFormat="1" ht="15" hidden="1" customHeight="1" x14ac:dyDescent="0.25">
      <c r="A46" s="418" t="s">
        <v>690</v>
      </c>
      <c r="B46" s="74" t="s">
        <v>154</v>
      </c>
      <c r="C46" s="74" t="s">
        <v>172</v>
      </c>
      <c r="D46" s="74" t="s">
        <v>196</v>
      </c>
      <c r="E46" s="74" t="s">
        <v>309</v>
      </c>
      <c r="F46" s="74" t="s">
        <v>550</v>
      </c>
      <c r="G46" s="74" t="s">
        <v>137</v>
      </c>
      <c r="H46" s="74" t="s">
        <v>137</v>
      </c>
      <c r="I46" s="74" t="s">
        <v>66</v>
      </c>
      <c r="J46" s="74" t="s">
        <v>29</v>
      </c>
      <c r="K46" s="82" t="s">
        <v>137</v>
      </c>
      <c r="L46" s="82" t="s">
        <v>137</v>
      </c>
      <c r="M46" s="82" t="s">
        <v>137</v>
      </c>
      <c r="N46" s="82" t="s">
        <v>137</v>
      </c>
      <c r="O46" s="82" t="s">
        <v>137</v>
      </c>
      <c r="P46" s="82" t="s">
        <v>137</v>
      </c>
      <c r="Q46" s="74" t="s">
        <v>87</v>
      </c>
      <c r="R46" s="74" t="s">
        <v>709</v>
      </c>
      <c r="S46" s="74" t="s">
        <v>40</v>
      </c>
      <c r="T46" s="74" t="s">
        <v>2</v>
      </c>
      <c r="U46" s="75"/>
      <c r="V46" s="75">
        <v>0.05</v>
      </c>
      <c r="W46" s="75">
        <v>0.08</v>
      </c>
      <c r="X46" s="75">
        <v>0.15</v>
      </c>
      <c r="Y46" s="75">
        <v>0.2</v>
      </c>
      <c r="Z46" s="75">
        <v>0.25</v>
      </c>
      <c r="AA46" s="75">
        <v>0.37</v>
      </c>
      <c r="AB46" s="75">
        <v>0.42</v>
      </c>
      <c r="AC46" s="75">
        <v>0.57999999999999996</v>
      </c>
      <c r="AD46" s="75">
        <v>0.67</v>
      </c>
      <c r="AE46" s="75">
        <v>0.83</v>
      </c>
      <c r="AF46" s="75">
        <v>1</v>
      </c>
      <c r="AG46" s="74" t="s">
        <v>533</v>
      </c>
      <c r="AH46" s="74" t="s">
        <v>530</v>
      </c>
      <c r="AI46" s="78" t="s">
        <v>539</v>
      </c>
      <c r="AJ46" s="79" t="s">
        <v>539</v>
      </c>
      <c r="AK46" s="80">
        <v>46023</v>
      </c>
      <c r="AL46" s="80">
        <v>46387</v>
      </c>
      <c r="AM46" s="79"/>
      <c r="AN46" s="79"/>
      <c r="AO46" s="79"/>
      <c r="AP46" s="81" t="s">
        <v>540</v>
      </c>
      <c r="AQ46" s="80" cm="1">
        <f t="array" ref="AQ46">IFERROR(DATE(2026, _xlfn.AGGREGATE(15, 6, (COLUMN(CI46:CT46)-COLUMN(CI46)+1)/(CI46:CT46&lt;&gt;0), 1), 1),"N/A")</f>
        <v>46357</v>
      </c>
      <c r="AR46" s="80" cm="1">
        <f t="array" ref="AR46">IFERROR(EOMONTH(DATE(2026, _xlfn.AGGREGATE(14, 6, (COLUMN(CI46:CT46)-COLUMN(CI46)+1)/(CI46:CT46&lt;&gt;0), 1), 1), 0),"N/A")</f>
        <v>46387</v>
      </c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418" t="s">
        <v>724</v>
      </c>
      <c r="BG46" s="74"/>
      <c r="BH46" s="418" t="s">
        <v>827</v>
      </c>
      <c r="BI46" s="74" t="s">
        <v>137</v>
      </c>
      <c r="BJ46" s="419">
        <v>530204</v>
      </c>
      <c r="BK46" s="420" t="s">
        <v>74</v>
      </c>
      <c r="BL46" s="83">
        <v>1000</v>
      </c>
      <c r="BM46" s="73">
        <v>0</v>
      </c>
      <c r="BN46" s="73">
        <v>0</v>
      </c>
      <c r="BO46" s="73">
        <v>0</v>
      </c>
      <c r="BP46" s="73">
        <v>0</v>
      </c>
      <c r="BQ46" s="73">
        <v>0</v>
      </c>
      <c r="BR46" s="73">
        <v>0</v>
      </c>
      <c r="BS46" s="73">
        <v>0</v>
      </c>
      <c r="BT46" s="73">
        <v>0</v>
      </c>
      <c r="BU46" s="73">
        <v>0</v>
      </c>
      <c r="BV46" s="73">
        <v>0</v>
      </c>
      <c r="BW46" s="73">
        <v>0</v>
      </c>
      <c r="BX46" s="84">
        <v>1000</v>
      </c>
      <c r="BY46" s="84"/>
      <c r="BZ46" s="84"/>
      <c r="CA46" s="84"/>
      <c r="CB46" s="84"/>
      <c r="CC46" s="84"/>
      <c r="CD46" s="84"/>
      <c r="CE46" s="84"/>
      <c r="CF46" s="84"/>
      <c r="CG46" s="84"/>
      <c r="CH46" s="421">
        <f t="shared" si="1"/>
        <v>1000</v>
      </c>
      <c r="CI46" s="73"/>
      <c r="CJ46" s="73"/>
      <c r="CK46" s="72">
        <v>0</v>
      </c>
      <c r="CL46" s="73">
        <v>0</v>
      </c>
      <c r="CM46" s="73">
        <v>0</v>
      </c>
      <c r="CN46" s="73">
        <v>0</v>
      </c>
      <c r="CO46" s="73">
        <v>0</v>
      </c>
      <c r="CP46" s="73">
        <v>0</v>
      </c>
      <c r="CQ46" s="73">
        <v>0</v>
      </c>
      <c r="CR46" s="73">
        <v>0</v>
      </c>
      <c r="CS46" s="73">
        <v>0</v>
      </c>
      <c r="CT46" s="422">
        <v>1000</v>
      </c>
      <c r="CU46" s="422"/>
      <c r="CV46" s="422">
        <f t="shared" si="0"/>
        <v>0</v>
      </c>
      <c r="CW46" s="422"/>
      <c r="CX46" s="418"/>
      <c r="CY46" s="418"/>
      <c r="CZ46" s="418"/>
      <c r="DA46" s="418"/>
      <c r="DB46" s="418"/>
      <c r="DC46" s="418"/>
      <c r="DD46" s="418"/>
    </row>
    <row r="47" spans="1:108" s="423" customFormat="1" ht="15" hidden="1" customHeight="1" x14ac:dyDescent="0.25">
      <c r="A47" s="418" t="s">
        <v>690</v>
      </c>
      <c r="B47" s="74" t="s">
        <v>154</v>
      </c>
      <c r="C47" s="74" t="s">
        <v>172</v>
      </c>
      <c r="D47" s="74" t="s">
        <v>196</v>
      </c>
      <c r="E47" s="74" t="s">
        <v>309</v>
      </c>
      <c r="F47" s="74" t="s">
        <v>550</v>
      </c>
      <c r="G47" s="74" t="s">
        <v>137</v>
      </c>
      <c r="H47" s="74" t="s">
        <v>137</v>
      </c>
      <c r="I47" s="74" t="s">
        <v>66</v>
      </c>
      <c r="J47" s="74" t="s">
        <v>29</v>
      </c>
      <c r="K47" s="82" t="s">
        <v>137</v>
      </c>
      <c r="L47" s="82" t="s">
        <v>137</v>
      </c>
      <c r="M47" s="82" t="s">
        <v>137</v>
      </c>
      <c r="N47" s="82" t="s">
        <v>137</v>
      </c>
      <c r="O47" s="82" t="s">
        <v>137</v>
      </c>
      <c r="P47" s="82" t="s">
        <v>137</v>
      </c>
      <c r="Q47" s="74" t="s">
        <v>87</v>
      </c>
      <c r="R47" s="74" t="s">
        <v>709</v>
      </c>
      <c r="S47" s="74" t="s">
        <v>40</v>
      </c>
      <c r="T47" s="74" t="s">
        <v>2</v>
      </c>
      <c r="U47" s="75"/>
      <c r="V47" s="75">
        <v>0.05</v>
      </c>
      <c r="W47" s="75">
        <v>0.08</v>
      </c>
      <c r="X47" s="75">
        <v>0.15</v>
      </c>
      <c r="Y47" s="75">
        <v>0.2</v>
      </c>
      <c r="Z47" s="75">
        <v>0.25</v>
      </c>
      <c r="AA47" s="75">
        <v>0.37</v>
      </c>
      <c r="AB47" s="75">
        <v>0.42</v>
      </c>
      <c r="AC47" s="75">
        <v>0.57999999999999996</v>
      </c>
      <c r="AD47" s="75">
        <v>0.67</v>
      </c>
      <c r="AE47" s="75">
        <v>0.83</v>
      </c>
      <c r="AF47" s="75">
        <v>1</v>
      </c>
      <c r="AG47" s="74" t="s">
        <v>533</v>
      </c>
      <c r="AH47" s="74" t="s">
        <v>530</v>
      </c>
      <c r="AI47" s="78" t="s">
        <v>539</v>
      </c>
      <c r="AJ47" s="79" t="s">
        <v>539</v>
      </c>
      <c r="AK47" s="80">
        <v>46023</v>
      </c>
      <c r="AL47" s="80">
        <v>46387</v>
      </c>
      <c r="AM47" s="79"/>
      <c r="AN47" s="79"/>
      <c r="AO47" s="79"/>
      <c r="AP47" s="81" t="s">
        <v>540</v>
      </c>
      <c r="AQ47" s="80" cm="1">
        <f t="array" ref="AQ47">IFERROR(DATE(2026, _xlfn.AGGREGATE(15, 6, (COLUMN(CI47:CT47)-COLUMN(CI47)+1)/(CI47:CT47&lt;&gt;0), 1), 1),"N/A")</f>
        <v>46357</v>
      </c>
      <c r="AR47" s="80" cm="1">
        <f t="array" ref="AR47">IFERROR(EOMONTH(DATE(2026, _xlfn.AGGREGATE(14, 6, (COLUMN(CI47:CT47)-COLUMN(CI47)+1)/(CI47:CT47&lt;&gt;0), 1), 1), 0),"N/A")</f>
        <v>46387</v>
      </c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418" t="s">
        <v>724</v>
      </c>
      <c r="BG47" s="74"/>
      <c r="BH47" s="418" t="s">
        <v>829</v>
      </c>
      <c r="BI47" s="74" t="s">
        <v>137</v>
      </c>
      <c r="BJ47" s="419">
        <v>530801</v>
      </c>
      <c r="BK47" s="420" t="s">
        <v>74</v>
      </c>
      <c r="BL47" s="83">
        <v>1000</v>
      </c>
      <c r="BM47" s="73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0</v>
      </c>
      <c r="BT47" s="73">
        <v>0</v>
      </c>
      <c r="BU47" s="73">
        <v>0</v>
      </c>
      <c r="BV47" s="73">
        <v>0</v>
      </c>
      <c r="BW47" s="73">
        <v>0</v>
      </c>
      <c r="BX47" s="84">
        <v>1000</v>
      </c>
      <c r="BY47" s="84"/>
      <c r="BZ47" s="84"/>
      <c r="CA47" s="84"/>
      <c r="CB47" s="84"/>
      <c r="CC47" s="84"/>
      <c r="CD47" s="84"/>
      <c r="CE47" s="84"/>
      <c r="CF47" s="84"/>
      <c r="CG47" s="84"/>
      <c r="CH47" s="421">
        <f t="shared" si="1"/>
        <v>1000</v>
      </c>
      <c r="CI47" s="73"/>
      <c r="CJ47" s="73"/>
      <c r="CK47" s="72">
        <v>0</v>
      </c>
      <c r="CL47" s="73">
        <v>0</v>
      </c>
      <c r="CM47" s="73">
        <v>0</v>
      </c>
      <c r="CN47" s="73">
        <v>0</v>
      </c>
      <c r="CO47" s="73">
        <v>0</v>
      </c>
      <c r="CP47" s="73">
        <v>0</v>
      </c>
      <c r="CQ47" s="73">
        <v>0</v>
      </c>
      <c r="CR47" s="73">
        <v>0</v>
      </c>
      <c r="CS47" s="73">
        <v>0</v>
      </c>
      <c r="CT47" s="422">
        <v>1000</v>
      </c>
      <c r="CU47" s="422"/>
      <c r="CV47" s="422">
        <f t="shared" si="0"/>
        <v>0</v>
      </c>
      <c r="CW47" s="422"/>
      <c r="CX47" s="418"/>
      <c r="CY47" s="418"/>
      <c r="CZ47" s="418"/>
      <c r="DA47" s="418"/>
      <c r="DB47" s="418"/>
      <c r="DC47" s="418"/>
      <c r="DD47" s="418"/>
    </row>
    <row r="48" spans="1:108" s="423" customFormat="1" ht="15" hidden="1" customHeight="1" x14ac:dyDescent="0.25">
      <c r="A48" s="418" t="s">
        <v>690</v>
      </c>
      <c r="B48" s="74" t="s">
        <v>154</v>
      </c>
      <c r="C48" s="74" t="s">
        <v>172</v>
      </c>
      <c r="D48" s="74" t="s">
        <v>196</v>
      </c>
      <c r="E48" s="74" t="s">
        <v>309</v>
      </c>
      <c r="F48" s="74" t="s">
        <v>550</v>
      </c>
      <c r="G48" s="74" t="s">
        <v>137</v>
      </c>
      <c r="H48" s="74" t="s">
        <v>137</v>
      </c>
      <c r="I48" s="74" t="s">
        <v>66</v>
      </c>
      <c r="J48" s="74" t="s">
        <v>29</v>
      </c>
      <c r="K48" s="82" t="s">
        <v>137</v>
      </c>
      <c r="L48" s="82" t="s">
        <v>137</v>
      </c>
      <c r="M48" s="82" t="s">
        <v>137</v>
      </c>
      <c r="N48" s="82" t="s">
        <v>137</v>
      </c>
      <c r="O48" s="82" t="s">
        <v>137</v>
      </c>
      <c r="P48" s="82" t="s">
        <v>137</v>
      </c>
      <c r="Q48" s="74" t="s">
        <v>87</v>
      </c>
      <c r="R48" s="74" t="s">
        <v>709</v>
      </c>
      <c r="S48" s="74" t="s">
        <v>40</v>
      </c>
      <c r="T48" s="74" t="s">
        <v>2</v>
      </c>
      <c r="U48" s="75"/>
      <c r="V48" s="75">
        <v>0.05</v>
      </c>
      <c r="W48" s="75">
        <v>0.08</v>
      </c>
      <c r="X48" s="75">
        <v>0.15</v>
      </c>
      <c r="Y48" s="75">
        <v>0.2</v>
      </c>
      <c r="Z48" s="75">
        <v>0.25</v>
      </c>
      <c r="AA48" s="75">
        <v>0.37</v>
      </c>
      <c r="AB48" s="75">
        <v>0.42</v>
      </c>
      <c r="AC48" s="75">
        <v>0.57999999999999996</v>
      </c>
      <c r="AD48" s="75">
        <v>0.67</v>
      </c>
      <c r="AE48" s="75">
        <v>0.83</v>
      </c>
      <c r="AF48" s="75">
        <v>1</v>
      </c>
      <c r="AG48" s="74" t="s">
        <v>533</v>
      </c>
      <c r="AH48" s="74" t="s">
        <v>530</v>
      </c>
      <c r="AI48" s="78" t="s">
        <v>539</v>
      </c>
      <c r="AJ48" s="79" t="s">
        <v>539</v>
      </c>
      <c r="AK48" s="80">
        <v>46023</v>
      </c>
      <c r="AL48" s="80">
        <v>46387</v>
      </c>
      <c r="AM48" s="79"/>
      <c r="AN48" s="79"/>
      <c r="AO48" s="79"/>
      <c r="AP48" s="81" t="s">
        <v>540</v>
      </c>
      <c r="AQ48" s="80" cm="1">
        <f t="array" ref="AQ48">IFERROR(DATE(2026, _xlfn.AGGREGATE(15, 6, (COLUMN(CI48:CT48)-COLUMN(CI48)+1)/(CI48:CT48&lt;&gt;0), 1), 1),"N/A")</f>
        <v>46357</v>
      </c>
      <c r="AR48" s="80" cm="1">
        <f t="array" ref="AR48">IFERROR(EOMONTH(DATE(2026, _xlfn.AGGREGATE(14, 6, (COLUMN(CI48:CT48)-COLUMN(CI48)+1)/(CI48:CT48&lt;&gt;0), 1), 1), 0),"N/A")</f>
        <v>46387</v>
      </c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418" t="s">
        <v>724</v>
      </c>
      <c r="BG48" s="74"/>
      <c r="BH48" s="418" t="s">
        <v>830</v>
      </c>
      <c r="BI48" s="74" t="s">
        <v>137</v>
      </c>
      <c r="BJ48" s="419">
        <v>530804</v>
      </c>
      <c r="BK48" s="420" t="s">
        <v>74</v>
      </c>
      <c r="BL48" s="83">
        <v>1000</v>
      </c>
      <c r="BM48" s="73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3">
        <v>0</v>
      </c>
      <c r="BV48" s="73">
        <v>0</v>
      </c>
      <c r="BW48" s="73">
        <v>0</v>
      </c>
      <c r="BX48" s="84">
        <v>1000</v>
      </c>
      <c r="BY48" s="84"/>
      <c r="BZ48" s="84"/>
      <c r="CA48" s="84"/>
      <c r="CB48" s="84"/>
      <c r="CC48" s="84"/>
      <c r="CD48" s="84"/>
      <c r="CE48" s="84"/>
      <c r="CF48" s="84"/>
      <c r="CG48" s="84"/>
      <c r="CH48" s="421">
        <f t="shared" si="1"/>
        <v>1000</v>
      </c>
      <c r="CI48" s="73"/>
      <c r="CJ48" s="73"/>
      <c r="CK48" s="72">
        <v>0</v>
      </c>
      <c r="CL48" s="73">
        <v>0</v>
      </c>
      <c r="CM48" s="73">
        <v>0</v>
      </c>
      <c r="CN48" s="73">
        <v>0</v>
      </c>
      <c r="CO48" s="73">
        <v>0</v>
      </c>
      <c r="CP48" s="73">
        <v>0</v>
      </c>
      <c r="CQ48" s="73">
        <v>0</v>
      </c>
      <c r="CR48" s="73">
        <v>0</v>
      </c>
      <c r="CS48" s="73">
        <v>0</v>
      </c>
      <c r="CT48" s="422">
        <v>1000</v>
      </c>
      <c r="CU48" s="422"/>
      <c r="CV48" s="422">
        <f t="shared" si="0"/>
        <v>0</v>
      </c>
      <c r="CW48" s="422"/>
      <c r="CX48" s="418"/>
      <c r="CY48" s="418"/>
      <c r="CZ48" s="418"/>
      <c r="DA48" s="418"/>
      <c r="DB48" s="418"/>
      <c r="DC48" s="418"/>
      <c r="DD48" s="418"/>
    </row>
    <row r="49" spans="1:108" s="423" customFormat="1" ht="15" hidden="1" customHeight="1" x14ac:dyDescent="0.25">
      <c r="A49" s="418" t="s">
        <v>690</v>
      </c>
      <c r="B49" s="74" t="s">
        <v>154</v>
      </c>
      <c r="C49" s="74" t="s">
        <v>172</v>
      </c>
      <c r="D49" s="74" t="s">
        <v>196</v>
      </c>
      <c r="E49" s="74" t="s">
        <v>309</v>
      </c>
      <c r="F49" s="74" t="s">
        <v>550</v>
      </c>
      <c r="G49" s="74" t="s">
        <v>137</v>
      </c>
      <c r="H49" s="74" t="s">
        <v>137</v>
      </c>
      <c r="I49" s="74" t="s">
        <v>66</v>
      </c>
      <c r="J49" s="74" t="s">
        <v>29</v>
      </c>
      <c r="K49" s="82" t="s">
        <v>137</v>
      </c>
      <c r="L49" s="82" t="s">
        <v>137</v>
      </c>
      <c r="M49" s="82" t="s">
        <v>137</v>
      </c>
      <c r="N49" s="82" t="s">
        <v>137</v>
      </c>
      <c r="O49" s="82" t="s">
        <v>137</v>
      </c>
      <c r="P49" s="82" t="s">
        <v>137</v>
      </c>
      <c r="Q49" s="74" t="s">
        <v>87</v>
      </c>
      <c r="R49" s="74" t="s">
        <v>709</v>
      </c>
      <c r="S49" s="74" t="s">
        <v>40</v>
      </c>
      <c r="T49" s="74" t="s">
        <v>2</v>
      </c>
      <c r="U49" s="75"/>
      <c r="V49" s="75">
        <v>0.05</v>
      </c>
      <c r="W49" s="75">
        <v>0.08</v>
      </c>
      <c r="X49" s="75">
        <v>0.15</v>
      </c>
      <c r="Y49" s="75">
        <v>0.2</v>
      </c>
      <c r="Z49" s="75">
        <v>0.25</v>
      </c>
      <c r="AA49" s="75">
        <v>0.37</v>
      </c>
      <c r="AB49" s="75">
        <v>0.42</v>
      </c>
      <c r="AC49" s="75">
        <v>0.57999999999999996</v>
      </c>
      <c r="AD49" s="75">
        <v>0.67</v>
      </c>
      <c r="AE49" s="75">
        <v>0.83</v>
      </c>
      <c r="AF49" s="75">
        <v>1</v>
      </c>
      <c r="AG49" s="74" t="s">
        <v>533</v>
      </c>
      <c r="AH49" s="74" t="s">
        <v>530</v>
      </c>
      <c r="AI49" s="78" t="s">
        <v>539</v>
      </c>
      <c r="AJ49" s="79" t="s">
        <v>539</v>
      </c>
      <c r="AK49" s="80">
        <v>46023</v>
      </c>
      <c r="AL49" s="80">
        <v>46387</v>
      </c>
      <c r="AM49" s="79"/>
      <c r="AN49" s="79"/>
      <c r="AO49" s="79"/>
      <c r="AP49" s="81" t="s">
        <v>540</v>
      </c>
      <c r="AQ49" s="80" cm="1">
        <f t="array" ref="AQ49">IFERROR(DATE(2026, _xlfn.AGGREGATE(15, 6, (COLUMN(CI49:CT49)-COLUMN(CI49)+1)/(CI49:CT49&lt;&gt;0), 1), 1),"N/A")</f>
        <v>46357</v>
      </c>
      <c r="AR49" s="80" cm="1">
        <f t="array" ref="AR49">IFERROR(EOMONTH(DATE(2026, _xlfn.AGGREGATE(14, 6, (COLUMN(CI49:CT49)-COLUMN(CI49)+1)/(CI49:CT49&lt;&gt;0), 1), 1), 0),"N/A")</f>
        <v>46387</v>
      </c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418" t="s">
        <v>724</v>
      </c>
      <c r="BG49" s="74"/>
      <c r="BH49" s="418" t="s">
        <v>831</v>
      </c>
      <c r="BI49" s="74" t="s">
        <v>137</v>
      </c>
      <c r="BJ49" s="419">
        <v>530805</v>
      </c>
      <c r="BK49" s="420" t="s">
        <v>74</v>
      </c>
      <c r="BL49" s="83">
        <v>1000</v>
      </c>
      <c r="BM49" s="73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3">
        <v>0</v>
      </c>
      <c r="BV49" s="73">
        <v>0</v>
      </c>
      <c r="BW49" s="73">
        <v>0</v>
      </c>
      <c r="BX49" s="84">
        <v>1000</v>
      </c>
      <c r="BY49" s="84"/>
      <c r="BZ49" s="84"/>
      <c r="CA49" s="84"/>
      <c r="CB49" s="84"/>
      <c r="CC49" s="84"/>
      <c r="CD49" s="84"/>
      <c r="CE49" s="84"/>
      <c r="CF49" s="84"/>
      <c r="CG49" s="84"/>
      <c r="CH49" s="421">
        <f t="shared" si="1"/>
        <v>1000</v>
      </c>
      <c r="CI49" s="73"/>
      <c r="CJ49" s="73"/>
      <c r="CK49" s="72">
        <v>0</v>
      </c>
      <c r="CL49" s="73">
        <v>0</v>
      </c>
      <c r="CM49" s="73">
        <v>0</v>
      </c>
      <c r="CN49" s="73">
        <v>0</v>
      </c>
      <c r="CO49" s="73">
        <v>0</v>
      </c>
      <c r="CP49" s="73">
        <v>0</v>
      </c>
      <c r="CQ49" s="73">
        <v>0</v>
      </c>
      <c r="CR49" s="73">
        <v>0</v>
      </c>
      <c r="CS49" s="73">
        <v>0</v>
      </c>
      <c r="CT49" s="422">
        <v>1000</v>
      </c>
      <c r="CU49" s="422"/>
      <c r="CV49" s="422">
        <f t="shared" si="0"/>
        <v>0</v>
      </c>
      <c r="CW49" s="422"/>
      <c r="CX49" s="418"/>
      <c r="CY49" s="418"/>
      <c r="CZ49" s="418"/>
      <c r="DA49" s="418"/>
      <c r="DB49" s="418"/>
      <c r="DC49" s="418"/>
      <c r="DD49" s="418"/>
    </row>
    <row r="50" spans="1:108" s="423" customFormat="1" ht="15" hidden="1" customHeight="1" x14ac:dyDescent="0.25">
      <c r="A50" s="418" t="s">
        <v>690</v>
      </c>
      <c r="B50" s="74" t="s">
        <v>154</v>
      </c>
      <c r="C50" s="74" t="s">
        <v>172</v>
      </c>
      <c r="D50" s="74" t="s">
        <v>196</v>
      </c>
      <c r="E50" s="74" t="s">
        <v>309</v>
      </c>
      <c r="F50" s="74" t="s">
        <v>550</v>
      </c>
      <c r="G50" s="74" t="s">
        <v>137</v>
      </c>
      <c r="H50" s="74" t="s">
        <v>137</v>
      </c>
      <c r="I50" s="74" t="s">
        <v>66</v>
      </c>
      <c r="J50" s="74" t="s">
        <v>29</v>
      </c>
      <c r="K50" s="82" t="s">
        <v>137</v>
      </c>
      <c r="L50" s="82" t="s">
        <v>137</v>
      </c>
      <c r="M50" s="82" t="s">
        <v>137</v>
      </c>
      <c r="N50" s="82" t="s">
        <v>137</v>
      </c>
      <c r="O50" s="82" t="s">
        <v>137</v>
      </c>
      <c r="P50" s="82" t="s">
        <v>137</v>
      </c>
      <c r="Q50" s="74" t="s">
        <v>87</v>
      </c>
      <c r="R50" s="74" t="s">
        <v>709</v>
      </c>
      <c r="S50" s="74" t="s">
        <v>40</v>
      </c>
      <c r="T50" s="74" t="s">
        <v>2</v>
      </c>
      <c r="U50" s="75"/>
      <c r="V50" s="75">
        <v>0.05</v>
      </c>
      <c r="W50" s="75">
        <v>0.08</v>
      </c>
      <c r="X50" s="75">
        <v>0.15</v>
      </c>
      <c r="Y50" s="75">
        <v>0.2</v>
      </c>
      <c r="Z50" s="75">
        <v>0.25</v>
      </c>
      <c r="AA50" s="75">
        <v>0.37</v>
      </c>
      <c r="AB50" s="75">
        <v>0.42</v>
      </c>
      <c r="AC50" s="75">
        <v>0.57999999999999996</v>
      </c>
      <c r="AD50" s="75">
        <v>0.67</v>
      </c>
      <c r="AE50" s="75">
        <v>0.83</v>
      </c>
      <c r="AF50" s="75">
        <v>1</v>
      </c>
      <c r="AG50" s="74" t="s">
        <v>533</v>
      </c>
      <c r="AH50" s="74" t="s">
        <v>530</v>
      </c>
      <c r="AI50" s="78" t="s">
        <v>539</v>
      </c>
      <c r="AJ50" s="79" t="s">
        <v>539</v>
      </c>
      <c r="AK50" s="80">
        <v>46023</v>
      </c>
      <c r="AL50" s="80">
        <v>46387</v>
      </c>
      <c r="AM50" s="79"/>
      <c r="AN50" s="79"/>
      <c r="AO50" s="79"/>
      <c r="AP50" s="81" t="s">
        <v>540</v>
      </c>
      <c r="AQ50" s="80" cm="1">
        <f t="array" ref="AQ50">IFERROR(DATE(2026, _xlfn.AGGREGATE(15, 6, (COLUMN(CI50:CT50)-COLUMN(CI50)+1)/(CI50:CT50&lt;&gt;0), 1), 1),"N/A")</f>
        <v>46357</v>
      </c>
      <c r="AR50" s="80" cm="1">
        <f t="array" ref="AR50">IFERROR(EOMONTH(DATE(2026, _xlfn.AGGREGATE(14, 6, (COLUMN(CI50:CT50)-COLUMN(CI50)+1)/(CI50:CT50&lt;&gt;0), 1), 1), 0),"N/A")</f>
        <v>46387</v>
      </c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418" t="s">
        <v>724</v>
      </c>
      <c r="BG50" s="74"/>
      <c r="BH50" s="418" t="s">
        <v>832</v>
      </c>
      <c r="BI50" s="74" t="s">
        <v>137</v>
      </c>
      <c r="BJ50" s="419">
        <v>530822</v>
      </c>
      <c r="BK50" s="420" t="s">
        <v>74</v>
      </c>
      <c r="BL50" s="83">
        <v>514.77</v>
      </c>
      <c r="BM50" s="73">
        <v>0</v>
      </c>
      <c r="BN50" s="73">
        <v>0</v>
      </c>
      <c r="BO50" s="73">
        <v>0</v>
      </c>
      <c r="BP50" s="73">
        <v>0</v>
      </c>
      <c r="BQ50" s="73">
        <v>0</v>
      </c>
      <c r="BR50" s="73">
        <v>0</v>
      </c>
      <c r="BS50" s="73">
        <v>0</v>
      </c>
      <c r="BT50" s="73">
        <v>0</v>
      </c>
      <c r="BU50" s="73">
        <v>0</v>
      </c>
      <c r="BV50" s="73">
        <v>0</v>
      </c>
      <c r="BW50" s="73">
        <v>0</v>
      </c>
      <c r="BX50" s="84">
        <v>514.77</v>
      </c>
      <c r="BY50" s="84"/>
      <c r="BZ50" s="84"/>
      <c r="CA50" s="84"/>
      <c r="CB50" s="84"/>
      <c r="CC50" s="84"/>
      <c r="CD50" s="84"/>
      <c r="CE50" s="84"/>
      <c r="CF50" s="84"/>
      <c r="CG50" s="84"/>
      <c r="CH50" s="421">
        <f t="shared" si="1"/>
        <v>514.77</v>
      </c>
      <c r="CI50" s="73"/>
      <c r="CJ50" s="73"/>
      <c r="CK50" s="72">
        <v>0</v>
      </c>
      <c r="CL50" s="73">
        <v>0</v>
      </c>
      <c r="CM50" s="73">
        <v>0</v>
      </c>
      <c r="CN50" s="73">
        <v>0</v>
      </c>
      <c r="CO50" s="73">
        <v>0</v>
      </c>
      <c r="CP50" s="73">
        <v>0</v>
      </c>
      <c r="CQ50" s="73">
        <v>0</v>
      </c>
      <c r="CR50" s="73">
        <v>0</v>
      </c>
      <c r="CS50" s="73">
        <v>0</v>
      </c>
      <c r="CT50" s="422">
        <v>514.77</v>
      </c>
      <c r="CU50" s="422"/>
      <c r="CV50" s="422">
        <f t="shared" si="0"/>
        <v>0</v>
      </c>
      <c r="CW50" s="422"/>
      <c r="CX50" s="418"/>
      <c r="CY50" s="418"/>
      <c r="CZ50" s="418"/>
      <c r="DA50" s="418"/>
      <c r="DB50" s="418"/>
      <c r="DC50" s="418"/>
      <c r="DD50" s="418"/>
    </row>
    <row r="51" spans="1:108" s="423" customFormat="1" ht="15" hidden="1" customHeight="1" x14ac:dyDescent="0.25">
      <c r="A51" s="418" t="s">
        <v>690</v>
      </c>
      <c r="B51" s="74" t="s">
        <v>154</v>
      </c>
      <c r="C51" s="74" t="s">
        <v>172</v>
      </c>
      <c r="D51" s="74" t="s">
        <v>196</v>
      </c>
      <c r="E51" s="74" t="s">
        <v>309</v>
      </c>
      <c r="F51" s="74" t="s">
        <v>550</v>
      </c>
      <c r="G51" s="74" t="s">
        <v>137</v>
      </c>
      <c r="H51" s="74" t="s">
        <v>137</v>
      </c>
      <c r="I51" s="74" t="s">
        <v>66</v>
      </c>
      <c r="J51" s="74" t="s">
        <v>29</v>
      </c>
      <c r="K51" s="82" t="s">
        <v>137</v>
      </c>
      <c r="L51" s="82" t="s">
        <v>137</v>
      </c>
      <c r="M51" s="82" t="s">
        <v>137</v>
      </c>
      <c r="N51" s="82" t="s">
        <v>137</v>
      </c>
      <c r="O51" s="82" t="s">
        <v>137</v>
      </c>
      <c r="P51" s="82" t="s">
        <v>137</v>
      </c>
      <c r="Q51" s="74" t="s">
        <v>87</v>
      </c>
      <c r="R51" s="74" t="s">
        <v>709</v>
      </c>
      <c r="S51" s="74" t="s">
        <v>40</v>
      </c>
      <c r="T51" s="74" t="s">
        <v>2</v>
      </c>
      <c r="U51" s="75"/>
      <c r="V51" s="75">
        <v>0.05</v>
      </c>
      <c r="W51" s="75">
        <v>0.08</v>
      </c>
      <c r="X51" s="75">
        <v>0.15</v>
      </c>
      <c r="Y51" s="75">
        <v>0.2</v>
      </c>
      <c r="Z51" s="75">
        <v>0.25</v>
      </c>
      <c r="AA51" s="75">
        <v>0.37</v>
      </c>
      <c r="AB51" s="75">
        <v>0.42</v>
      </c>
      <c r="AC51" s="75">
        <v>0.57999999999999996</v>
      </c>
      <c r="AD51" s="75">
        <v>0.67</v>
      </c>
      <c r="AE51" s="75">
        <v>0.83</v>
      </c>
      <c r="AF51" s="75">
        <v>1</v>
      </c>
      <c r="AG51" s="74" t="s">
        <v>533</v>
      </c>
      <c r="AH51" s="74" t="s">
        <v>530</v>
      </c>
      <c r="AI51" s="78" t="s">
        <v>539</v>
      </c>
      <c r="AJ51" s="79" t="s">
        <v>539</v>
      </c>
      <c r="AK51" s="80">
        <v>46023</v>
      </c>
      <c r="AL51" s="80">
        <v>46387</v>
      </c>
      <c r="AM51" s="79"/>
      <c r="AN51" s="79"/>
      <c r="AO51" s="79"/>
      <c r="AP51" s="81" t="s">
        <v>540</v>
      </c>
      <c r="AQ51" s="80" cm="1">
        <f t="array" ref="AQ51">IFERROR(DATE(2026, _xlfn.AGGREGATE(15, 6, (COLUMN(CI51:CT51)-COLUMN(CI51)+1)/(CI51:CT51&lt;&gt;0), 1), 1),"N/A")</f>
        <v>46357</v>
      </c>
      <c r="AR51" s="80" cm="1">
        <f t="array" ref="AR51">IFERROR(EOMONTH(DATE(2026, _xlfn.AGGREGATE(14, 6, (COLUMN(CI51:CT51)-COLUMN(CI51)+1)/(CI51:CT51&lt;&gt;0), 1), 1), 0),"N/A")</f>
        <v>46387</v>
      </c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418" t="s">
        <v>724</v>
      </c>
      <c r="BG51" s="74"/>
      <c r="BH51" s="418" t="s">
        <v>826</v>
      </c>
      <c r="BI51" s="74" t="s">
        <v>137</v>
      </c>
      <c r="BJ51" s="419">
        <v>530106</v>
      </c>
      <c r="BK51" s="420" t="s">
        <v>74</v>
      </c>
      <c r="BL51" s="83">
        <v>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73">
        <v>0</v>
      </c>
      <c r="BU51" s="73">
        <v>0</v>
      </c>
      <c r="BV51" s="73">
        <v>0</v>
      </c>
      <c r="BW51" s="73">
        <v>0</v>
      </c>
      <c r="BX51" s="84">
        <v>500</v>
      </c>
      <c r="BY51" s="84"/>
      <c r="BZ51" s="84"/>
      <c r="CA51" s="84"/>
      <c r="CB51" s="84"/>
      <c r="CC51" s="84"/>
      <c r="CD51" s="84"/>
      <c r="CE51" s="84"/>
      <c r="CF51" s="84"/>
      <c r="CG51" s="84"/>
      <c r="CH51" s="421">
        <f t="shared" si="1"/>
        <v>500</v>
      </c>
      <c r="CI51" s="73"/>
      <c r="CJ51" s="73"/>
      <c r="CK51" s="72">
        <v>0</v>
      </c>
      <c r="CL51" s="73">
        <v>0</v>
      </c>
      <c r="CM51" s="73">
        <v>0</v>
      </c>
      <c r="CN51" s="73">
        <v>0</v>
      </c>
      <c r="CO51" s="73">
        <v>0</v>
      </c>
      <c r="CP51" s="73">
        <v>0</v>
      </c>
      <c r="CQ51" s="73">
        <v>0</v>
      </c>
      <c r="CR51" s="73">
        <v>0</v>
      </c>
      <c r="CS51" s="73">
        <v>0</v>
      </c>
      <c r="CT51" s="422">
        <v>500</v>
      </c>
      <c r="CU51" s="422"/>
      <c r="CV51" s="422">
        <f t="shared" si="0"/>
        <v>0</v>
      </c>
      <c r="CW51" s="422"/>
      <c r="CX51" s="418"/>
      <c r="CY51" s="418"/>
      <c r="CZ51" s="418"/>
      <c r="DA51" s="418"/>
      <c r="DB51" s="418"/>
      <c r="DC51" s="418"/>
      <c r="DD51" s="418"/>
    </row>
    <row r="52" spans="1:108" s="423" customFormat="1" ht="15" hidden="1" customHeight="1" x14ac:dyDescent="0.25">
      <c r="A52" s="418" t="s">
        <v>690</v>
      </c>
      <c r="B52" s="74" t="s">
        <v>154</v>
      </c>
      <c r="C52" s="74" t="s">
        <v>172</v>
      </c>
      <c r="D52" s="74" t="s">
        <v>196</v>
      </c>
      <c r="E52" s="74" t="s">
        <v>309</v>
      </c>
      <c r="F52" s="74" t="s">
        <v>550</v>
      </c>
      <c r="G52" s="74" t="s">
        <v>137</v>
      </c>
      <c r="H52" s="74" t="s">
        <v>137</v>
      </c>
      <c r="I52" s="74" t="s">
        <v>66</v>
      </c>
      <c r="J52" s="74" t="s">
        <v>29</v>
      </c>
      <c r="K52" s="82" t="s">
        <v>137</v>
      </c>
      <c r="L52" s="82" t="s">
        <v>137</v>
      </c>
      <c r="M52" s="82" t="s">
        <v>137</v>
      </c>
      <c r="N52" s="82" t="s">
        <v>137</v>
      </c>
      <c r="O52" s="82" t="s">
        <v>137</v>
      </c>
      <c r="P52" s="82" t="s">
        <v>137</v>
      </c>
      <c r="Q52" s="74" t="s">
        <v>87</v>
      </c>
      <c r="R52" s="74" t="s">
        <v>709</v>
      </c>
      <c r="S52" s="74" t="s">
        <v>40</v>
      </c>
      <c r="T52" s="74" t="s">
        <v>2</v>
      </c>
      <c r="U52" s="75"/>
      <c r="V52" s="75">
        <v>0.05</v>
      </c>
      <c r="W52" s="75">
        <v>0.08</v>
      </c>
      <c r="X52" s="75">
        <v>0.15</v>
      </c>
      <c r="Y52" s="75">
        <v>0.2</v>
      </c>
      <c r="Z52" s="75">
        <v>0.25</v>
      </c>
      <c r="AA52" s="75">
        <v>0.37</v>
      </c>
      <c r="AB52" s="75">
        <v>0.42</v>
      </c>
      <c r="AC52" s="75">
        <v>0.57999999999999996</v>
      </c>
      <c r="AD52" s="75">
        <v>0.67</v>
      </c>
      <c r="AE52" s="75">
        <v>0.83</v>
      </c>
      <c r="AF52" s="75">
        <v>1</v>
      </c>
      <c r="AG52" s="74" t="s">
        <v>533</v>
      </c>
      <c r="AH52" s="74" t="s">
        <v>530</v>
      </c>
      <c r="AI52" s="78" t="s">
        <v>539</v>
      </c>
      <c r="AJ52" s="79" t="s">
        <v>539</v>
      </c>
      <c r="AK52" s="80">
        <v>46023</v>
      </c>
      <c r="AL52" s="80">
        <v>46387</v>
      </c>
      <c r="AM52" s="79"/>
      <c r="AN52" s="79"/>
      <c r="AO52" s="79"/>
      <c r="AP52" s="81" t="s">
        <v>540</v>
      </c>
      <c r="AQ52" s="80" cm="1">
        <f t="array" ref="AQ52">IFERROR(DATE(2026, _xlfn.AGGREGATE(15, 6, (COLUMN(CI52:CT52)-COLUMN(CI52)+1)/(CI52:CT52&lt;&gt;0), 1), 1),"N/A")</f>
        <v>46357</v>
      </c>
      <c r="AR52" s="80" cm="1">
        <f t="array" ref="AR52">IFERROR(EOMONTH(DATE(2026, _xlfn.AGGREGATE(14, 6, (COLUMN(CI52:CT52)-COLUMN(CI52)+1)/(CI52:CT52&lt;&gt;0), 1), 1), 0),"N/A")</f>
        <v>46387</v>
      </c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418" t="s">
        <v>724</v>
      </c>
      <c r="BG52" s="74"/>
      <c r="BH52" s="418" t="s">
        <v>828</v>
      </c>
      <c r="BI52" s="74" t="s">
        <v>137</v>
      </c>
      <c r="BJ52" s="419">
        <v>530502</v>
      </c>
      <c r="BK52" s="420" t="s">
        <v>74</v>
      </c>
      <c r="BL52" s="83">
        <v>500</v>
      </c>
      <c r="BM52" s="73">
        <v>0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3">
        <v>0</v>
      </c>
      <c r="BU52" s="73">
        <v>0</v>
      </c>
      <c r="BV52" s="73">
        <v>0</v>
      </c>
      <c r="BW52" s="73">
        <v>0</v>
      </c>
      <c r="BX52" s="84">
        <v>500</v>
      </c>
      <c r="BY52" s="84"/>
      <c r="BZ52" s="84"/>
      <c r="CA52" s="84"/>
      <c r="CB52" s="84"/>
      <c r="CC52" s="84"/>
      <c r="CD52" s="84"/>
      <c r="CE52" s="84"/>
      <c r="CF52" s="84"/>
      <c r="CG52" s="84"/>
      <c r="CH52" s="421">
        <f t="shared" si="1"/>
        <v>500</v>
      </c>
      <c r="CI52" s="73"/>
      <c r="CJ52" s="73"/>
      <c r="CK52" s="72">
        <v>0</v>
      </c>
      <c r="CL52" s="73">
        <v>0</v>
      </c>
      <c r="CM52" s="73">
        <v>0</v>
      </c>
      <c r="CN52" s="73">
        <v>0</v>
      </c>
      <c r="CO52" s="73">
        <v>0</v>
      </c>
      <c r="CP52" s="73">
        <v>0</v>
      </c>
      <c r="CQ52" s="73">
        <v>0</v>
      </c>
      <c r="CR52" s="73">
        <v>0</v>
      </c>
      <c r="CS52" s="73">
        <v>0</v>
      </c>
      <c r="CT52" s="422">
        <v>500</v>
      </c>
      <c r="CU52" s="422"/>
      <c r="CV52" s="422">
        <f t="shared" si="0"/>
        <v>0</v>
      </c>
      <c r="CW52" s="422"/>
      <c r="CX52" s="418"/>
      <c r="CY52" s="418"/>
      <c r="CZ52" s="418"/>
      <c r="DA52" s="418"/>
      <c r="DB52" s="418"/>
      <c r="DC52" s="418"/>
      <c r="DD52" s="418"/>
    </row>
    <row r="53" spans="1:108" s="423" customFormat="1" ht="15" hidden="1" customHeight="1" x14ac:dyDescent="0.25">
      <c r="A53" s="418" t="s">
        <v>690</v>
      </c>
      <c r="B53" s="74" t="s">
        <v>154</v>
      </c>
      <c r="C53" s="74" t="s">
        <v>172</v>
      </c>
      <c r="D53" s="74" t="s">
        <v>196</v>
      </c>
      <c r="E53" s="74" t="s">
        <v>309</v>
      </c>
      <c r="F53" s="74" t="s">
        <v>550</v>
      </c>
      <c r="G53" s="74" t="s">
        <v>137</v>
      </c>
      <c r="H53" s="74" t="s">
        <v>137</v>
      </c>
      <c r="I53" s="74" t="s">
        <v>66</v>
      </c>
      <c r="J53" s="74" t="s">
        <v>29</v>
      </c>
      <c r="K53" s="82" t="s">
        <v>137</v>
      </c>
      <c r="L53" s="82" t="s">
        <v>137</v>
      </c>
      <c r="M53" s="82" t="s">
        <v>137</v>
      </c>
      <c r="N53" s="82" t="s">
        <v>137</v>
      </c>
      <c r="O53" s="82" t="s">
        <v>137</v>
      </c>
      <c r="P53" s="82" t="s">
        <v>137</v>
      </c>
      <c r="Q53" s="74" t="s">
        <v>87</v>
      </c>
      <c r="R53" s="74" t="s">
        <v>709</v>
      </c>
      <c r="S53" s="74" t="s">
        <v>40</v>
      </c>
      <c r="T53" s="74" t="s">
        <v>2</v>
      </c>
      <c r="U53" s="75"/>
      <c r="V53" s="75">
        <v>0.05</v>
      </c>
      <c r="W53" s="75">
        <v>0.08</v>
      </c>
      <c r="X53" s="75">
        <v>0.15</v>
      </c>
      <c r="Y53" s="75">
        <v>0.2</v>
      </c>
      <c r="Z53" s="75">
        <v>0.25</v>
      </c>
      <c r="AA53" s="75">
        <v>0.37</v>
      </c>
      <c r="AB53" s="75">
        <v>0.42</v>
      </c>
      <c r="AC53" s="75">
        <v>0.57999999999999996</v>
      </c>
      <c r="AD53" s="75">
        <v>0.67</v>
      </c>
      <c r="AE53" s="75">
        <v>0.83</v>
      </c>
      <c r="AF53" s="75">
        <v>1</v>
      </c>
      <c r="AG53" s="74" t="s">
        <v>533</v>
      </c>
      <c r="AH53" s="74" t="s">
        <v>530</v>
      </c>
      <c r="AI53" s="78" t="s">
        <v>539</v>
      </c>
      <c r="AJ53" s="79" t="s">
        <v>539</v>
      </c>
      <c r="AK53" s="80">
        <v>46023</v>
      </c>
      <c r="AL53" s="80">
        <v>46387</v>
      </c>
      <c r="AM53" s="79"/>
      <c r="AN53" s="79"/>
      <c r="AO53" s="79"/>
      <c r="AP53" s="81" t="s">
        <v>540</v>
      </c>
      <c r="AQ53" s="80" cm="1">
        <f t="array" ref="AQ53">IFERROR(DATE(2026, _xlfn.AGGREGATE(15, 6, (COLUMN(CI53:CT53)-COLUMN(CI53)+1)/(CI53:CT53&lt;&gt;0), 1), 1),"N/A")</f>
        <v>46357</v>
      </c>
      <c r="AR53" s="80" cm="1">
        <f t="array" ref="AR53">IFERROR(EOMONTH(DATE(2026, _xlfn.AGGREGATE(14, 6, (COLUMN(CI53:CT53)-COLUMN(CI53)+1)/(CI53:CT53&lt;&gt;0), 1), 1), 0),"N/A")</f>
        <v>46387</v>
      </c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418" t="s">
        <v>724</v>
      </c>
      <c r="BG53" s="74"/>
      <c r="BH53" s="418" t="s">
        <v>1036</v>
      </c>
      <c r="BI53" s="74" t="s">
        <v>137</v>
      </c>
      <c r="BJ53" s="419">
        <v>530820</v>
      </c>
      <c r="BK53" s="420" t="s">
        <v>74</v>
      </c>
      <c r="BL53" s="83">
        <v>0</v>
      </c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84"/>
      <c r="BY53" s="84"/>
      <c r="BZ53" s="84"/>
      <c r="CA53" s="84">
        <v>500</v>
      </c>
      <c r="CB53" s="84"/>
      <c r="CC53" s="84"/>
      <c r="CD53" s="84"/>
      <c r="CE53" s="84"/>
      <c r="CF53" s="84"/>
      <c r="CG53" s="84"/>
      <c r="CH53" s="421">
        <f t="shared" si="1"/>
        <v>500</v>
      </c>
      <c r="CI53" s="73"/>
      <c r="CJ53" s="73"/>
      <c r="CK53" s="72"/>
      <c r="CL53" s="73"/>
      <c r="CM53" s="73"/>
      <c r="CN53" s="73"/>
      <c r="CO53" s="73"/>
      <c r="CP53" s="73"/>
      <c r="CQ53" s="73"/>
      <c r="CR53" s="73"/>
      <c r="CS53" s="73"/>
      <c r="CT53" s="422">
        <v>500</v>
      </c>
      <c r="CU53" s="422"/>
      <c r="CV53" s="422">
        <f t="shared" si="0"/>
        <v>0</v>
      </c>
      <c r="CW53" s="422"/>
      <c r="CX53" s="418"/>
      <c r="CY53" s="418"/>
      <c r="CZ53" s="418"/>
      <c r="DA53" s="418"/>
      <c r="DB53" s="418"/>
      <c r="DC53" s="418"/>
      <c r="DD53" s="418"/>
    </row>
    <row r="54" spans="1:108" s="423" customFormat="1" ht="15" hidden="1" customHeight="1" x14ac:dyDescent="0.25">
      <c r="A54" s="418" t="s">
        <v>690</v>
      </c>
      <c r="B54" s="74" t="s">
        <v>154</v>
      </c>
      <c r="C54" s="74" t="s">
        <v>172</v>
      </c>
      <c r="D54" s="74" t="s">
        <v>196</v>
      </c>
      <c r="E54" s="74" t="s">
        <v>309</v>
      </c>
      <c r="F54" s="74" t="s">
        <v>550</v>
      </c>
      <c r="G54" s="74" t="s">
        <v>137</v>
      </c>
      <c r="H54" s="74" t="s">
        <v>137</v>
      </c>
      <c r="I54" s="74" t="s">
        <v>66</v>
      </c>
      <c r="J54" s="74" t="s">
        <v>29</v>
      </c>
      <c r="K54" s="82" t="s">
        <v>137</v>
      </c>
      <c r="L54" s="82" t="s">
        <v>137</v>
      </c>
      <c r="M54" s="82" t="s">
        <v>137</v>
      </c>
      <c r="N54" s="82" t="s">
        <v>137</v>
      </c>
      <c r="O54" s="82" t="s">
        <v>137</v>
      </c>
      <c r="P54" s="82" t="s">
        <v>137</v>
      </c>
      <c r="Q54" s="74" t="s">
        <v>87</v>
      </c>
      <c r="R54" s="74" t="s">
        <v>709</v>
      </c>
      <c r="S54" s="74" t="s">
        <v>40</v>
      </c>
      <c r="T54" s="74" t="s">
        <v>2</v>
      </c>
      <c r="U54" s="75"/>
      <c r="V54" s="75">
        <v>0.05</v>
      </c>
      <c r="W54" s="75">
        <v>0.08</v>
      </c>
      <c r="X54" s="75">
        <v>0.15</v>
      </c>
      <c r="Y54" s="75">
        <v>0.2</v>
      </c>
      <c r="Z54" s="75">
        <v>0.25</v>
      </c>
      <c r="AA54" s="75">
        <v>0.37</v>
      </c>
      <c r="AB54" s="75">
        <v>0.42</v>
      </c>
      <c r="AC54" s="75">
        <v>0.57999999999999996</v>
      </c>
      <c r="AD54" s="75">
        <v>0.67</v>
      </c>
      <c r="AE54" s="75">
        <v>0.83</v>
      </c>
      <c r="AF54" s="75">
        <v>1</v>
      </c>
      <c r="AG54" s="74" t="s">
        <v>533</v>
      </c>
      <c r="AH54" s="74" t="s">
        <v>530</v>
      </c>
      <c r="AI54" s="78" t="s">
        <v>539</v>
      </c>
      <c r="AJ54" s="79" t="s">
        <v>539</v>
      </c>
      <c r="AK54" s="80">
        <v>46023</v>
      </c>
      <c r="AL54" s="80">
        <v>46387</v>
      </c>
      <c r="AM54" s="79"/>
      <c r="AN54" s="79"/>
      <c r="AO54" s="79"/>
      <c r="AP54" s="81" t="s">
        <v>540</v>
      </c>
      <c r="AQ54" s="80" cm="1">
        <f t="array" ref="AQ54">IFERROR(DATE(2026, _xlfn.AGGREGATE(15, 6, (COLUMN(CI54:CT54)-COLUMN(CI54)+1)/(CI54:CT54&lt;&gt;0), 1), 1),"N/A")</f>
        <v>46357</v>
      </c>
      <c r="AR54" s="80" cm="1">
        <f t="array" ref="AR54">IFERROR(EOMONTH(DATE(2026, _xlfn.AGGREGATE(14, 6, (COLUMN(CI54:CT54)-COLUMN(CI54)+1)/(CI54:CT54&lt;&gt;0), 1), 1), 0),"N/A")</f>
        <v>46387</v>
      </c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418" t="s">
        <v>724</v>
      </c>
      <c r="BG54" s="74"/>
      <c r="BH54" s="418" t="s">
        <v>958</v>
      </c>
      <c r="BI54" s="74" t="s">
        <v>137</v>
      </c>
      <c r="BJ54" s="419">
        <v>531601</v>
      </c>
      <c r="BK54" s="420" t="s">
        <v>74</v>
      </c>
      <c r="BL54" s="83">
        <v>0</v>
      </c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84"/>
      <c r="BY54" s="84">
        <v>500</v>
      </c>
      <c r="BZ54" s="84"/>
      <c r="CA54" s="84"/>
      <c r="CB54" s="84"/>
      <c r="CC54" s="84"/>
      <c r="CD54" s="84"/>
      <c r="CE54" s="84"/>
      <c r="CF54" s="84"/>
      <c r="CG54" s="84"/>
      <c r="CH54" s="421">
        <f t="shared" si="1"/>
        <v>500</v>
      </c>
      <c r="CI54" s="73"/>
      <c r="CJ54" s="73"/>
      <c r="CK54" s="72"/>
      <c r="CL54" s="73"/>
      <c r="CM54" s="73"/>
      <c r="CN54" s="73"/>
      <c r="CO54" s="73"/>
      <c r="CP54" s="73"/>
      <c r="CQ54" s="73"/>
      <c r="CR54" s="73"/>
      <c r="CS54" s="73"/>
      <c r="CT54" s="422">
        <v>500</v>
      </c>
      <c r="CU54" s="422"/>
      <c r="CV54" s="422">
        <f t="shared" si="0"/>
        <v>0</v>
      </c>
      <c r="CW54" s="422"/>
      <c r="CX54" s="418"/>
      <c r="CY54" s="418"/>
      <c r="CZ54" s="418"/>
      <c r="DA54" s="418"/>
      <c r="DB54" s="418"/>
      <c r="DC54" s="418"/>
      <c r="DD54" s="418"/>
    </row>
    <row r="55" spans="1:108" s="397" customFormat="1" ht="15" hidden="1" customHeight="1" x14ac:dyDescent="0.25">
      <c r="A55" s="385" t="s">
        <v>690</v>
      </c>
      <c r="B55" s="74" t="s">
        <v>154</v>
      </c>
      <c r="C55" s="74" t="s">
        <v>172</v>
      </c>
      <c r="D55" s="74" t="s">
        <v>196</v>
      </c>
      <c r="E55" s="74" t="s">
        <v>309</v>
      </c>
      <c r="F55" s="74" t="s">
        <v>550</v>
      </c>
      <c r="G55" s="74" t="s">
        <v>137</v>
      </c>
      <c r="H55" s="74" t="s">
        <v>137</v>
      </c>
      <c r="I55" s="74" t="s">
        <v>66</v>
      </c>
      <c r="J55" s="74" t="s">
        <v>29</v>
      </c>
      <c r="K55" s="82" t="s">
        <v>137</v>
      </c>
      <c r="L55" s="82" t="s">
        <v>137</v>
      </c>
      <c r="M55" s="82" t="s">
        <v>137</v>
      </c>
      <c r="N55" s="82" t="s">
        <v>137</v>
      </c>
      <c r="O55" s="82" t="s">
        <v>137</v>
      </c>
      <c r="P55" s="82" t="s">
        <v>137</v>
      </c>
      <c r="Q55" s="74" t="s">
        <v>87</v>
      </c>
      <c r="R55" s="74" t="s">
        <v>709</v>
      </c>
      <c r="S55" s="74" t="s">
        <v>40</v>
      </c>
      <c r="T55" s="74" t="s">
        <v>2</v>
      </c>
      <c r="U55" s="75"/>
      <c r="V55" s="75">
        <v>0.05</v>
      </c>
      <c r="W55" s="75">
        <v>0.08</v>
      </c>
      <c r="X55" s="75">
        <v>0.15</v>
      </c>
      <c r="Y55" s="75">
        <v>0.2</v>
      </c>
      <c r="Z55" s="75">
        <v>0.25</v>
      </c>
      <c r="AA55" s="75">
        <v>0.37</v>
      </c>
      <c r="AB55" s="75">
        <v>0.42</v>
      </c>
      <c r="AC55" s="75">
        <v>0.57999999999999996</v>
      </c>
      <c r="AD55" s="75">
        <v>0.67</v>
      </c>
      <c r="AE55" s="75">
        <v>0.83</v>
      </c>
      <c r="AF55" s="75">
        <v>1</v>
      </c>
      <c r="AG55" s="74" t="s">
        <v>533</v>
      </c>
      <c r="AH55" s="74" t="s">
        <v>530</v>
      </c>
      <c r="AI55" s="78" t="s">
        <v>539</v>
      </c>
      <c r="AJ55" s="79" t="s">
        <v>539</v>
      </c>
      <c r="AK55" s="80">
        <v>46023</v>
      </c>
      <c r="AL55" s="80">
        <v>46387</v>
      </c>
      <c r="AM55" s="79"/>
      <c r="AN55" s="79"/>
      <c r="AO55" s="79"/>
      <c r="AP55" s="81" t="s">
        <v>540</v>
      </c>
      <c r="AQ55" s="80" cm="1">
        <f t="array" ref="AQ55">IFERROR(DATE(2026, _xlfn.AGGREGATE(15, 6, (COLUMN(CI55:CT55)-COLUMN(CI55)+1)/(CI55:CT55&lt;&gt;0), 1), 1),"N/A")</f>
        <v>46204</v>
      </c>
      <c r="AR55" s="80" cm="1">
        <f t="array" ref="AR55">IFERROR(EOMONTH(DATE(2026, _xlfn.AGGREGATE(14, 6, (COLUMN(CI55:CT55)-COLUMN(CI55)+1)/(CI55:CT55&lt;&gt;0), 1), 1), 0),"N/A")</f>
        <v>46234</v>
      </c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385" t="s">
        <v>1104</v>
      </c>
      <c r="BG55" s="74"/>
      <c r="BH55" s="385" t="s">
        <v>1113</v>
      </c>
      <c r="BI55" s="74" t="s">
        <v>1011</v>
      </c>
      <c r="BJ55" s="388">
        <v>530403</v>
      </c>
      <c r="BK55" s="386" t="s">
        <v>74</v>
      </c>
      <c r="BL55" s="8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84"/>
      <c r="BY55" s="84"/>
      <c r="BZ55" s="84"/>
      <c r="CA55" s="84"/>
      <c r="CB55" s="84">
        <v>6500</v>
      </c>
      <c r="CC55" s="84"/>
      <c r="CD55" s="84"/>
      <c r="CE55" s="84"/>
      <c r="CF55" s="84"/>
      <c r="CG55" s="84"/>
      <c r="CH55" s="396">
        <f t="shared" si="1"/>
        <v>6500</v>
      </c>
      <c r="CI55" s="73"/>
      <c r="CJ55" s="73"/>
      <c r="CK55" s="72"/>
      <c r="CL55" s="73"/>
      <c r="CM55" s="73"/>
      <c r="CN55" s="73"/>
      <c r="CO55" s="73">
        <v>6500</v>
      </c>
      <c r="CP55" s="73"/>
      <c r="CQ55" s="73"/>
      <c r="CR55" s="73"/>
      <c r="CS55" s="73"/>
      <c r="CT55" s="394"/>
      <c r="CU55" s="394"/>
      <c r="CV55" s="394">
        <f t="shared" si="0"/>
        <v>0</v>
      </c>
      <c r="CW55" s="394"/>
      <c r="CX55" s="385"/>
      <c r="CY55" s="385"/>
      <c r="CZ55" s="385"/>
      <c r="DA55" s="385"/>
      <c r="DB55" s="385"/>
      <c r="DC55" s="385"/>
      <c r="DD55" s="385"/>
    </row>
    <row r="56" spans="1:108" s="423" customFormat="1" ht="15" hidden="1" customHeight="1" x14ac:dyDescent="0.25">
      <c r="A56" s="418" t="s">
        <v>690</v>
      </c>
      <c r="B56" s="74" t="s">
        <v>154</v>
      </c>
      <c r="C56" s="74" t="s">
        <v>172</v>
      </c>
      <c r="D56" s="74" t="s">
        <v>196</v>
      </c>
      <c r="E56" s="74" t="s">
        <v>309</v>
      </c>
      <c r="F56" s="74" t="s">
        <v>550</v>
      </c>
      <c r="G56" s="74" t="s">
        <v>137</v>
      </c>
      <c r="H56" s="74" t="s">
        <v>137</v>
      </c>
      <c r="I56" s="74" t="s">
        <v>66</v>
      </c>
      <c r="J56" s="74" t="s">
        <v>29</v>
      </c>
      <c r="K56" s="82" t="s">
        <v>137</v>
      </c>
      <c r="L56" s="82" t="s">
        <v>137</v>
      </c>
      <c r="M56" s="82" t="s">
        <v>137</v>
      </c>
      <c r="N56" s="82" t="s">
        <v>137</v>
      </c>
      <c r="O56" s="82" t="s">
        <v>137</v>
      </c>
      <c r="P56" s="82" t="s">
        <v>137</v>
      </c>
      <c r="Q56" s="74" t="s">
        <v>87</v>
      </c>
      <c r="R56" s="74" t="s">
        <v>709</v>
      </c>
      <c r="S56" s="74" t="s">
        <v>40</v>
      </c>
      <c r="T56" s="74" t="s">
        <v>2</v>
      </c>
      <c r="U56" s="75"/>
      <c r="V56" s="75">
        <v>0.05</v>
      </c>
      <c r="W56" s="75">
        <v>0.08</v>
      </c>
      <c r="X56" s="75">
        <v>0.15</v>
      </c>
      <c r="Y56" s="75">
        <v>0.2</v>
      </c>
      <c r="Z56" s="75">
        <v>0.25</v>
      </c>
      <c r="AA56" s="75">
        <v>0.37</v>
      </c>
      <c r="AB56" s="75">
        <v>0.42</v>
      </c>
      <c r="AC56" s="75">
        <v>0.57999999999999996</v>
      </c>
      <c r="AD56" s="75">
        <v>0.67</v>
      </c>
      <c r="AE56" s="75">
        <v>0.83</v>
      </c>
      <c r="AF56" s="75">
        <v>1</v>
      </c>
      <c r="AG56" s="74" t="s">
        <v>533</v>
      </c>
      <c r="AH56" s="74" t="s">
        <v>530</v>
      </c>
      <c r="AI56" s="78" t="s">
        <v>539</v>
      </c>
      <c r="AJ56" s="79" t="s">
        <v>539</v>
      </c>
      <c r="AK56" s="80">
        <v>46023</v>
      </c>
      <c r="AL56" s="80">
        <v>46387</v>
      </c>
      <c r="AM56" s="79"/>
      <c r="AN56" s="79"/>
      <c r="AO56" s="79"/>
      <c r="AP56" s="81" t="s">
        <v>540</v>
      </c>
      <c r="AQ56" s="80" cm="1">
        <f t="array" ref="AQ56">IFERROR(DATE(2026, _xlfn.AGGREGATE(15, 6, (COLUMN(CI56:CT56)-COLUMN(CI56)+1)/(CI56:CT56&lt;&gt;0), 1), 1),"N/A")</f>
        <v>46357</v>
      </c>
      <c r="AR56" s="80" cm="1">
        <f t="array" ref="AR56">IFERROR(EOMONTH(DATE(2026, _xlfn.AGGREGATE(14, 6, (COLUMN(CI56:CT56)-COLUMN(CI56)+1)/(CI56:CT56&lt;&gt;0), 1), 1), 0),"N/A")</f>
        <v>46387</v>
      </c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418" t="s">
        <v>725</v>
      </c>
      <c r="BG56" s="74"/>
      <c r="BH56" s="418" t="s">
        <v>865</v>
      </c>
      <c r="BI56" s="74" t="s">
        <v>137</v>
      </c>
      <c r="BJ56" s="419">
        <v>530813</v>
      </c>
      <c r="BK56" s="420" t="s">
        <v>74</v>
      </c>
      <c r="BL56" s="83">
        <v>800</v>
      </c>
      <c r="BM56" s="73">
        <v>0</v>
      </c>
      <c r="BN56" s="73">
        <v>0</v>
      </c>
      <c r="BO56" s="73">
        <v>0</v>
      </c>
      <c r="BP56" s="73">
        <v>0</v>
      </c>
      <c r="BQ56" s="73">
        <v>0</v>
      </c>
      <c r="BR56" s="73">
        <v>0</v>
      </c>
      <c r="BS56" s="73">
        <v>0</v>
      </c>
      <c r="BT56" s="73">
        <v>0</v>
      </c>
      <c r="BU56" s="73">
        <v>0</v>
      </c>
      <c r="BV56" s="84">
        <v>800</v>
      </c>
      <c r="BW56" s="73">
        <v>0</v>
      </c>
      <c r="BX56" s="73">
        <v>0</v>
      </c>
      <c r="BY56" s="73"/>
      <c r="BZ56" s="73"/>
      <c r="CA56" s="73"/>
      <c r="CB56" s="73">
        <v>-700</v>
      </c>
      <c r="CC56" s="73"/>
      <c r="CD56" s="73"/>
      <c r="CE56" s="73"/>
      <c r="CF56" s="73"/>
      <c r="CG56" s="73"/>
      <c r="CH56" s="421">
        <f t="shared" si="1"/>
        <v>100</v>
      </c>
      <c r="CI56" s="73"/>
      <c r="CJ56" s="73"/>
      <c r="CK56" s="72">
        <v>0</v>
      </c>
      <c r="CL56" s="73">
        <v>0</v>
      </c>
      <c r="CM56" s="73">
        <v>0</v>
      </c>
      <c r="CN56" s="73">
        <v>0</v>
      </c>
      <c r="CO56" s="73">
        <v>0</v>
      </c>
      <c r="CP56" s="73">
        <v>0</v>
      </c>
      <c r="CQ56" s="73">
        <v>0</v>
      </c>
      <c r="CR56" s="84">
        <v>0</v>
      </c>
      <c r="CS56" s="73">
        <v>0</v>
      </c>
      <c r="CT56" s="422">
        <v>100</v>
      </c>
      <c r="CU56" s="422"/>
      <c r="CV56" s="422">
        <f t="shared" si="0"/>
        <v>0</v>
      </c>
      <c r="CW56" s="422"/>
      <c r="CX56" s="418"/>
      <c r="CY56" s="418"/>
      <c r="CZ56" s="418"/>
      <c r="DA56" s="418"/>
      <c r="DB56" s="418"/>
      <c r="DC56" s="418"/>
      <c r="DD56" s="418"/>
    </row>
    <row r="57" spans="1:108" s="423" customFormat="1" ht="15" hidden="1" customHeight="1" x14ac:dyDescent="0.25">
      <c r="A57" s="418" t="s">
        <v>690</v>
      </c>
      <c r="B57" s="74" t="s">
        <v>154</v>
      </c>
      <c r="C57" s="74" t="s">
        <v>172</v>
      </c>
      <c r="D57" s="74" t="s">
        <v>196</v>
      </c>
      <c r="E57" s="74" t="s">
        <v>309</v>
      </c>
      <c r="F57" s="74" t="s">
        <v>550</v>
      </c>
      <c r="G57" s="74" t="s">
        <v>137</v>
      </c>
      <c r="H57" s="74" t="s">
        <v>137</v>
      </c>
      <c r="I57" s="74" t="s">
        <v>66</v>
      </c>
      <c r="J57" s="74" t="s">
        <v>29</v>
      </c>
      <c r="K57" s="82" t="s">
        <v>137</v>
      </c>
      <c r="L57" s="82" t="s">
        <v>137</v>
      </c>
      <c r="M57" s="82" t="s">
        <v>137</v>
      </c>
      <c r="N57" s="82" t="s">
        <v>137</v>
      </c>
      <c r="O57" s="82" t="s">
        <v>137</v>
      </c>
      <c r="P57" s="82" t="s">
        <v>137</v>
      </c>
      <c r="Q57" s="74" t="s">
        <v>87</v>
      </c>
      <c r="R57" s="74" t="s">
        <v>709</v>
      </c>
      <c r="S57" s="74" t="s">
        <v>40</v>
      </c>
      <c r="T57" s="74" t="s">
        <v>2</v>
      </c>
      <c r="U57" s="75"/>
      <c r="V57" s="75">
        <v>0.05</v>
      </c>
      <c r="W57" s="75">
        <v>0.08</v>
      </c>
      <c r="X57" s="75">
        <v>0.15</v>
      </c>
      <c r="Y57" s="75">
        <v>0.2</v>
      </c>
      <c r="Z57" s="75">
        <v>0.25</v>
      </c>
      <c r="AA57" s="75">
        <v>0.37</v>
      </c>
      <c r="AB57" s="75">
        <v>0.42</v>
      </c>
      <c r="AC57" s="75">
        <v>0.57999999999999996</v>
      </c>
      <c r="AD57" s="75">
        <v>0.67</v>
      </c>
      <c r="AE57" s="75">
        <v>0.83</v>
      </c>
      <c r="AF57" s="75">
        <v>1</v>
      </c>
      <c r="AG57" s="74" t="s">
        <v>533</v>
      </c>
      <c r="AH57" s="74" t="s">
        <v>530</v>
      </c>
      <c r="AI57" s="78" t="s">
        <v>539</v>
      </c>
      <c r="AJ57" s="79" t="s">
        <v>539</v>
      </c>
      <c r="AK57" s="80">
        <v>46023</v>
      </c>
      <c r="AL57" s="80">
        <v>46387</v>
      </c>
      <c r="AM57" s="79"/>
      <c r="AN57" s="79"/>
      <c r="AO57" s="79"/>
      <c r="AP57" s="81" t="s">
        <v>540</v>
      </c>
      <c r="AQ57" s="80" cm="1">
        <f t="array" ref="AQ57">IFERROR(DATE(2026, _xlfn.AGGREGATE(15, 6, (COLUMN(CI57:CT57)-COLUMN(CI57)+1)/(CI57:CT57&lt;&gt;0), 1), 1),"N/A")</f>
        <v>46357</v>
      </c>
      <c r="AR57" s="80" cm="1">
        <f t="array" ref="AR57">IFERROR(EOMONTH(DATE(2026, _xlfn.AGGREGATE(14, 6, (COLUMN(CI57:CT57)-COLUMN(CI57)+1)/(CI57:CT57&lt;&gt;0), 1), 1), 0),"N/A")</f>
        <v>46387</v>
      </c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418" t="s">
        <v>725</v>
      </c>
      <c r="BG57" s="74"/>
      <c r="BH57" s="418" t="s">
        <v>864</v>
      </c>
      <c r="BI57" s="74" t="s">
        <v>137</v>
      </c>
      <c r="BJ57" s="419">
        <v>530811</v>
      </c>
      <c r="BK57" s="420" t="s">
        <v>74</v>
      </c>
      <c r="BL57" s="83">
        <v>500</v>
      </c>
      <c r="BM57" s="73">
        <v>0</v>
      </c>
      <c r="BN57" s="73">
        <v>0</v>
      </c>
      <c r="BO57" s="73">
        <v>0</v>
      </c>
      <c r="BP57" s="73">
        <v>0</v>
      </c>
      <c r="BQ57" s="73">
        <v>0</v>
      </c>
      <c r="BR57" s="73">
        <v>0</v>
      </c>
      <c r="BS57" s="73">
        <v>0</v>
      </c>
      <c r="BT57" s="73">
        <v>0</v>
      </c>
      <c r="BU57" s="73">
        <v>0</v>
      </c>
      <c r="BV57" s="73">
        <v>0</v>
      </c>
      <c r="BW57" s="73">
        <v>0</v>
      </c>
      <c r="BX57" s="84">
        <v>500</v>
      </c>
      <c r="BY57" s="84"/>
      <c r="BZ57" s="84"/>
      <c r="CA57" s="84"/>
      <c r="CB57" s="84"/>
      <c r="CC57" s="84"/>
      <c r="CD57" s="84"/>
      <c r="CE57" s="84"/>
      <c r="CF57" s="84"/>
      <c r="CG57" s="84"/>
      <c r="CH57" s="421">
        <f t="shared" si="1"/>
        <v>500</v>
      </c>
      <c r="CI57" s="73"/>
      <c r="CJ57" s="73"/>
      <c r="CK57" s="72">
        <v>0</v>
      </c>
      <c r="CL57" s="73">
        <v>0</v>
      </c>
      <c r="CM57" s="73">
        <v>0</v>
      </c>
      <c r="CN57" s="73">
        <v>0</v>
      </c>
      <c r="CO57" s="73">
        <v>0</v>
      </c>
      <c r="CP57" s="73">
        <v>0</v>
      </c>
      <c r="CQ57" s="73">
        <v>0</v>
      </c>
      <c r="CR57" s="73">
        <v>0</v>
      </c>
      <c r="CS57" s="73">
        <v>0</v>
      </c>
      <c r="CT57" s="422">
        <v>500</v>
      </c>
      <c r="CU57" s="422"/>
      <c r="CV57" s="422">
        <f t="shared" si="0"/>
        <v>0</v>
      </c>
      <c r="CW57" s="422"/>
      <c r="CX57" s="418"/>
      <c r="CY57" s="418"/>
      <c r="CZ57" s="418"/>
      <c r="DA57" s="418"/>
      <c r="DB57" s="418"/>
      <c r="DC57" s="418"/>
      <c r="DD57" s="418"/>
    </row>
    <row r="58" spans="1:108" s="423" customFormat="1" ht="15" hidden="1" customHeight="1" x14ac:dyDescent="0.25">
      <c r="A58" s="418" t="s">
        <v>690</v>
      </c>
      <c r="B58" s="74" t="s">
        <v>154</v>
      </c>
      <c r="C58" s="74" t="s">
        <v>172</v>
      </c>
      <c r="D58" s="74" t="s">
        <v>196</v>
      </c>
      <c r="E58" s="74" t="s">
        <v>309</v>
      </c>
      <c r="F58" s="74" t="s">
        <v>550</v>
      </c>
      <c r="G58" s="74" t="s">
        <v>137</v>
      </c>
      <c r="H58" s="74" t="s">
        <v>137</v>
      </c>
      <c r="I58" s="74" t="s">
        <v>66</v>
      </c>
      <c r="J58" s="74" t="s">
        <v>29</v>
      </c>
      <c r="K58" s="82" t="s">
        <v>137</v>
      </c>
      <c r="L58" s="82" t="s">
        <v>137</v>
      </c>
      <c r="M58" s="82" t="s">
        <v>137</v>
      </c>
      <c r="N58" s="82" t="s">
        <v>137</v>
      </c>
      <c r="O58" s="82" t="s">
        <v>137</v>
      </c>
      <c r="P58" s="82" t="s">
        <v>137</v>
      </c>
      <c r="Q58" s="74" t="s">
        <v>87</v>
      </c>
      <c r="R58" s="74" t="s">
        <v>709</v>
      </c>
      <c r="S58" s="74" t="s">
        <v>40</v>
      </c>
      <c r="T58" s="74" t="s">
        <v>2</v>
      </c>
      <c r="U58" s="75"/>
      <c r="V58" s="75">
        <v>0.05</v>
      </c>
      <c r="W58" s="75">
        <v>0.08</v>
      </c>
      <c r="X58" s="75">
        <v>0.15</v>
      </c>
      <c r="Y58" s="75">
        <v>0.2</v>
      </c>
      <c r="Z58" s="75">
        <v>0.25</v>
      </c>
      <c r="AA58" s="75">
        <v>0.37</v>
      </c>
      <c r="AB58" s="75">
        <v>0.42</v>
      </c>
      <c r="AC58" s="75">
        <v>0.57999999999999996</v>
      </c>
      <c r="AD58" s="75">
        <v>0.67</v>
      </c>
      <c r="AE58" s="75">
        <v>0.83</v>
      </c>
      <c r="AF58" s="75">
        <v>1</v>
      </c>
      <c r="AG58" s="74" t="s">
        <v>533</v>
      </c>
      <c r="AH58" s="74" t="s">
        <v>530</v>
      </c>
      <c r="AI58" s="78" t="s">
        <v>539</v>
      </c>
      <c r="AJ58" s="79" t="s">
        <v>539</v>
      </c>
      <c r="AK58" s="80">
        <v>46023</v>
      </c>
      <c r="AL58" s="80">
        <v>46387</v>
      </c>
      <c r="AM58" s="79"/>
      <c r="AN58" s="79"/>
      <c r="AO58" s="79"/>
      <c r="AP58" s="81" t="s">
        <v>540</v>
      </c>
      <c r="AQ58" s="80" cm="1">
        <f t="array" ref="AQ58">IFERROR(DATE(2026, _xlfn.AGGREGATE(15, 6, (COLUMN(CI58:CT58)-COLUMN(CI58)+1)/(CI58:CT58&lt;&gt;0), 1), 1),"N/A")</f>
        <v>46357</v>
      </c>
      <c r="AR58" s="80" cm="1">
        <f t="array" ref="AR58">IFERROR(EOMONTH(DATE(2026, _xlfn.AGGREGATE(14, 6, (COLUMN(CI58:CT58)-COLUMN(CI58)+1)/(CI58:CT58&lt;&gt;0), 1), 1), 0),"N/A")</f>
        <v>46387</v>
      </c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418" t="s">
        <v>725</v>
      </c>
      <c r="BG58" s="74"/>
      <c r="BH58" s="418" t="s">
        <v>959</v>
      </c>
      <c r="BI58" s="74" t="s">
        <v>137</v>
      </c>
      <c r="BJ58" s="419">
        <v>531601</v>
      </c>
      <c r="BK58" s="420" t="s">
        <v>74</v>
      </c>
      <c r="BL58" s="83">
        <v>0</v>
      </c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84"/>
      <c r="BY58" s="84">
        <v>400</v>
      </c>
      <c r="BZ58" s="84"/>
      <c r="CA58" s="84"/>
      <c r="CB58" s="84"/>
      <c r="CC58" s="84"/>
      <c r="CD58" s="84"/>
      <c r="CE58" s="84"/>
      <c r="CF58" s="84"/>
      <c r="CG58" s="84"/>
      <c r="CH58" s="421">
        <f t="shared" si="1"/>
        <v>400</v>
      </c>
      <c r="CI58" s="73"/>
      <c r="CJ58" s="73"/>
      <c r="CK58" s="72"/>
      <c r="CL58" s="73"/>
      <c r="CM58" s="73"/>
      <c r="CN58" s="73"/>
      <c r="CO58" s="73"/>
      <c r="CP58" s="73"/>
      <c r="CQ58" s="73"/>
      <c r="CR58" s="73"/>
      <c r="CS58" s="73"/>
      <c r="CT58" s="422">
        <v>400</v>
      </c>
      <c r="CU58" s="422"/>
      <c r="CV58" s="422">
        <f t="shared" si="0"/>
        <v>0</v>
      </c>
      <c r="CW58" s="422"/>
      <c r="CX58" s="418"/>
      <c r="CY58" s="418"/>
      <c r="CZ58" s="418"/>
      <c r="DA58" s="418"/>
      <c r="DB58" s="418"/>
      <c r="DC58" s="418"/>
      <c r="DD58" s="418"/>
    </row>
    <row r="59" spans="1:108" s="423" customFormat="1" ht="15" hidden="1" customHeight="1" x14ac:dyDescent="0.25">
      <c r="A59" s="418" t="s">
        <v>690</v>
      </c>
      <c r="B59" s="74" t="s">
        <v>154</v>
      </c>
      <c r="C59" s="74" t="s">
        <v>172</v>
      </c>
      <c r="D59" s="74" t="s">
        <v>196</v>
      </c>
      <c r="E59" s="74" t="s">
        <v>309</v>
      </c>
      <c r="F59" s="74" t="s">
        <v>550</v>
      </c>
      <c r="G59" s="74" t="s">
        <v>137</v>
      </c>
      <c r="H59" s="74" t="s">
        <v>137</v>
      </c>
      <c r="I59" s="74" t="s">
        <v>66</v>
      </c>
      <c r="J59" s="74" t="s">
        <v>29</v>
      </c>
      <c r="K59" s="82" t="s">
        <v>137</v>
      </c>
      <c r="L59" s="82" t="s">
        <v>137</v>
      </c>
      <c r="M59" s="82" t="s">
        <v>137</v>
      </c>
      <c r="N59" s="82" t="s">
        <v>137</v>
      </c>
      <c r="O59" s="82" t="s">
        <v>137</v>
      </c>
      <c r="P59" s="82" t="s">
        <v>137</v>
      </c>
      <c r="Q59" s="74" t="s">
        <v>87</v>
      </c>
      <c r="R59" s="74" t="s">
        <v>709</v>
      </c>
      <c r="S59" s="74" t="s">
        <v>40</v>
      </c>
      <c r="T59" s="74" t="s">
        <v>2</v>
      </c>
      <c r="U59" s="75"/>
      <c r="V59" s="75">
        <v>0.05</v>
      </c>
      <c r="W59" s="75">
        <v>0.08</v>
      </c>
      <c r="X59" s="75">
        <v>0.15</v>
      </c>
      <c r="Y59" s="75">
        <v>0.2</v>
      </c>
      <c r="Z59" s="75">
        <v>0.25</v>
      </c>
      <c r="AA59" s="75">
        <v>0.37</v>
      </c>
      <c r="AB59" s="75">
        <v>0.42</v>
      </c>
      <c r="AC59" s="75">
        <v>0.57999999999999996</v>
      </c>
      <c r="AD59" s="75">
        <v>0.67</v>
      </c>
      <c r="AE59" s="75">
        <v>0.83</v>
      </c>
      <c r="AF59" s="75">
        <v>1</v>
      </c>
      <c r="AG59" s="74" t="s">
        <v>533</v>
      </c>
      <c r="AH59" s="74" t="s">
        <v>530</v>
      </c>
      <c r="AI59" s="78" t="s">
        <v>539</v>
      </c>
      <c r="AJ59" s="79" t="s">
        <v>539</v>
      </c>
      <c r="AK59" s="80">
        <v>46023</v>
      </c>
      <c r="AL59" s="80">
        <v>46387</v>
      </c>
      <c r="AM59" s="79"/>
      <c r="AN59" s="79"/>
      <c r="AO59" s="79"/>
      <c r="AP59" s="81" t="s">
        <v>540</v>
      </c>
      <c r="AQ59" s="80" cm="1">
        <f t="array" ref="AQ59">IFERROR(DATE(2026, _xlfn.AGGREGATE(15, 6, (COLUMN(CI59:CT59)-COLUMN(CI59)+1)/(CI59:CT59&lt;&gt;0), 1), 1),"N/A")</f>
        <v>46357</v>
      </c>
      <c r="AR59" s="80" cm="1">
        <f t="array" ref="AR59">IFERROR(EOMONTH(DATE(2026, _xlfn.AGGREGATE(14, 6, (COLUMN(CI59:CT59)-COLUMN(CI59)+1)/(CI59:CT59&lt;&gt;0), 1), 1), 0),"N/A")</f>
        <v>46387</v>
      </c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418" t="s">
        <v>725</v>
      </c>
      <c r="BG59" s="74"/>
      <c r="BH59" s="418" t="s">
        <v>860</v>
      </c>
      <c r="BI59" s="74" t="s">
        <v>137</v>
      </c>
      <c r="BJ59" s="419">
        <v>530204</v>
      </c>
      <c r="BK59" s="420" t="s">
        <v>74</v>
      </c>
      <c r="BL59" s="83">
        <v>300</v>
      </c>
      <c r="BM59" s="73">
        <v>0</v>
      </c>
      <c r="BN59" s="73">
        <v>0</v>
      </c>
      <c r="BO59" s="73">
        <v>0</v>
      </c>
      <c r="BP59" s="73">
        <v>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84">
        <v>300</v>
      </c>
      <c r="BY59" s="84"/>
      <c r="BZ59" s="84"/>
      <c r="CA59" s="84"/>
      <c r="CB59" s="84">
        <v>-100</v>
      </c>
      <c r="CC59" s="84"/>
      <c r="CD59" s="84"/>
      <c r="CE59" s="84"/>
      <c r="CF59" s="84"/>
      <c r="CG59" s="84"/>
      <c r="CH59" s="421">
        <f t="shared" si="1"/>
        <v>200</v>
      </c>
      <c r="CI59" s="73"/>
      <c r="CJ59" s="73"/>
      <c r="CK59" s="72">
        <v>0</v>
      </c>
      <c r="CL59" s="73">
        <v>0</v>
      </c>
      <c r="CM59" s="73">
        <v>0</v>
      </c>
      <c r="CN59" s="73">
        <v>0</v>
      </c>
      <c r="CO59" s="73">
        <v>0</v>
      </c>
      <c r="CP59" s="73">
        <v>0</v>
      </c>
      <c r="CQ59" s="73">
        <v>0</v>
      </c>
      <c r="CR59" s="73">
        <v>0</v>
      </c>
      <c r="CS59" s="73">
        <v>0</v>
      </c>
      <c r="CT59" s="422">
        <v>200</v>
      </c>
      <c r="CU59" s="422"/>
      <c r="CV59" s="422">
        <f t="shared" si="0"/>
        <v>0</v>
      </c>
      <c r="CW59" s="422"/>
      <c r="CX59" s="418"/>
      <c r="CY59" s="418"/>
      <c r="CZ59" s="418"/>
      <c r="DA59" s="418"/>
      <c r="DB59" s="418"/>
      <c r="DC59" s="418"/>
      <c r="DD59" s="418"/>
    </row>
    <row r="60" spans="1:108" s="423" customFormat="1" ht="15" hidden="1" customHeight="1" x14ac:dyDescent="0.25">
      <c r="A60" s="418" t="s">
        <v>690</v>
      </c>
      <c r="B60" s="74" t="s">
        <v>154</v>
      </c>
      <c r="C60" s="74" t="s">
        <v>172</v>
      </c>
      <c r="D60" s="74" t="s">
        <v>196</v>
      </c>
      <c r="E60" s="74" t="s">
        <v>309</v>
      </c>
      <c r="F60" s="74" t="s">
        <v>550</v>
      </c>
      <c r="G60" s="74" t="s">
        <v>137</v>
      </c>
      <c r="H60" s="74" t="s">
        <v>137</v>
      </c>
      <c r="I60" s="74" t="s">
        <v>66</v>
      </c>
      <c r="J60" s="74" t="s">
        <v>29</v>
      </c>
      <c r="K60" s="82" t="s">
        <v>137</v>
      </c>
      <c r="L60" s="82" t="s">
        <v>137</v>
      </c>
      <c r="M60" s="82" t="s">
        <v>137</v>
      </c>
      <c r="N60" s="82" t="s">
        <v>137</v>
      </c>
      <c r="O60" s="82" t="s">
        <v>137</v>
      </c>
      <c r="P60" s="82" t="s">
        <v>137</v>
      </c>
      <c r="Q60" s="74" t="s">
        <v>87</v>
      </c>
      <c r="R60" s="74" t="s">
        <v>709</v>
      </c>
      <c r="S60" s="74" t="s">
        <v>40</v>
      </c>
      <c r="T60" s="74" t="s">
        <v>2</v>
      </c>
      <c r="U60" s="75"/>
      <c r="V60" s="75">
        <v>0.05</v>
      </c>
      <c r="W60" s="75">
        <v>0.08</v>
      </c>
      <c r="X60" s="75">
        <v>0.15</v>
      </c>
      <c r="Y60" s="75">
        <v>0.2</v>
      </c>
      <c r="Z60" s="75">
        <v>0.25</v>
      </c>
      <c r="AA60" s="75">
        <v>0.37</v>
      </c>
      <c r="AB60" s="75">
        <v>0.42</v>
      </c>
      <c r="AC60" s="75">
        <v>0.57999999999999996</v>
      </c>
      <c r="AD60" s="75">
        <v>0.67</v>
      </c>
      <c r="AE60" s="75">
        <v>0.83</v>
      </c>
      <c r="AF60" s="75">
        <v>1</v>
      </c>
      <c r="AG60" s="74" t="s">
        <v>533</v>
      </c>
      <c r="AH60" s="74" t="s">
        <v>530</v>
      </c>
      <c r="AI60" s="78" t="s">
        <v>539</v>
      </c>
      <c r="AJ60" s="79" t="s">
        <v>539</v>
      </c>
      <c r="AK60" s="80">
        <v>46023</v>
      </c>
      <c r="AL60" s="80">
        <v>46387</v>
      </c>
      <c r="AM60" s="79"/>
      <c r="AN60" s="79"/>
      <c r="AO60" s="79"/>
      <c r="AP60" s="81" t="s">
        <v>540</v>
      </c>
      <c r="AQ60" s="80" cm="1">
        <f t="array" ref="AQ60">IFERROR(DATE(2026, _xlfn.AGGREGATE(15, 6, (COLUMN(CI60:CT60)-COLUMN(CI60)+1)/(CI60:CT60&lt;&gt;0), 1), 1),"N/A")</f>
        <v>46357</v>
      </c>
      <c r="AR60" s="80" cm="1">
        <f t="array" ref="AR60">IFERROR(EOMONTH(DATE(2026, _xlfn.AGGREGATE(14, 6, (COLUMN(CI60:CT60)-COLUMN(CI60)+1)/(CI60:CT60&lt;&gt;0), 1), 1), 0),"N/A")</f>
        <v>46387</v>
      </c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418" t="s">
        <v>725</v>
      </c>
      <c r="BG60" s="74"/>
      <c r="BH60" s="418" t="s">
        <v>863</v>
      </c>
      <c r="BI60" s="74" t="s">
        <v>137</v>
      </c>
      <c r="BJ60" s="419">
        <v>530805</v>
      </c>
      <c r="BK60" s="420" t="s">
        <v>74</v>
      </c>
      <c r="BL60" s="83">
        <v>200</v>
      </c>
      <c r="BM60" s="73">
        <v>0</v>
      </c>
      <c r="BN60" s="73">
        <v>0</v>
      </c>
      <c r="BO60" s="73">
        <v>0</v>
      </c>
      <c r="BP60" s="73">
        <v>0</v>
      </c>
      <c r="BQ60" s="73">
        <v>0</v>
      </c>
      <c r="BR60" s="73">
        <v>0</v>
      </c>
      <c r="BS60" s="73">
        <v>0</v>
      </c>
      <c r="BT60" s="73">
        <v>0</v>
      </c>
      <c r="BU60" s="73">
        <v>0</v>
      </c>
      <c r="BV60" s="73">
        <v>0</v>
      </c>
      <c r="BW60" s="84">
        <v>200</v>
      </c>
      <c r="BX60" s="73">
        <v>0</v>
      </c>
      <c r="BY60" s="73"/>
      <c r="BZ60" s="73"/>
      <c r="CA60" s="73"/>
      <c r="CB60" s="73">
        <v>-100</v>
      </c>
      <c r="CC60" s="73"/>
      <c r="CD60" s="73"/>
      <c r="CE60" s="73"/>
      <c r="CF60" s="73"/>
      <c r="CG60" s="73"/>
      <c r="CH60" s="421">
        <f t="shared" si="1"/>
        <v>100</v>
      </c>
      <c r="CI60" s="73"/>
      <c r="CJ60" s="73"/>
      <c r="CK60" s="72">
        <v>0</v>
      </c>
      <c r="CL60" s="73">
        <v>0</v>
      </c>
      <c r="CM60" s="73">
        <v>0</v>
      </c>
      <c r="CN60" s="73">
        <v>0</v>
      </c>
      <c r="CO60" s="73">
        <v>0</v>
      </c>
      <c r="CP60" s="73">
        <v>0</v>
      </c>
      <c r="CQ60" s="73">
        <v>0</v>
      </c>
      <c r="CR60" s="73">
        <v>0</v>
      </c>
      <c r="CS60" s="84">
        <v>0</v>
      </c>
      <c r="CT60" s="422">
        <v>100</v>
      </c>
      <c r="CU60" s="422"/>
      <c r="CV60" s="422">
        <f t="shared" si="0"/>
        <v>0</v>
      </c>
      <c r="CW60" s="422"/>
      <c r="CX60" s="418"/>
      <c r="CY60" s="418"/>
      <c r="CZ60" s="418"/>
      <c r="DA60" s="418"/>
      <c r="DB60" s="418"/>
      <c r="DC60" s="418"/>
      <c r="DD60" s="418"/>
    </row>
    <row r="61" spans="1:108" s="423" customFormat="1" ht="15" hidden="1" customHeight="1" x14ac:dyDescent="0.25">
      <c r="A61" s="418" t="s">
        <v>690</v>
      </c>
      <c r="B61" s="74" t="s">
        <v>154</v>
      </c>
      <c r="C61" s="74" t="s">
        <v>172</v>
      </c>
      <c r="D61" s="74" t="s">
        <v>196</v>
      </c>
      <c r="E61" s="74" t="s">
        <v>309</v>
      </c>
      <c r="F61" s="74" t="s">
        <v>550</v>
      </c>
      <c r="G61" s="74" t="s">
        <v>137</v>
      </c>
      <c r="H61" s="74" t="s">
        <v>137</v>
      </c>
      <c r="I61" s="74" t="s">
        <v>66</v>
      </c>
      <c r="J61" s="74" t="s">
        <v>29</v>
      </c>
      <c r="K61" s="82" t="s">
        <v>137</v>
      </c>
      <c r="L61" s="82" t="s">
        <v>137</v>
      </c>
      <c r="M61" s="82" t="s">
        <v>137</v>
      </c>
      <c r="N61" s="82" t="s">
        <v>137</v>
      </c>
      <c r="O61" s="82" t="s">
        <v>137</v>
      </c>
      <c r="P61" s="82" t="s">
        <v>137</v>
      </c>
      <c r="Q61" s="74" t="s">
        <v>87</v>
      </c>
      <c r="R61" s="74" t="s">
        <v>709</v>
      </c>
      <c r="S61" s="74" t="s">
        <v>40</v>
      </c>
      <c r="T61" s="74" t="s">
        <v>2</v>
      </c>
      <c r="U61" s="75"/>
      <c r="V61" s="75">
        <v>0.05</v>
      </c>
      <c r="W61" s="75">
        <v>0.08</v>
      </c>
      <c r="X61" s="75">
        <v>0.15</v>
      </c>
      <c r="Y61" s="75">
        <v>0.2</v>
      </c>
      <c r="Z61" s="75">
        <v>0.25</v>
      </c>
      <c r="AA61" s="75">
        <v>0.37</v>
      </c>
      <c r="AB61" s="75">
        <v>0.42</v>
      </c>
      <c r="AC61" s="75">
        <v>0.57999999999999996</v>
      </c>
      <c r="AD61" s="75">
        <v>0.67</v>
      </c>
      <c r="AE61" s="75">
        <v>0.83</v>
      </c>
      <c r="AF61" s="75">
        <v>1</v>
      </c>
      <c r="AG61" s="74" t="s">
        <v>533</v>
      </c>
      <c r="AH61" s="74" t="s">
        <v>530</v>
      </c>
      <c r="AI61" s="78" t="s">
        <v>539</v>
      </c>
      <c r="AJ61" s="79" t="s">
        <v>539</v>
      </c>
      <c r="AK61" s="80">
        <v>46023</v>
      </c>
      <c r="AL61" s="80">
        <v>46387</v>
      </c>
      <c r="AM61" s="79"/>
      <c r="AN61" s="79"/>
      <c r="AO61" s="79"/>
      <c r="AP61" s="81" t="s">
        <v>540</v>
      </c>
      <c r="AQ61" s="80" cm="1">
        <f t="array" ref="AQ61">IFERROR(DATE(2026, _xlfn.AGGREGATE(15, 6, (COLUMN(CI61:CT61)-COLUMN(CI61)+1)/(CI61:CT61&lt;&gt;0), 1), 1),"N/A")</f>
        <v>46357</v>
      </c>
      <c r="AR61" s="80" cm="1">
        <f t="array" ref="AR61">IFERROR(EOMONTH(DATE(2026, _xlfn.AGGREGATE(14, 6, (COLUMN(CI61:CT61)-COLUMN(CI61)+1)/(CI61:CT61&lt;&gt;0), 1), 1), 0),"N/A")</f>
        <v>46387</v>
      </c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418" t="s">
        <v>725</v>
      </c>
      <c r="BG61" s="74"/>
      <c r="BH61" s="418" t="s">
        <v>861</v>
      </c>
      <c r="BI61" s="74" t="s">
        <v>137</v>
      </c>
      <c r="BJ61" s="419">
        <v>530405</v>
      </c>
      <c r="BK61" s="420" t="s">
        <v>74</v>
      </c>
      <c r="BL61" s="83">
        <v>100</v>
      </c>
      <c r="BM61" s="73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3">
        <v>0</v>
      </c>
      <c r="BU61" s="73">
        <v>0</v>
      </c>
      <c r="BV61" s="73">
        <v>0</v>
      </c>
      <c r="BW61" s="73">
        <v>0</v>
      </c>
      <c r="BX61" s="84">
        <v>100</v>
      </c>
      <c r="BY61" s="84"/>
      <c r="BZ61" s="84"/>
      <c r="CA61" s="84"/>
      <c r="CB61" s="84"/>
      <c r="CC61" s="84"/>
      <c r="CD61" s="84"/>
      <c r="CE61" s="84"/>
      <c r="CF61" s="84"/>
      <c r="CG61" s="84"/>
      <c r="CH61" s="421">
        <f t="shared" si="1"/>
        <v>100</v>
      </c>
      <c r="CI61" s="73"/>
      <c r="CJ61" s="73"/>
      <c r="CK61" s="72">
        <v>0</v>
      </c>
      <c r="CL61" s="73">
        <v>0</v>
      </c>
      <c r="CM61" s="73">
        <v>0</v>
      </c>
      <c r="CN61" s="73">
        <v>0</v>
      </c>
      <c r="CO61" s="73">
        <v>0</v>
      </c>
      <c r="CP61" s="73">
        <v>0</v>
      </c>
      <c r="CQ61" s="73">
        <v>0</v>
      </c>
      <c r="CR61" s="73">
        <v>0</v>
      </c>
      <c r="CS61" s="73">
        <v>0</v>
      </c>
      <c r="CT61" s="422">
        <v>100</v>
      </c>
      <c r="CU61" s="422"/>
      <c r="CV61" s="422">
        <f t="shared" si="0"/>
        <v>0</v>
      </c>
      <c r="CW61" s="422"/>
      <c r="CX61" s="418"/>
      <c r="CY61" s="418"/>
      <c r="CZ61" s="418"/>
      <c r="DA61" s="418"/>
      <c r="DB61" s="418"/>
      <c r="DC61" s="418"/>
      <c r="DD61" s="418"/>
    </row>
    <row r="62" spans="1:108" s="423" customFormat="1" ht="15" hidden="1" customHeight="1" x14ac:dyDescent="0.25">
      <c r="A62" s="418" t="s">
        <v>690</v>
      </c>
      <c r="B62" s="74" t="s">
        <v>154</v>
      </c>
      <c r="C62" s="74" t="s">
        <v>172</v>
      </c>
      <c r="D62" s="74" t="s">
        <v>196</v>
      </c>
      <c r="E62" s="74" t="s">
        <v>309</v>
      </c>
      <c r="F62" s="74" t="s">
        <v>550</v>
      </c>
      <c r="G62" s="74" t="s">
        <v>137</v>
      </c>
      <c r="H62" s="74" t="s">
        <v>137</v>
      </c>
      <c r="I62" s="74" t="s">
        <v>66</v>
      </c>
      <c r="J62" s="74" t="s">
        <v>29</v>
      </c>
      <c r="K62" s="82" t="s">
        <v>137</v>
      </c>
      <c r="L62" s="82" t="s">
        <v>137</v>
      </c>
      <c r="M62" s="82" t="s">
        <v>137</v>
      </c>
      <c r="N62" s="82" t="s">
        <v>137</v>
      </c>
      <c r="O62" s="82" t="s">
        <v>137</v>
      </c>
      <c r="P62" s="82" t="s">
        <v>137</v>
      </c>
      <c r="Q62" s="74" t="s">
        <v>87</v>
      </c>
      <c r="R62" s="74" t="s">
        <v>709</v>
      </c>
      <c r="S62" s="74" t="s">
        <v>40</v>
      </c>
      <c r="T62" s="74" t="s">
        <v>2</v>
      </c>
      <c r="U62" s="75"/>
      <c r="V62" s="75">
        <v>0.05</v>
      </c>
      <c r="W62" s="75">
        <v>0.08</v>
      </c>
      <c r="X62" s="75">
        <v>0.15</v>
      </c>
      <c r="Y62" s="75">
        <v>0.2</v>
      </c>
      <c r="Z62" s="75">
        <v>0.25</v>
      </c>
      <c r="AA62" s="75">
        <v>0.37</v>
      </c>
      <c r="AB62" s="75">
        <v>0.42</v>
      </c>
      <c r="AC62" s="75">
        <v>0.57999999999999996</v>
      </c>
      <c r="AD62" s="75">
        <v>0.67</v>
      </c>
      <c r="AE62" s="75">
        <v>0.83</v>
      </c>
      <c r="AF62" s="75">
        <v>1</v>
      </c>
      <c r="AG62" s="74" t="s">
        <v>533</v>
      </c>
      <c r="AH62" s="74" t="s">
        <v>530</v>
      </c>
      <c r="AI62" s="78" t="s">
        <v>539</v>
      </c>
      <c r="AJ62" s="79" t="s">
        <v>539</v>
      </c>
      <c r="AK62" s="80">
        <v>46023</v>
      </c>
      <c r="AL62" s="80">
        <v>46387</v>
      </c>
      <c r="AM62" s="79"/>
      <c r="AN62" s="79"/>
      <c r="AO62" s="79"/>
      <c r="AP62" s="81" t="s">
        <v>540</v>
      </c>
      <c r="AQ62" s="80" cm="1">
        <f t="array" ref="AQ62">IFERROR(DATE(2026, _xlfn.AGGREGATE(15, 6, (COLUMN(CI62:CT62)-COLUMN(CI62)+1)/(CI62:CT62&lt;&gt;0), 1), 1),"N/A")</f>
        <v>46357</v>
      </c>
      <c r="AR62" s="80" cm="1">
        <f t="array" ref="AR62">IFERROR(EOMONTH(DATE(2026, _xlfn.AGGREGATE(14, 6, (COLUMN(CI62:CT62)-COLUMN(CI62)+1)/(CI62:CT62&lt;&gt;0), 1), 1), 0),"N/A")</f>
        <v>46387</v>
      </c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418" t="s">
        <v>725</v>
      </c>
      <c r="BG62" s="74"/>
      <c r="BH62" s="418" t="s">
        <v>862</v>
      </c>
      <c r="BI62" s="74" t="s">
        <v>137</v>
      </c>
      <c r="BJ62" s="419">
        <v>530804</v>
      </c>
      <c r="BK62" s="420" t="s">
        <v>74</v>
      </c>
      <c r="BL62" s="83">
        <v>50</v>
      </c>
      <c r="BM62" s="73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3">
        <v>0</v>
      </c>
      <c r="BV62" s="73">
        <v>0</v>
      </c>
      <c r="BW62" s="73">
        <v>0</v>
      </c>
      <c r="BX62" s="84">
        <v>50</v>
      </c>
      <c r="BY62" s="84"/>
      <c r="BZ62" s="84"/>
      <c r="CA62" s="84"/>
      <c r="CB62" s="84"/>
      <c r="CC62" s="84"/>
      <c r="CD62" s="84"/>
      <c r="CE62" s="84"/>
      <c r="CF62" s="84"/>
      <c r="CG62" s="84"/>
      <c r="CH62" s="421">
        <f t="shared" si="1"/>
        <v>50</v>
      </c>
      <c r="CI62" s="73"/>
      <c r="CJ62" s="73"/>
      <c r="CK62" s="72">
        <v>0</v>
      </c>
      <c r="CL62" s="73">
        <v>0</v>
      </c>
      <c r="CM62" s="73">
        <v>0</v>
      </c>
      <c r="CN62" s="73">
        <v>0</v>
      </c>
      <c r="CO62" s="73">
        <v>0</v>
      </c>
      <c r="CP62" s="73">
        <v>0</v>
      </c>
      <c r="CQ62" s="73">
        <v>0</v>
      </c>
      <c r="CR62" s="73">
        <v>0</v>
      </c>
      <c r="CS62" s="73">
        <v>0</v>
      </c>
      <c r="CT62" s="422">
        <v>50</v>
      </c>
      <c r="CU62" s="422"/>
      <c r="CV62" s="422">
        <f t="shared" si="0"/>
        <v>0</v>
      </c>
      <c r="CW62" s="422"/>
      <c r="CX62" s="418"/>
      <c r="CY62" s="418"/>
      <c r="CZ62" s="418"/>
      <c r="DA62" s="418"/>
      <c r="DB62" s="418"/>
      <c r="DC62" s="418"/>
      <c r="DD62" s="418"/>
    </row>
    <row r="63" spans="1:108" s="423" customFormat="1" ht="15" hidden="1" customHeight="1" x14ac:dyDescent="0.25">
      <c r="A63" s="418" t="s">
        <v>690</v>
      </c>
      <c r="B63" s="74" t="s">
        <v>154</v>
      </c>
      <c r="C63" s="74" t="s">
        <v>172</v>
      </c>
      <c r="D63" s="74" t="s">
        <v>196</v>
      </c>
      <c r="E63" s="74" t="s">
        <v>309</v>
      </c>
      <c r="F63" s="74" t="s">
        <v>550</v>
      </c>
      <c r="G63" s="74" t="s">
        <v>137</v>
      </c>
      <c r="H63" s="74" t="s">
        <v>137</v>
      </c>
      <c r="I63" s="74" t="s">
        <v>66</v>
      </c>
      <c r="J63" s="74" t="s">
        <v>29</v>
      </c>
      <c r="K63" s="82" t="s">
        <v>137</v>
      </c>
      <c r="L63" s="82" t="s">
        <v>137</v>
      </c>
      <c r="M63" s="82" t="s">
        <v>137</v>
      </c>
      <c r="N63" s="82" t="s">
        <v>137</v>
      </c>
      <c r="O63" s="82" t="s">
        <v>137</v>
      </c>
      <c r="P63" s="82" t="s">
        <v>137</v>
      </c>
      <c r="Q63" s="74" t="s">
        <v>87</v>
      </c>
      <c r="R63" s="74" t="s">
        <v>709</v>
      </c>
      <c r="S63" s="74" t="s">
        <v>40</v>
      </c>
      <c r="T63" s="74" t="s">
        <v>2</v>
      </c>
      <c r="U63" s="75"/>
      <c r="V63" s="75">
        <v>0.05</v>
      </c>
      <c r="W63" s="75">
        <v>0.08</v>
      </c>
      <c r="X63" s="75">
        <v>0.15</v>
      </c>
      <c r="Y63" s="75">
        <v>0.2</v>
      </c>
      <c r="Z63" s="75">
        <v>0.25</v>
      </c>
      <c r="AA63" s="75">
        <v>0.37</v>
      </c>
      <c r="AB63" s="75">
        <v>0.42</v>
      </c>
      <c r="AC63" s="75">
        <v>0.57999999999999996</v>
      </c>
      <c r="AD63" s="75">
        <v>0.67</v>
      </c>
      <c r="AE63" s="75">
        <v>0.83</v>
      </c>
      <c r="AF63" s="75">
        <v>1</v>
      </c>
      <c r="AG63" s="74" t="s">
        <v>533</v>
      </c>
      <c r="AH63" s="74" t="s">
        <v>530</v>
      </c>
      <c r="AI63" s="78" t="s">
        <v>539</v>
      </c>
      <c r="AJ63" s="79" t="s">
        <v>539</v>
      </c>
      <c r="AK63" s="80">
        <v>46023</v>
      </c>
      <c r="AL63" s="80">
        <v>46387</v>
      </c>
      <c r="AM63" s="79"/>
      <c r="AN63" s="79"/>
      <c r="AO63" s="79"/>
      <c r="AP63" s="81" t="s">
        <v>540</v>
      </c>
      <c r="AQ63" s="80" cm="1">
        <f t="array" ref="AQ63">IFERROR(DATE(2026, _xlfn.AGGREGATE(15, 6, (COLUMN(CI63:CT63)-COLUMN(CI63)+1)/(CI63:CT63&lt;&gt;0), 1), 1),"N/A")</f>
        <v>46357</v>
      </c>
      <c r="AR63" s="80" cm="1">
        <f t="array" ref="AR63">IFERROR(EOMONTH(DATE(2026, _xlfn.AGGREGATE(14, 6, (COLUMN(CI63:CT63)-COLUMN(CI63)+1)/(CI63:CT63&lt;&gt;0), 1), 1), 0),"N/A")</f>
        <v>46387</v>
      </c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418" t="s">
        <v>725</v>
      </c>
      <c r="BG63" s="74"/>
      <c r="BH63" s="418" t="s">
        <v>1114</v>
      </c>
      <c r="BI63" s="74" t="s">
        <v>137</v>
      </c>
      <c r="BJ63" s="419">
        <v>530402</v>
      </c>
      <c r="BK63" s="420" t="s">
        <v>74</v>
      </c>
      <c r="BL63" s="8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84"/>
      <c r="BY63" s="84"/>
      <c r="BZ63" s="84"/>
      <c r="CA63" s="84"/>
      <c r="CB63" s="84">
        <v>900</v>
      </c>
      <c r="CC63" s="84"/>
      <c r="CD63" s="84"/>
      <c r="CE63" s="84"/>
      <c r="CF63" s="84"/>
      <c r="CG63" s="84"/>
      <c r="CH63" s="421">
        <f t="shared" si="1"/>
        <v>900</v>
      </c>
      <c r="CI63" s="73"/>
      <c r="CJ63" s="73"/>
      <c r="CK63" s="72"/>
      <c r="CL63" s="73"/>
      <c r="CM63" s="73"/>
      <c r="CN63" s="73"/>
      <c r="CO63" s="73"/>
      <c r="CP63" s="73"/>
      <c r="CQ63" s="73"/>
      <c r="CR63" s="73"/>
      <c r="CS63" s="73"/>
      <c r="CT63" s="422">
        <v>900</v>
      </c>
      <c r="CU63" s="422"/>
      <c r="CV63" s="422">
        <f t="shared" si="0"/>
        <v>0</v>
      </c>
      <c r="CW63" s="422"/>
      <c r="CX63" s="418"/>
      <c r="CY63" s="418"/>
      <c r="CZ63" s="418"/>
      <c r="DA63" s="418"/>
      <c r="DB63" s="418"/>
      <c r="DC63" s="418"/>
      <c r="DD63" s="418"/>
    </row>
    <row r="64" spans="1:108" s="68" customFormat="1" ht="15" hidden="1" customHeight="1" x14ac:dyDescent="0.25">
      <c r="A64" s="74" t="s">
        <v>696</v>
      </c>
      <c r="B64" s="74" t="s">
        <v>154</v>
      </c>
      <c r="C64" s="74" t="s">
        <v>172</v>
      </c>
      <c r="D64" s="74" t="s">
        <v>196</v>
      </c>
      <c r="E64" s="74" t="s">
        <v>309</v>
      </c>
      <c r="F64" s="74" t="s">
        <v>550</v>
      </c>
      <c r="G64" s="74" t="s">
        <v>137</v>
      </c>
      <c r="H64" s="74" t="s">
        <v>137</v>
      </c>
      <c r="I64" s="74" t="s">
        <v>66</v>
      </c>
      <c r="J64" s="74" t="s">
        <v>29</v>
      </c>
      <c r="K64" s="82" t="s">
        <v>137</v>
      </c>
      <c r="L64" s="82" t="s">
        <v>137</v>
      </c>
      <c r="M64" s="82" t="s">
        <v>137</v>
      </c>
      <c r="N64" s="82" t="s">
        <v>137</v>
      </c>
      <c r="O64" s="82" t="s">
        <v>137</v>
      </c>
      <c r="P64" s="82" t="s">
        <v>137</v>
      </c>
      <c r="Q64" s="74" t="s">
        <v>87</v>
      </c>
      <c r="R64" s="74" t="s">
        <v>709</v>
      </c>
      <c r="S64" s="74" t="s">
        <v>40</v>
      </c>
      <c r="T64" s="74" t="s">
        <v>2</v>
      </c>
      <c r="U64" s="75"/>
      <c r="V64" s="75">
        <v>0.05</v>
      </c>
      <c r="W64" s="75">
        <v>0.08</v>
      </c>
      <c r="X64" s="75">
        <v>0.15</v>
      </c>
      <c r="Y64" s="75">
        <v>0.2</v>
      </c>
      <c r="Z64" s="75">
        <v>0.25</v>
      </c>
      <c r="AA64" s="75">
        <v>0.37</v>
      </c>
      <c r="AB64" s="75">
        <v>0.42</v>
      </c>
      <c r="AC64" s="75">
        <v>0.57999999999999996</v>
      </c>
      <c r="AD64" s="75">
        <v>0.67</v>
      </c>
      <c r="AE64" s="75">
        <v>0.83</v>
      </c>
      <c r="AF64" s="75">
        <v>1</v>
      </c>
      <c r="AG64" s="74" t="s">
        <v>533</v>
      </c>
      <c r="AH64" s="74" t="s">
        <v>530</v>
      </c>
      <c r="AI64" s="78" t="s">
        <v>539</v>
      </c>
      <c r="AJ64" s="79" t="s">
        <v>539</v>
      </c>
      <c r="AK64" s="80">
        <v>46023</v>
      </c>
      <c r="AL64" s="80">
        <v>46387</v>
      </c>
      <c r="AM64" s="79"/>
      <c r="AN64" s="79"/>
      <c r="AO64" s="79"/>
      <c r="AP64" s="81" t="s">
        <v>540</v>
      </c>
      <c r="AQ64" s="80" t="str" cm="1">
        <f t="array" ref="AQ64">IFERROR(DATE(2026, _xlfn.AGGREGATE(15, 6, (COLUMN(CI64:CT64)-COLUMN(CI64)+1)/(CI64:CT64&lt;&gt;0), 1), 1),"N/A")</f>
        <v>N/A</v>
      </c>
      <c r="AR64" s="80" t="str" cm="1">
        <f t="array" ref="AR64">IFERROR(EOMONTH(DATE(2026, _xlfn.AGGREGATE(14, 6, (COLUMN(CI64:CT64)-COLUMN(CI64)+1)/(CI64:CT64&lt;&gt;0), 1), 1), 0),"N/A")</f>
        <v>N/A</v>
      </c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4" t="s">
        <v>776</v>
      </c>
      <c r="BG64" s="74"/>
      <c r="BH64" s="74" t="s">
        <v>844</v>
      </c>
      <c r="BI64" s="74" t="s">
        <v>137</v>
      </c>
      <c r="BJ64" s="78">
        <v>530602</v>
      </c>
      <c r="BK64" s="82" t="s">
        <v>74</v>
      </c>
      <c r="BL64" s="83">
        <v>6600</v>
      </c>
      <c r="BM64" s="73">
        <v>0</v>
      </c>
      <c r="BN64" s="73">
        <v>0</v>
      </c>
      <c r="BO64" s="73">
        <v>0</v>
      </c>
      <c r="BP64" s="73">
        <v>0</v>
      </c>
      <c r="BQ64" s="84">
        <v>6600</v>
      </c>
      <c r="BR64" s="73">
        <v>0</v>
      </c>
      <c r="BS64" s="73">
        <v>0</v>
      </c>
      <c r="BT64" s="73">
        <v>0</v>
      </c>
      <c r="BU64" s="73">
        <v>0</v>
      </c>
      <c r="BV64" s="73">
        <v>0</v>
      </c>
      <c r="BW64" s="73">
        <v>0</v>
      </c>
      <c r="BX64" s="73">
        <v>0</v>
      </c>
      <c r="BY64" s="73"/>
      <c r="BZ64" s="73"/>
      <c r="CA64" s="73">
        <v>-6600</v>
      </c>
      <c r="CB64" s="73"/>
      <c r="CC64" s="73"/>
      <c r="CD64" s="73"/>
      <c r="CE64" s="73"/>
      <c r="CF64" s="73"/>
      <c r="CG64" s="73"/>
      <c r="CH64" s="73">
        <f t="shared" si="1"/>
        <v>0</v>
      </c>
      <c r="CI64" s="73"/>
      <c r="CJ64" s="73"/>
      <c r="CK64" s="72">
        <v>0</v>
      </c>
      <c r="CL64" s="73">
        <v>0</v>
      </c>
      <c r="CM64" s="84">
        <v>0</v>
      </c>
      <c r="CN64" s="73">
        <v>0</v>
      </c>
      <c r="CO64" s="73">
        <v>0</v>
      </c>
      <c r="CP64" s="73">
        <v>0</v>
      </c>
      <c r="CQ64" s="73">
        <v>0</v>
      </c>
      <c r="CR64" s="73">
        <v>0</v>
      </c>
      <c r="CS64" s="73">
        <v>0</v>
      </c>
      <c r="CT64" s="73">
        <v>0</v>
      </c>
      <c r="CU64" s="73"/>
      <c r="CV64" s="84">
        <f t="shared" si="0"/>
        <v>0</v>
      </c>
      <c r="CW64" s="84"/>
      <c r="CX64" s="74"/>
      <c r="CY64" s="74"/>
      <c r="CZ64" s="74"/>
      <c r="DA64" s="74"/>
      <c r="DB64" s="74"/>
      <c r="DC64" s="74"/>
      <c r="DD64" s="74"/>
    </row>
    <row r="65" spans="1:108" s="68" customFormat="1" ht="15" hidden="1" customHeight="1" x14ac:dyDescent="0.25">
      <c r="A65" s="74" t="s">
        <v>696</v>
      </c>
      <c r="B65" s="74" t="s">
        <v>154</v>
      </c>
      <c r="C65" s="74" t="s">
        <v>172</v>
      </c>
      <c r="D65" s="74" t="s">
        <v>196</v>
      </c>
      <c r="E65" s="74" t="s">
        <v>309</v>
      </c>
      <c r="F65" s="74" t="s">
        <v>550</v>
      </c>
      <c r="G65" s="74" t="s">
        <v>137</v>
      </c>
      <c r="H65" s="74" t="s">
        <v>137</v>
      </c>
      <c r="I65" s="74" t="s">
        <v>66</v>
      </c>
      <c r="J65" s="74" t="s">
        <v>29</v>
      </c>
      <c r="K65" s="82" t="s">
        <v>137</v>
      </c>
      <c r="L65" s="82" t="s">
        <v>137</v>
      </c>
      <c r="M65" s="82" t="s">
        <v>137</v>
      </c>
      <c r="N65" s="82" t="s">
        <v>137</v>
      </c>
      <c r="O65" s="82" t="s">
        <v>137</v>
      </c>
      <c r="P65" s="82" t="s">
        <v>137</v>
      </c>
      <c r="Q65" s="74" t="s">
        <v>87</v>
      </c>
      <c r="R65" s="74" t="s">
        <v>709</v>
      </c>
      <c r="S65" s="74" t="s">
        <v>40</v>
      </c>
      <c r="T65" s="74" t="s">
        <v>2</v>
      </c>
      <c r="U65" s="75"/>
      <c r="V65" s="75">
        <v>0.05</v>
      </c>
      <c r="W65" s="75">
        <v>0.08</v>
      </c>
      <c r="X65" s="75">
        <v>0.15</v>
      </c>
      <c r="Y65" s="75">
        <v>0.2</v>
      </c>
      <c r="Z65" s="75">
        <v>0.25</v>
      </c>
      <c r="AA65" s="75">
        <v>0.37</v>
      </c>
      <c r="AB65" s="75">
        <v>0.42</v>
      </c>
      <c r="AC65" s="75">
        <v>0.57999999999999996</v>
      </c>
      <c r="AD65" s="75">
        <v>0.67</v>
      </c>
      <c r="AE65" s="75">
        <v>0.83</v>
      </c>
      <c r="AF65" s="75">
        <v>1</v>
      </c>
      <c r="AG65" s="74" t="s">
        <v>533</v>
      </c>
      <c r="AH65" s="74" t="s">
        <v>530</v>
      </c>
      <c r="AI65" s="78" t="s">
        <v>539</v>
      </c>
      <c r="AJ65" s="79" t="s">
        <v>539</v>
      </c>
      <c r="AK65" s="80">
        <v>46023</v>
      </c>
      <c r="AL65" s="80">
        <v>46387</v>
      </c>
      <c r="AM65" s="79"/>
      <c r="AN65" s="79"/>
      <c r="AO65" s="79"/>
      <c r="AP65" s="81" t="s">
        <v>540</v>
      </c>
      <c r="AQ65" s="80" cm="1">
        <f t="array" ref="AQ65">IFERROR(DATE(2026, _xlfn.AGGREGATE(15, 6, (COLUMN(CI65:CT65)-COLUMN(CI65)+1)/(CI65:CT65&lt;&gt;0), 1), 1),"N/A")</f>
        <v>46204</v>
      </c>
      <c r="AR65" s="80" cm="1">
        <f t="array" ref="AR65">IFERROR(EOMONTH(DATE(2026, _xlfn.AGGREGATE(14, 6, (COLUMN(CI65:CT65)-COLUMN(CI65)+1)/(CI65:CT65&lt;&gt;0), 1), 1), 0),"N/A")</f>
        <v>46234</v>
      </c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4" t="s">
        <v>1057</v>
      </c>
      <c r="BG65" s="74"/>
      <c r="BH65" s="74" t="s">
        <v>1058</v>
      </c>
      <c r="BI65" s="74" t="s">
        <v>137</v>
      </c>
      <c r="BJ65" s="78">
        <v>530602</v>
      </c>
      <c r="BK65" s="82" t="s">
        <v>74</v>
      </c>
      <c r="BL65" s="83">
        <v>0</v>
      </c>
      <c r="BM65" s="73"/>
      <c r="BN65" s="73"/>
      <c r="BO65" s="73"/>
      <c r="BP65" s="73"/>
      <c r="BQ65" s="73"/>
      <c r="BR65" s="73"/>
      <c r="BS65" s="73"/>
      <c r="BT65" s="73"/>
      <c r="BU65" s="84"/>
      <c r="BV65" s="73"/>
      <c r="BW65" s="73"/>
      <c r="BX65" s="73"/>
      <c r="BY65" s="73"/>
      <c r="BZ65" s="73"/>
      <c r="CA65" s="73">
        <v>6600</v>
      </c>
      <c r="CB65" s="73"/>
      <c r="CC65" s="73"/>
      <c r="CD65" s="73"/>
      <c r="CE65" s="73"/>
      <c r="CF65" s="73"/>
      <c r="CG65" s="73"/>
      <c r="CH65" s="73">
        <f t="shared" si="1"/>
        <v>6600</v>
      </c>
      <c r="CI65" s="73"/>
      <c r="CJ65" s="73"/>
      <c r="CK65" s="72"/>
      <c r="CL65" s="73"/>
      <c r="CM65" s="119"/>
      <c r="CN65" s="73"/>
      <c r="CO65" s="73">
        <v>4600</v>
      </c>
      <c r="CP65" s="73"/>
      <c r="CQ65" s="84"/>
      <c r="CR65" s="73"/>
      <c r="CS65" s="73"/>
      <c r="CT65" s="73"/>
      <c r="CU65" s="73">
        <v>2000</v>
      </c>
      <c r="CV65" s="84">
        <f t="shared" si="0"/>
        <v>0</v>
      </c>
      <c r="CW65" s="84"/>
      <c r="CX65" s="74"/>
      <c r="CY65" s="74"/>
      <c r="CZ65" s="74"/>
      <c r="DA65" s="74"/>
      <c r="DB65" s="74"/>
      <c r="DC65" s="74"/>
      <c r="DD65" s="74"/>
    </row>
    <row r="66" spans="1:108" s="68" customFormat="1" ht="15" hidden="1" customHeight="1" x14ac:dyDescent="0.25">
      <c r="A66" s="74" t="s">
        <v>696</v>
      </c>
      <c r="B66" s="74" t="s">
        <v>154</v>
      </c>
      <c r="C66" s="74" t="s">
        <v>172</v>
      </c>
      <c r="D66" s="74" t="s">
        <v>196</v>
      </c>
      <c r="E66" s="74" t="s">
        <v>309</v>
      </c>
      <c r="F66" s="74" t="s">
        <v>550</v>
      </c>
      <c r="G66" s="74" t="s">
        <v>137</v>
      </c>
      <c r="H66" s="74" t="s">
        <v>137</v>
      </c>
      <c r="I66" s="74" t="s">
        <v>66</v>
      </c>
      <c r="J66" s="74" t="s">
        <v>29</v>
      </c>
      <c r="K66" s="82" t="s">
        <v>137</v>
      </c>
      <c r="L66" s="82" t="s">
        <v>137</v>
      </c>
      <c r="M66" s="82" t="s">
        <v>137</v>
      </c>
      <c r="N66" s="82" t="s">
        <v>137</v>
      </c>
      <c r="O66" s="82" t="s">
        <v>137</v>
      </c>
      <c r="P66" s="82" t="s">
        <v>137</v>
      </c>
      <c r="Q66" s="74" t="s">
        <v>87</v>
      </c>
      <c r="R66" s="74" t="s">
        <v>709</v>
      </c>
      <c r="S66" s="74" t="s">
        <v>40</v>
      </c>
      <c r="T66" s="74" t="s">
        <v>2</v>
      </c>
      <c r="U66" s="75"/>
      <c r="V66" s="75">
        <v>0.05</v>
      </c>
      <c r="W66" s="75">
        <v>0.08</v>
      </c>
      <c r="X66" s="75">
        <v>0.15</v>
      </c>
      <c r="Y66" s="75">
        <v>0.2</v>
      </c>
      <c r="Z66" s="75">
        <v>0.25</v>
      </c>
      <c r="AA66" s="75">
        <v>0.37</v>
      </c>
      <c r="AB66" s="75">
        <v>0.42</v>
      </c>
      <c r="AC66" s="75">
        <v>0.57999999999999996</v>
      </c>
      <c r="AD66" s="75">
        <v>0.67</v>
      </c>
      <c r="AE66" s="75">
        <v>0.83</v>
      </c>
      <c r="AF66" s="75">
        <v>1</v>
      </c>
      <c r="AG66" s="74" t="s">
        <v>533</v>
      </c>
      <c r="AH66" s="74" t="s">
        <v>530</v>
      </c>
      <c r="AI66" s="78" t="s">
        <v>539</v>
      </c>
      <c r="AJ66" s="79" t="s">
        <v>539</v>
      </c>
      <c r="AK66" s="80">
        <v>46023</v>
      </c>
      <c r="AL66" s="80">
        <v>46387</v>
      </c>
      <c r="AM66" s="79"/>
      <c r="AN66" s="79"/>
      <c r="AO66" s="79"/>
      <c r="AP66" s="81" t="s">
        <v>540</v>
      </c>
      <c r="AQ66" s="80" t="str" cm="1">
        <f t="array" ref="AQ66">IFERROR(DATE(2026, _xlfn.AGGREGATE(15, 6, (COLUMN(CI66:CT66)-COLUMN(CI66)+1)/(CI66:CT66&lt;&gt;0), 1), 1),"N/A")</f>
        <v>N/A</v>
      </c>
      <c r="AR66" s="80" t="str" cm="1">
        <f t="array" ref="AR66">IFERROR(EOMONTH(DATE(2026, _xlfn.AGGREGATE(14, 6, (COLUMN(CI66:CT66)-COLUMN(CI66)+1)/(CI66:CT66&lt;&gt;0), 1), 1), 0),"N/A")</f>
        <v>N/A</v>
      </c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4" t="s">
        <v>708</v>
      </c>
      <c r="BG66" s="74"/>
      <c r="BH66" s="74" t="s">
        <v>874</v>
      </c>
      <c r="BI66" s="74" t="s">
        <v>137</v>
      </c>
      <c r="BJ66" s="78">
        <v>530601</v>
      </c>
      <c r="BK66" s="82" t="s">
        <v>74</v>
      </c>
      <c r="BL66" s="83">
        <v>14400</v>
      </c>
      <c r="BM66" s="84"/>
      <c r="BN66" s="84"/>
      <c r="BO66" s="84"/>
      <c r="BP66" s="72"/>
      <c r="BQ66" s="84"/>
      <c r="BR66" s="84"/>
      <c r="BS66" s="84">
        <v>14400</v>
      </c>
      <c r="BT66" s="84"/>
      <c r="BU66" s="84"/>
      <c r="BV66" s="84"/>
      <c r="BW66" s="84"/>
      <c r="BX66" s="84"/>
      <c r="BY66" s="84"/>
      <c r="BZ66" s="84">
        <v>-14400</v>
      </c>
      <c r="CA66" s="84"/>
      <c r="CB66" s="84"/>
      <c r="CC66" s="84"/>
      <c r="CD66" s="84"/>
      <c r="CE66" s="84"/>
      <c r="CF66" s="84"/>
      <c r="CG66" s="84"/>
      <c r="CH66" s="73">
        <f t="shared" si="1"/>
        <v>0</v>
      </c>
      <c r="CI66" s="84"/>
      <c r="CJ66" s="84"/>
      <c r="CK66" s="84"/>
      <c r="CL66" s="72"/>
      <c r="CM66" s="84"/>
      <c r="CN66" s="84"/>
      <c r="CO66" s="84">
        <v>0</v>
      </c>
      <c r="CP66" s="84"/>
      <c r="CQ66" s="84"/>
      <c r="CR66" s="84"/>
      <c r="CS66" s="84"/>
      <c r="CT66" s="84"/>
      <c r="CU66" s="84"/>
      <c r="CV66" s="84">
        <f t="shared" si="0"/>
        <v>0</v>
      </c>
      <c r="CW66" s="84"/>
      <c r="CX66" s="74"/>
      <c r="CY66" s="74"/>
      <c r="CZ66" s="74"/>
      <c r="DA66" s="74"/>
      <c r="DB66" s="74"/>
      <c r="DC66" s="74"/>
      <c r="DD66" s="74"/>
    </row>
    <row r="67" spans="1:108" s="402" customFormat="1" ht="15" hidden="1" customHeight="1" x14ac:dyDescent="0.25">
      <c r="A67" s="398" t="s">
        <v>690</v>
      </c>
      <c r="B67" s="74" t="s">
        <v>154</v>
      </c>
      <c r="C67" s="74" t="s">
        <v>172</v>
      </c>
      <c r="D67" s="74" t="s">
        <v>196</v>
      </c>
      <c r="E67" s="74" t="s">
        <v>309</v>
      </c>
      <c r="F67" s="74" t="s">
        <v>550</v>
      </c>
      <c r="G67" s="74" t="s">
        <v>137</v>
      </c>
      <c r="H67" s="74" t="s">
        <v>137</v>
      </c>
      <c r="I67" s="74" t="s">
        <v>66</v>
      </c>
      <c r="J67" s="74" t="s">
        <v>29</v>
      </c>
      <c r="K67" s="82" t="s">
        <v>137</v>
      </c>
      <c r="L67" s="82" t="s">
        <v>137</v>
      </c>
      <c r="M67" s="82" t="s">
        <v>137</v>
      </c>
      <c r="N67" s="82" t="s">
        <v>137</v>
      </c>
      <c r="O67" s="82" t="s">
        <v>137</v>
      </c>
      <c r="P67" s="82" t="s">
        <v>137</v>
      </c>
      <c r="Q67" s="74" t="s">
        <v>87</v>
      </c>
      <c r="R67" s="74" t="s">
        <v>709</v>
      </c>
      <c r="S67" s="74" t="s">
        <v>40</v>
      </c>
      <c r="T67" s="74" t="s">
        <v>2</v>
      </c>
      <c r="U67" s="75"/>
      <c r="V67" s="75">
        <v>0.05</v>
      </c>
      <c r="W67" s="75">
        <v>0.08</v>
      </c>
      <c r="X67" s="75">
        <v>0.15</v>
      </c>
      <c r="Y67" s="75">
        <v>0.2</v>
      </c>
      <c r="Z67" s="75">
        <v>0.25</v>
      </c>
      <c r="AA67" s="75">
        <v>0.37</v>
      </c>
      <c r="AB67" s="75">
        <v>0.42</v>
      </c>
      <c r="AC67" s="75">
        <v>0.57999999999999996</v>
      </c>
      <c r="AD67" s="75">
        <v>0.67</v>
      </c>
      <c r="AE67" s="75">
        <v>0.83</v>
      </c>
      <c r="AF67" s="75">
        <v>1</v>
      </c>
      <c r="AG67" s="74" t="s">
        <v>772</v>
      </c>
      <c r="AH67" s="74" t="s">
        <v>531</v>
      </c>
      <c r="AI67" s="78" t="s">
        <v>539</v>
      </c>
      <c r="AJ67" s="79" t="s">
        <v>539</v>
      </c>
      <c r="AK67" s="80">
        <v>46023</v>
      </c>
      <c r="AL67" s="80">
        <v>46387</v>
      </c>
      <c r="AM67" s="79"/>
      <c r="AN67" s="79"/>
      <c r="AO67" s="79"/>
      <c r="AP67" s="81" t="s">
        <v>540</v>
      </c>
      <c r="AQ67" s="80" cm="1">
        <f t="array" ref="AQ67">IFERROR(DATE(2026, _xlfn.AGGREGATE(15, 6, (COLUMN(CI67:CT67)-COLUMN(CI67)+1)/(CI67:CT67&lt;&gt;0), 1), 1),"N/A")</f>
        <v>46082</v>
      </c>
      <c r="AR67" s="80" cm="1">
        <f t="array" ref="AR67">IFERROR(EOMONTH(DATE(2026, _xlfn.AGGREGATE(14, 6, (COLUMN(CI67:CT67)-COLUMN(CI67)+1)/(CI67:CT67&lt;&gt;0), 1), 1), 0),"N/A")</f>
        <v>46234</v>
      </c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398" t="s">
        <v>721</v>
      </c>
      <c r="BG67" s="74"/>
      <c r="BH67" s="398" t="s">
        <v>752</v>
      </c>
      <c r="BI67" s="74" t="s">
        <v>137</v>
      </c>
      <c r="BJ67" s="399">
        <v>530606</v>
      </c>
      <c r="BK67" s="400" t="s">
        <v>74</v>
      </c>
      <c r="BL67" s="83">
        <f>9000+5400</f>
        <v>14400</v>
      </c>
      <c r="BM67" s="73">
        <v>1800</v>
      </c>
      <c r="BN67" s="84">
        <v>1800</v>
      </c>
      <c r="BO67" s="84">
        <v>1800</v>
      </c>
      <c r="BP67" s="72">
        <v>1800</v>
      </c>
      <c r="BQ67" s="84">
        <v>1800</v>
      </c>
      <c r="BR67" s="84">
        <v>1800</v>
      </c>
      <c r="BS67" s="84">
        <v>1800</v>
      </c>
      <c r="BT67" s="84">
        <v>1800</v>
      </c>
      <c r="BU67" s="84"/>
      <c r="BV67" s="84"/>
      <c r="BW67" s="84"/>
      <c r="BX67" s="84"/>
      <c r="BY67" s="84">
        <v>1600</v>
      </c>
      <c r="BZ67" s="84"/>
      <c r="CA67" s="84">
        <v>-1600</v>
      </c>
      <c r="CB67" s="84"/>
      <c r="CC67" s="84"/>
      <c r="CD67" s="84"/>
      <c r="CE67" s="84"/>
      <c r="CF67" s="84"/>
      <c r="CG67" s="84"/>
      <c r="CH67" s="403">
        <f t="shared" si="1"/>
        <v>14400</v>
      </c>
      <c r="CI67" s="73"/>
      <c r="CJ67" s="84"/>
      <c r="CK67" s="84">
        <v>4000</v>
      </c>
      <c r="CL67" s="72">
        <v>2000</v>
      </c>
      <c r="CM67" s="118"/>
      <c r="CN67" s="84"/>
      <c r="CO67" s="84">
        <v>8400</v>
      </c>
      <c r="CP67" s="84"/>
      <c r="CQ67" s="84"/>
      <c r="CR67" s="84"/>
      <c r="CS67" s="84"/>
      <c r="CT67" s="404"/>
      <c r="CU67" s="404"/>
      <c r="CV67" s="404">
        <f t="shared" si="0"/>
        <v>0</v>
      </c>
      <c r="CW67" s="404"/>
      <c r="CX67" s="398"/>
      <c r="CY67" s="398"/>
      <c r="CZ67" s="398"/>
      <c r="DA67" s="398"/>
      <c r="DB67" s="398"/>
      <c r="DC67" s="398"/>
      <c r="DD67" s="398"/>
    </row>
    <row r="68" spans="1:108" s="68" customFormat="1" ht="15" hidden="1" customHeight="1" x14ac:dyDescent="0.25">
      <c r="A68" s="74" t="s">
        <v>690</v>
      </c>
      <c r="B68" s="74" t="s">
        <v>154</v>
      </c>
      <c r="C68" s="74" t="s">
        <v>172</v>
      </c>
      <c r="D68" s="74" t="s">
        <v>196</v>
      </c>
      <c r="E68" s="74" t="s">
        <v>309</v>
      </c>
      <c r="F68" s="74" t="s">
        <v>550</v>
      </c>
      <c r="G68" s="74" t="s">
        <v>137</v>
      </c>
      <c r="H68" s="74" t="s">
        <v>137</v>
      </c>
      <c r="I68" s="74" t="s">
        <v>66</v>
      </c>
      <c r="J68" s="74" t="s">
        <v>29</v>
      </c>
      <c r="K68" s="82" t="s">
        <v>137</v>
      </c>
      <c r="L68" s="82" t="s">
        <v>137</v>
      </c>
      <c r="M68" s="82" t="s">
        <v>137</v>
      </c>
      <c r="N68" s="82" t="s">
        <v>137</v>
      </c>
      <c r="O68" s="82" t="s">
        <v>137</v>
      </c>
      <c r="P68" s="82" t="s">
        <v>137</v>
      </c>
      <c r="Q68" s="74" t="s">
        <v>87</v>
      </c>
      <c r="R68" s="74" t="s">
        <v>709</v>
      </c>
      <c r="S68" s="74" t="s">
        <v>40</v>
      </c>
      <c r="T68" s="74" t="s">
        <v>2</v>
      </c>
      <c r="U68" s="75"/>
      <c r="V68" s="75">
        <v>0.05</v>
      </c>
      <c r="W68" s="75">
        <v>0.08</v>
      </c>
      <c r="X68" s="75">
        <v>0.15</v>
      </c>
      <c r="Y68" s="75">
        <v>0.2</v>
      </c>
      <c r="Z68" s="75">
        <v>0.25</v>
      </c>
      <c r="AA68" s="75">
        <v>0.37</v>
      </c>
      <c r="AB68" s="75">
        <v>0.42</v>
      </c>
      <c r="AC68" s="75">
        <v>0.57999999999999996</v>
      </c>
      <c r="AD68" s="75">
        <v>0.67</v>
      </c>
      <c r="AE68" s="75">
        <v>0.83</v>
      </c>
      <c r="AF68" s="75">
        <v>1</v>
      </c>
      <c r="AG68" s="74" t="s">
        <v>533</v>
      </c>
      <c r="AH68" s="74" t="s">
        <v>530</v>
      </c>
      <c r="AI68" s="78" t="s">
        <v>539</v>
      </c>
      <c r="AJ68" s="79" t="s">
        <v>539</v>
      </c>
      <c r="AK68" s="80">
        <v>46023</v>
      </c>
      <c r="AL68" s="80">
        <v>46387</v>
      </c>
      <c r="AM68" s="79"/>
      <c r="AN68" s="79"/>
      <c r="AO68" s="79"/>
      <c r="AP68" s="81" t="s">
        <v>540</v>
      </c>
      <c r="AQ68" s="80" cm="1">
        <f t="array" ref="AQ68">IFERROR(DATE(2026, _xlfn.AGGREGATE(15, 6, (COLUMN(CI68:CT68)-COLUMN(CI68)+1)/(CI68:CT68&lt;&gt;0), 1), 1),"N/A")</f>
        <v>46113</v>
      </c>
      <c r="AR68" s="80" cm="1">
        <f t="array" ref="AR68">IFERROR(EOMONTH(DATE(2026, _xlfn.AGGREGATE(14, 6, (COLUMN(CI68:CT68)-COLUMN(CI68)+1)/(CI68:CT68&lt;&gt;0), 1), 1), 0),"N/A")</f>
        <v>46142</v>
      </c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4" t="s">
        <v>666</v>
      </c>
      <c r="BG68" s="74"/>
      <c r="BH68" s="74" t="s">
        <v>809</v>
      </c>
      <c r="BI68" s="74" t="s">
        <v>137</v>
      </c>
      <c r="BJ68" s="78">
        <v>570201</v>
      </c>
      <c r="BK68" s="82" t="s">
        <v>74</v>
      </c>
      <c r="BL68" s="83">
        <v>40000</v>
      </c>
      <c r="BM68" s="73">
        <v>0</v>
      </c>
      <c r="BN68" s="73">
        <v>0</v>
      </c>
      <c r="BO68" s="73">
        <v>0</v>
      </c>
      <c r="BP68" s="72">
        <v>40000</v>
      </c>
      <c r="BQ68" s="73">
        <v>0</v>
      </c>
      <c r="BR68" s="73">
        <v>0</v>
      </c>
      <c r="BS68" s="73">
        <v>0</v>
      </c>
      <c r="BT68" s="73">
        <v>0</v>
      </c>
      <c r="BU68" s="73">
        <v>0</v>
      </c>
      <c r="BV68" s="73">
        <v>0</v>
      </c>
      <c r="BW68" s="73">
        <v>0</v>
      </c>
      <c r="BX68" s="73">
        <v>0</v>
      </c>
      <c r="BY68" s="73">
        <v>-150</v>
      </c>
      <c r="BZ68" s="73"/>
      <c r="CA68" s="73"/>
      <c r="CB68" s="73"/>
      <c r="CC68" s="73"/>
      <c r="CD68" s="73"/>
      <c r="CE68" s="73"/>
      <c r="CF68" s="73"/>
      <c r="CG68" s="73"/>
      <c r="CH68" s="73">
        <f t="shared" si="1"/>
        <v>39850</v>
      </c>
      <c r="CI68" s="73"/>
      <c r="CJ68" s="73"/>
      <c r="CK68" s="72">
        <v>0</v>
      </c>
      <c r="CL68" s="72">
        <v>39850</v>
      </c>
      <c r="CM68" s="73">
        <v>0</v>
      </c>
      <c r="CN68" s="73">
        <v>0</v>
      </c>
      <c r="CO68" s="73">
        <v>0</v>
      </c>
      <c r="CP68" s="73">
        <v>0</v>
      </c>
      <c r="CQ68" s="73">
        <v>0</v>
      </c>
      <c r="CR68" s="73">
        <v>0</v>
      </c>
      <c r="CS68" s="73">
        <v>0</v>
      </c>
      <c r="CT68" s="73">
        <v>0</v>
      </c>
      <c r="CU68" s="73"/>
      <c r="CV68" s="84">
        <f t="shared" si="0"/>
        <v>0</v>
      </c>
      <c r="CW68" s="84"/>
      <c r="CX68" s="74"/>
      <c r="CY68" s="74"/>
      <c r="CZ68" s="74"/>
      <c r="DA68" s="74"/>
      <c r="DB68" s="74"/>
      <c r="DC68" s="74"/>
      <c r="DD68" s="74"/>
    </row>
    <row r="69" spans="1:108" s="68" customFormat="1" ht="15" hidden="1" customHeight="1" x14ac:dyDescent="0.25">
      <c r="A69" s="74" t="s">
        <v>689</v>
      </c>
      <c r="B69" s="74" t="s">
        <v>154</v>
      </c>
      <c r="C69" s="74" t="s">
        <v>172</v>
      </c>
      <c r="D69" s="74" t="s">
        <v>196</v>
      </c>
      <c r="E69" s="74" t="s">
        <v>309</v>
      </c>
      <c r="F69" s="74" t="s">
        <v>550</v>
      </c>
      <c r="G69" s="74" t="s">
        <v>137</v>
      </c>
      <c r="H69" s="74" t="s">
        <v>137</v>
      </c>
      <c r="I69" s="74" t="s">
        <v>66</v>
      </c>
      <c r="J69" s="74" t="s">
        <v>29</v>
      </c>
      <c r="K69" s="82" t="s">
        <v>137</v>
      </c>
      <c r="L69" s="82" t="s">
        <v>137</v>
      </c>
      <c r="M69" s="82" t="s">
        <v>137</v>
      </c>
      <c r="N69" s="82" t="s">
        <v>137</v>
      </c>
      <c r="O69" s="82" t="s">
        <v>137</v>
      </c>
      <c r="P69" s="82" t="s">
        <v>137</v>
      </c>
      <c r="Q69" s="74" t="s">
        <v>87</v>
      </c>
      <c r="R69" s="74" t="s">
        <v>709</v>
      </c>
      <c r="S69" s="74" t="s">
        <v>40</v>
      </c>
      <c r="T69" s="74" t="s">
        <v>2</v>
      </c>
      <c r="U69" s="75"/>
      <c r="V69" s="75">
        <v>0.05</v>
      </c>
      <c r="W69" s="75">
        <v>0.08</v>
      </c>
      <c r="X69" s="75">
        <v>0.15</v>
      </c>
      <c r="Y69" s="75">
        <v>0.2</v>
      </c>
      <c r="Z69" s="75">
        <v>0.25</v>
      </c>
      <c r="AA69" s="75">
        <v>0.37</v>
      </c>
      <c r="AB69" s="75">
        <v>0.42</v>
      </c>
      <c r="AC69" s="75">
        <v>0.57999999999999996</v>
      </c>
      <c r="AD69" s="75">
        <v>0.67</v>
      </c>
      <c r="AE69" s="75">
        <v>0.83</v>
      </c>
      <c r="AF69" s="75">
        <v>1</v>
      </c>
      <c r="AG69" s="74" t="s">
        <v>533</v>
      </c>
      <c r="AH69" s="74" t="s">
        <v>530</v>
      </c>
      <c r="AI69" s="78" t="s">
        <v>539</v>
      </c>
      <c r="AJ69" s="79" t="s">
        <v>539</v>
      </c>
      <c r="AK69" s="80">
        <v>46023</v>
      </c>
      <c r="AL69" s="80">
        <v>46387</v>
      </c>
      <c r="AM69" s="79"/>
      <c r="AN69" s="79"/>
      <c r="AO69" s="79"/>
      <c r="AP69" s="81" t="s">
        <v>540</v>
      </c>
      <c r="AQ69" s="80" cm="1">
        <f t="array" ref="AQ69">IFERROR(DATE(2026, _xlfn.AGGREGATE(15, 6, (COLUMN(CI69:CT69)-COLUMN(CI69)+1)/(CI69:CT69&lt;&gt;0), 1), 1),"N/A")</f>
        <v>46204</v>
      </c>
      <c r="AR69" s="80" cm="1">
        <f t="array" ref="AR69">IFERROR(EOMONTH(DATE(2026, _xlfn.AGGREGATE(14, 6, (COLUMN(CI69:CT69)-COLUMN(CI69)+1)/(CI69:CT69&lt;&gt;0), 1), 1), 0),"N/A")</f>
        <v>46326</v>
      </c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4" t="s">
        <v>1038</v>
      </c>
      <c r="BG69" s="74"/>
      <c r="BH69" s="74" t="s">
        <v>1039</v>
      </c>
      <c r="BI69" s="74" t="s">
        <v>137</v>
      </c>
      <c r="BJ69" s="78">
        <v>530606</v>
      </c>
      <c r="BK69" s="82" t="s">
        <v>74</v>
      </c>
      <c r="BL69" s="83">
        <v>0</v>
      </c>
      <c r="BM69" s="73"/>
      <c r="BN69" s="73"/>
      <c r="BO69" s="73"/>
      <c r="BP69" s="73"/>
      <c r="BQ69" s="73"/>
      <c r="BR69" s="84"/>
      <c r="BS69" s="73"/>
      <c r="BT69" s="73"/>
      <c r="BU69" s="73"/>
      <c r="BV69" s="73"/>
      <c r="BW69" s="73"/>
      <c r="BX69" s="73"/>
      <c r="BY69" s="73"/>
      <c r="BZ69" s="73"/>
      <c r="CA69" s="73">
        <v>6448</v>
      </c>
      <c r="CB69" s="73"/>
      <c r="CC69" s="73"/>
      <c r="CD69" s="73"/>
      <c r="CE69" s="73"/>
      <c r="CF69" s="73"/>
      <c r="CG69" s="73"/>
      <c r="CH69" s="73">
        <f t="shared" si="1"/>
        <v>6448</v>
      </c>
      <c r="CI69" s="73"/>
      <c r="CJ69" s="73"/>
      <c r="CK69" s="72"/>
      <c r="CL69" s="73"/>
      <c r="CM69" s="119"/>
      <c r="CN69" s="73"/>
      <c r="CO69" s="73">
        <v>1612</v>
      </c>
      <c r="CP69" s="73">
        <v>1612</v>
      </c>
      <c r="CQ69" s="73">
        <v>1612</v>
      </c>
      <c r="CR69" s="73">
        <v>1612</v>
      </c>
      <c r="CS69" s="73"/>
      <c r="CT69" s="73"/>
      <c r="CU69" s="73"/>
      <c r="CV69" s="84">
        <f t="shared" si="0"/>
        <v>0</v>
      </c>
      <c r="CW69" s="84"/>
      <c r="CX69" s="74"/>
      <c r="CY69" s="74"/>
      <c r="CZ69" s="74"/>
      <c r="DA69" s="74"/>
      <c r="DB69" s="74"/>
      <c r="DC69" s="74"/>
      <c r="DD69" s="74"/>
    </row>
    <row r="70" spans="1:108" s="68" customFormat="1" ht="15" hidden="1" customHeight="1" x14ac:dyDescent="0.25">
      <c r="A70" s="74" t="s">
        <v>696</v>
      </c>
      <c r="B70" s="74" t="s">
        <v>154</v>
      </c>
      <c r="C70" s="74" t="s">
        <v>172</v>
      </c>
      <c r="D70" s="74" t="s">
        <v>196</v>
      </c>
      <c r="E70" s="74" t="s">
        <v>309</v>
      </c>
      <c r="F70" s="74" t="s">
        <v>550</v>
      </c>
      <c r="G70" s="74" t="s">
        <v>137</v>
      </c>
      <c r="H70" s="74" t="s">
        <v>137</v>
      </c>
      <c r="I70" s="74" t="s">
        <v>66</v>
      </c>
      <c r="J70" s="74" t="s">
        <v>29</v>
      </c>
      <c r="K70" s="82" t="s">
        <v>137</v>
      </c>
      <c r="L70" s="82" t="s">
        <v>137</v>
      </c>
      <c r="M70" s="82" t="s">
        <v>137</v>
      </c>
      <c r="N70" s="82" t="s">
        <v>137</v>
      </c>
      <c r="O70" s="82" t="s">
        <v>137</v>
      </c>
      <c r="P70" s="82" t="s">
        <v>137</v>
      </c>
      <c r="Q70" s="74" t="s">
        <v>87</v>
      </c>
      <c r="R70" s="74" t="s">
        <v>709</v>
      </c>
      <c r="S70" s="74" t="s">
        <v>40</v>
      </c>
      <c r="T70" s="74" t="s">
        <v>2</v>
      </c>
      <c r="U70" s="75"/>
      <c r="V70" s="75">
        <v>0.05</v>
      </c>
      <c r="W70" s="75">
        <v>0.08</v>
      </c>
      <c r="X70" s="75">
        <v>0.15</v>
      </c>
      <c r="Y70" s="75">
        <v>0.2</v>
      </c>
      <c r="Z70" s="75">
        <v>0.25</v>
      </c>
      <c r="AA70" s="75">
        <v>0.37</v>
      </c>
      <c r="AB70" s="75">
        <v>0.42</v>
      </c>
      <c r="AC70" s="75">
        <v>0.57999999999999996</v>
      </c>
      <c r="AD70" s="75">
        <v>0.67</v>
      </c>
      <c r="AE70" s="75">
        <v>0.83</v>
      </c>
      <c r="AF70" s="75">
        <v>1</v>
      </c>
      <c r="AG70" s="74" t="s">
        <v>533</v>
      </c>
      <c r="AH70" s="74" t="s">
        <v>530</v>
      </c>
      <c r="AI70" s="78" t="s">
        <v>539</v>
      </c>
      <c r="AJ70" s="79" t="s">
        <v>539</v>
      </c>
      <c r="AK70" s="80">
        <v>46023</v>
      </c>
      <c r="AL70" s="80">
        <v>46387</v>
      </c>
      <c r="AM70" s="79"/>
      <c r="AN70" s="79"/>
      <c r="AO70" s="79"/>
      <c r="AP70" s="81" t="s">
        <v>540</v>
      </c>
      <c r="AQ70" s="80" cm="1">
        <f t="array" ref="AQ70">IFERROR(DATE(2026, _xlfn.AGGREGATE(15, 6, (COLUMN(CI70:CT70)-COLUMN(CI70)+1)/(CI70:CT70&lt;&gt;0), 1), 1),"N/A")</f>
        <v>46174</v>
      </c>
      <c r="AR70" s="80" cm="1">
        <f t="array" ref="AR70">IFERROR(EOMONTH(DATE(2026, _xlfn.AGGREGATE(14, 6, (COLUMN(CI70:CT70)-COLUMN(CI70)+1)/(CI70:CT70&lt;&gt;0), 1), 1), 0),"N/A")</f>
        <v>46387</v>
      </c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4" t="s">
        <v>1042</v>
      </c>
      <c r="BG70" s="74"/>
      <c r="BH70" s="74" t="s">
        <v>1043</v>
      </c>
      <c r="BI70" s="74" t="s">
        <v>137</v>
      </c>
      <c r="BJ70" s="78">
        <v>530606</v>
      </c>
      <c r="BK70" s="82" t="s">
        <v>74</v>
      </c>
      <c r="BL70" s="83">
        <v>0</v>
      </c>
      <c r="BM70" s="73"/>
      <c r="BN70" s="73"/>
      <c r="BO70" s="73"/>
      <c r="BP70" s="73"/>
      <c r="BQ70" s="73"/>
      <c r="BR70" s="84"/>
      <c r="BS70" s="73"/>
      <c r="BT70" s="73"/>
      <c r="BU70" s="73"/>
      <c r="BV70" s="73"/>
      <c r="BW70" s="73"/>
      <c r="BX70" s="73"/>
      <c r="BY70" s="73"/>
      <c r="BZ70" s="73"/>
      <c r="CA70" s="73">
        <v>11296</v>
      </c>
      <c r="CB70" s="73"/>
      <c r="CC70" s="73"/>
      <c r="CD70" s="73">
        <v>-1732.91</v>
      </c>
      <c r="CE70" s="73"/>
      <c r="CF70" s="73"/>
      <c r="CG70" s="73"/>
      <c r="CH70" s="73">
        <f t="shared" si="1"/>
        <v>9563.09</v>
      </c>
      <c r="CI70" s="73"/>
      <c r="CJ70" s="73"/>
      <c r="CK70" s="72"/>
      <c r="CL70" s="73"/>
      <c r="CM70" s="73">
        <v>0</v>
      </c>
      <c r="CN70" s="73">
        <v>1091.0899999999999</v>
      </c>
      <c r="CO70" s="73">
        <v>1412</v>
      </c>
      <c r="CP70" s="73">
        <v>1412</v>
      </c>
      <c r="CQ70" s="73">
        <v>1412</v>
      </c>
      <c r="CR70" s="73">
        <v>1412</v>
      </c>
      <c r="CS70" s="73">
        <v>1412</v>
      </c>
      <c r="CT70" s="73">
        <v>1412</v>
      </c>
      <c r="CU70" s="73"/>
      <c r="CV70" s="84">
        <f t="shared" si="0"/>
        <v>0</v>
      </c>
      <c r="CW70" s="84"/>
      <c r="CX70" s="74"/>
      <c r="CY70" s="74"/>
      <c r="CZ70" s="74"/>
      <c r="DA70" s="74"/>
      <c r="DB70" s="74"/>
      <c r="DC70" s="74"/>
      <c r="DD70" s="74"/>
    </row>
    <row r="71" spans="1:108" s="68" customFormat="1" ht="15" hidden="1" customHeight="1" x14ac:dyDescent="0.25">
      <c r="A71" s="74" t="s">
        <v>689</v>
      </c>
      <c r="B71" s="74" t="s">
        <v>154</v>
      </c>
      <c r="C71" s="74" t="s">
        <v>172</v>
      </c>
      <c r="D71" s="74" t="s">
        <v>196</v>
      </c>
      <c r="E71" s="74" t="s">
        <v>309</v>
      </c>
      <c r="F71" s="74" t="s">
        <v>550</v>
      </c>
      <c r="G71" s="74" t="s">
        <v>137</v>
      </c>
      <c r="H71" s="74" t="s">
        <v>137</v>
      </c>
      <c r="I71" s="74" t="s">
        <v>66</v>
      </c>
      <c r="J71" s="74" t="s">
        <v>29</v>
      </c>
      <c r="K71" s="82" t="s">
        <v>137</v>
      </c>
      <c r="L71" s="82" t="s">
        <v>137</v>
      </c>
      <c r="M71" s="82" t="s">
        <v>137</v>
      </c>
      <c r="N71" s="82" t="s">
        <v>137</v>
      </c>
      <c r="O71" s="82" t="s">
        <v>137</v>
      </c>
      <c r="P71" s="82" t="s">
        <v>137</v>
      </c>
      <c r="Q71" s="74" t="s">
        <v>87</v>
      </c>
      <c r="R71" s="74" t="s">
        <v>709</v>
      </c>
      <c r="S71" s="74" t="s">
        <v>40</v>
      </c>
      <c r="T71" s="74" t="s">
        <v>2</v>
      </c>
      <c r="U71" s="75"/>
      <c r="V71" s="75">
        <v>0.05</v>
      </c>
      <c r="W71" s="75">
        <v>0.08</v>
      </c>
      <c r="X71" s="75">
        <v>0.15</v>
      </c>
      <c r="Y71" s="75">
        <v>0.2</v>
      </c>
      <c r="Z71" s="75">
        <v>0.25</v>
      </c>
      <c r="AA71" s="75">
        <v>0.37</v>
      </c>
      <c r="AB71" s="75">
        <v>0.42</v>
      </c>
      <c r="AC71" s="75">
        <v>0.57999999999999996</v>
      </c>
      <c r="AD71" s="75">
        <v>0.67</v>
      </c>
      <c r="AE71" s="75">
        <v>0.83</v>
      </c>
      <c r="AF71" s="75">
        <v>1</v>
      </c>
      <c r="AG71" s="74" t="s">
        <v>533</v>
      </c>
      <c r="AH71" s="74" t="s">
        <v>530</v>
      </c>
      <c r="AI71" s="78" t="s">
        <v>539</v>
      </c>
      <c r="AJ71" s="79" t="s">
        <v>539</v>
      </c>
      <c r="AK71" s="80">
        <v>46023</v>
      </c>
      <c r="AL71" s="80">
        <v>46387</v>
      </c>
      <c r="AM71" s="79"/>
      <c r="AN71" s="79"/>
      <c r="AO71" s="79"/>
      <c r="AP71" s="81" t="s">
        <v>540</v>
      </c>
      <c r="AQ71" s="80" cm="1">
        <f t="array" ref="AQ71">IFERROR(DATE(2026, _xlfn.AGGREGATE(15, 6, (COLUMN(CI71:CT71)-COLUMN(CI71)+1)/(CI71:CT71&lt;&gt;0), 1), 1),"N/A")</f>
        <v>46235</v>
      </c>
      <c r="AR71" s="80" cm="1">
        <f t="array" ref="AR71">IFERROR(EOMONTH(DATE(2026, _xlfn.AGGREGATE(14, 6, (COLUMN(CI71:CT71)-COLUMN(CI71)+1)/(CI71:CT71&lt;&gt;0), 1), 1), 0),"N/A")</f>
        <v>46387</v>
      </c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4" t="s">
        <v>1100</v>
      </c>
      <c r="BG71" s="74"/>
      <c r="BH71" s="74" t="s">
        <v>1037</v>
      </c>
      <c r="BI71" s="74" t="s">
        <v>137</v>
      </c>
      <c r="BJ71" s="78">
        <v>530606</v>
      </c>
      <c r="BK71" s="82" t="s">
        <v>74</v>
      </c>
      <c r="BL71" s="83">
        <v>0</v>
      </c>
      <c r="BM71" s="73"/>
      <c r="BN71" s="73"/>
      <c r="BO71" s="73"/>
      <c r="BP71" s="73"/>
      <c r="BQ71" s="73"/>
      <c r="BR71" s="84"/>
      <c r="BS71" s="73"/>
      <c r="BT71" s="73"/>
      <c r="BU71" s="73"/>
      <c r="BV71" s="73"/>
      <c r="BW71" s="73"/>
      <c r="BX71" s="73"/>
      <c r="BY71" s="73"/>
      <c r="BZ71" s="73"/>
      <c r="CA71" s="73">
        <v>7296</v>
      </c>
      <c r="CB71" s="73"/>
      <c r="CC71" s="73"/>
      <c r="CD71" s="73"/>
      <c r="CE71" s="73"/>
      <c r="CF71" s="73"/>
      <c r="CG71" s="73"/>
      <c r="CH71" s="73">
        <f t="shared" ref="CH71:CH134" si="2">+BL71+BY71+BZ71+CA71+CB71+CC71+CD71+CE71+CF71+CG71</f>
        <v>7296</v>
      </c>
      <c r="CI71" s="73"/>
      <c r="CJ71" s="73"/>
      <c r="CK71" s="72"/>
      <c r="CL71" s="73"/>
      <c r="CM71" s="73"/>
      <c r="CN71" s="73"/>
      <c r="CO71" s="73"/>
      <c r="CP71" s="73">
        <v>1412</v>
      </c>
      <c r="CQ71" s="73">
        <v>1412</v>
      </c>
      <c r="CR71" s="73">
        <v>1412</v>
      </c>
      <c r="CS71" s="73">
        <v>1412</v>
      </c>
      <c r="CT71" s="73">
        <v>1648</v>
      </c>
      <c r="CU71" s="73"/>
      <c r="CV71" s="84">
        <f t="shared" ref="CV71:CV134" si="3">+CH71-SUM(CI71:CU71)</f>
        <v>0</v>
      </c>
      <c r="CW71" s="84"/>
      <c r="CX71" s="74"/>
      <c r="CY71" s="74"/>
      <c r="CZ71" s="74"/>
      <c r="DA71" s="74"/>
      <c r="DB71" s="74"/>
      <c r="DC71" s="74"/>
      <c r="DD71" s="74"/>
    </row>
    <row r="72" spans="1:108" s="68" customFormat="1" ht="15" hidden="1" customHeight="1" x14ac:dyDescent="0.25">
      <c r="A72" s="74" t="s">
        <v>696</v>
      </c>
      <c r="B72" s="74" t="s">
        <v>154</v>
      </c>
      <c r="C72" s="74" t="s">
        <v>172</v>
      </c>
      <c r="D72" s="74" t="s">
        <v>196</v>
      </c>
      <c r="E72" s="74" t="s">
        <v>309</v>
      </c>
      <c r="F72" s="74" t="s">
        <v>550</v>
      </c>
      <c r="G72" s="74" t="s">
        <v>137</v>
      </c>
      <c r="H72" s="74" t="s">
        <v>137</v>
      </c>
      <c r="I72" s="74" t="s">
        <v>66</v>
      </c>
      <c r="J72" s="74" t="s">
        <v>29</v>
      </c>
      <c r="K72" s="82" t="s">
        <v>137</v>
      </c>
      <c r="L72" s="82" t="s">
        <v>137</v>
      </c>
      <c r="M72" s="82" t="s">
        <v>137</v>
      </c>
      <c r="N72" s="82" t="s">
        <v>137</v>
      </c>
      <c r="O72" s="82" t="s">
        <v>137</v>
      </c>
      <c r="P72" s="82" t="s">
        <v>137</v>
      </c>
      <c r="Q72" s="74" t="s">
        <v>87</v>
      </c>
      <c r="R72" s="74" t="s">
        <v>709</v>
      </c>
      <c r="S72" s="74" t="s">
        <v>40</v>
      </c>
      <c r="T72" s="74" t="s">
        <v>2</v>
      </c>
      <c r="U72" s="75"/>
      <c r="V72" s="75">
        <v>0.05</v>
      </c>
      <c r="W72" s="75">
        <v>0.08</v>
      </c>
      <c r="X72" s="75">
        <v>0.15</v>
      </c>
      <c r="Y72" s="75">
        <v>0.2</v>
      </c>
      <c r="Z72" s="75">
        <v>0.25</v>
      </c>
      <c r="AA72" s="75">
        <v>0.37</v>
      </c>
      <c r="AB72" s="75">
        <v>0.42</v>
      </c>
      <c r="AC72" s="75">
        <v>0.57999999999999996</v>
      </c>
      <c r="AD72" s="75">
        <v>0.67</v>
      </c>
      <c r="AE72" s="75">
        <v>0.83</v>
      </c>
      <c r="AF72" s="75">
        <v>1</v>
      </c>
      <c r="AG72" s="74" t="s">
        <v>533</v>
      </c>
      <c r="AH72" s="74" t="s">
        <v>530</v>
      </c>
      <c r="AI72" s="78" t="s">
        <v>539</v>
      </c>
      <c r="AJ72" s="79" t="s">
        <v>539</v>
      </c>
      <c r="AK72" s="80">
        <v>46023</v>
      </c>
      <c r="AL72" s="80">
        <v>46387</v>
      </c>
      <c r="AM72" s="79"/>
      <c r="AN72" s="79"/>
      <c r="AO72" s="79"/>
      <c r="AP72" s="81" t="s">
        <v>540</v>
      </c>
      <c r="AQ72" s="80" cm="1">
        <f t="array" ref="AQ72">IFERROR(DATE(2026, _xlfn.AGGREGATE(15, 6, (COLUMN(CI72:CT72)-COLUMN(CI72)+1)/(CI72:CT72&lt;&gt;0), 1), 1),"N/A")</f>
        <v>46174</v>
      </c>
      <c r="AR72" s="80" cm="1">
        <f t="array" ref="AR72">IFERROR(EOMONTH(DATE(2026, _xlfn.AGGREGATE(14, 6, (COLUMN(CI72:CT72)-COLUMN(CI72)+1)/(CI72:CT72&lt;&gt;0), 1), 1), 0),"N/A")</f>
        <v>46387</v>
      </c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4" t="s">
        <v>1040</v>
      </c>
      <c r="BG72" s="74"/>
      <c r="BH72" s="74" t="s">
        <v>1041</v>
      </c>
      <c r="BI72" s="74" t="s">
        <v>137</v>
      </c>
      <c r="BJ72" s="78">
        <v>530606</v>
      </c>
      <c r="BK72" s="82" t="s">
        <v>74</v>
      </c>
      <c r="BL72" s="83">
        <v>0</v>
      </c>
      <c r="BM72" s="73"/>
      <c r="BN72" s="73"/>
      <c r="BO72" s="73"/>
      <c r="BP72" s="73"/>
      <c r="BQ72" s="73"/>
      <c r="BR72" s="84"/>
      <c r="BS72" s="73"/>
      <c r="BT72" s="73"/>
      <c r="BU72" s="73"/>
      <c r="BV72" s="73"/>
      <c r="BW72" s="73"/>
      <c r="BX72" s="73"/>
      <c r="BY72" s="73"/>
      <c r="BZ72" s="73"/>
      <c r="CA72" s="73">
        <v>11296</v>
      </c>
      <c r="CB72" s="73"/>
      <c r="CC72" s="73"/>
      <c r="CD72" s="73">
        <v>-1732.91</v>
      </c>
      <c r="CE72" s="73"/>
      <c r="CF72" s="73"/>
      <c r="CG72" s="73"/>
      <c r="CH72" s="73">
        <f t="shared" si="2"/>
        <v>9563.09</v>
      </c>
      <c r="CI72" s="73"/>
      <c r="CJ72" s="73"/>
      <c r="CK72" s="72"/>
      <c r="CL72" s="73"/>
      <c r="CM72" s="73">
        <v>0</v>
      </c>
      <c r="CN72" s="73">
        <v>1091.0899999999999</v>
      </c>
      <c r="CO72" s="73">
        <v>1412</v>
      </c>
      <c r="CP72" s="73">
        <v>1412</v>
      </c>
      <c r="CQ72" s="73">
        <v>1412</v>
      </c>
      <c r="CR72" s="73">
        <v>1412</v>
      </c>
      <c r="CS72" s="73">
        <v>1412</v>
      </c>
      <c r="CT72" s="73">
        <v>1412</v>
      </c>
      <c r="CU72" s="73"/>
      <c r="CV72" s="84">
        <f t="shared" si="3"/>
        <v>0</v>
      </c>
      <c r="CW72" s="84"/>
      <c r="CX72" s="74"/>
      <c r="CY72" s="74"/>
      <c r="CZ72" s="74"/>
      <c r="DA72" s="74"/>
      <c r="DB72" s="74"/>
      <c r="DC72" s="74"/>
      <c r="DD72" s="74"/>
    </row>
    <row r="73" spans="1:108" s="68" customFormat="1" ht="15" hidden="1" customHeight="1" x14ac:dyDescent="0.25">
      <c r="A73" s="74" t="s">
        <v>689</v>
      </c>
      <c r="B73" s="74" t="s">
        <v>154</v>
      </c>
      <c r="C73" s="74" t="s">
        <v>172</v>
      </c>
      <c r="D73" s="74" t="s">
        <v>196</v>
      </c>
      <c r="E73" s="74" t="s">
        <v>309</v>
      </c>
      <c r="F73" s="74" t="s">
        <v>550</v>
      </c>
      <c r="G73" s="74" t="s">
        <v>137</v>
      </c>
      <c r="H73" s="74" t="s">
        <v>137</v>
      </c>
      <c r="I73" s="74" t="s">
        <v>66</v>
      </c>
      <c r="J73" s="74" t="s">
        <v>29</v>
      </c>
      <c r="K73" s="82" t="s">
        <v>137</v>
      </c>
      <c r="L73" s="82" t="s">
        <v>137</v>
      </c>
      <c r="M73" s="82" t="s">
        <v>137</v>
      </c>
      <c r="N73" s="82" t="s">
        <v>137</v>
      </c>
      <c r="O73" s="82" t="s">
        <v>137</v>
      </c>
      <c r="P73" s="82" t="s">
        <v>137</v>
      </c>
      <c r="Q73" s="74" t="s">
        <v>87</v>
      </c>
      <c r="R73" s="74" t="s">
        <v>709</v>
      </c>
      <c r="S73" s="74" t="s">
        <v>40</v>
      </c>
      <c r="T73" s="74" t="s">
        <v>2</v>
      </c>
      <c r="U73" s="75"/>
      <c r="V73" s="75">
        <v>0.05</v>
      </c>
      <c r="W73" s="75">
        <v>0.08</v>
      </c>
      <c r="X73" s="75">
        <v>0.15</v>
      </c>
      <c r="Y73" s="75">
        <v>0.2</v>
      </c>
      <c r="Z73" s="75">
        <v>0.25</v>
      </c>
      <c r="AA73" s="75">
        <v>0.37</v>
      </c>
      <c r="AB73" s="75">
        <v>0.42</v>
      </c>
      <c r="AC73" s="75">
        <v>0.57999999999999996</v>
      </c>
      <c r="AD73" s="75">
        <v>0.67</v>
      </c>
      <c r="AE73" s="75">
        <v>0.83</v>
      </c>
      <c r="AF73" s="75">
        <v>1</v>
      </c>
      <c r="AG73" s="74" t="s">
        <v>533</v>
      </c>
      <c r="AH73" s="74" t="s">
        <v>530</v>
      </c>
      <c r="AI73" s="78" t="s">
        <v>539</v>
      </c>
      <c r="AJ73" s="79" t="s">
        <v>539</v>
      </c>
      <c r="AK73" s="80">
        <v>46023</v>
      </c>
      <c r="AL73" s="80">
        <v>46387</v>
      </c>
      <c r="AM73" s="79"/>
      <c r="AN73" s="79"/>
      <c r="AO73" s="79"/>
      <c r="AP73" s="81" t="s">
        <v>540</v>
      </c>
      <c r="AQ73" s="80" cm="1">
        <f t="array" ref="AQ73">IFERROR(DATE(2026, _xlfn.AGGREGATE(15, 6, (COLUMN(CI73:CT73)-COLUMN(CI73)+1)/(CI73:CT73&lt;&gt;0), 1), 1),"N/A")</f>
        <v>46143</v>
      </c>
      <c r="AR73" s="80" cm="1">
        <f t="array" ref="AR73">IFERROR(EOMONTH(DATE(2026, _xlfn.AGGREGATE(14, 6, (COLUMN(CI73:CT73)-COLUMN(CI73)+1)/(CI73:CT73&lt;&gt;0), 1), 1), 0),"N/A")</f>
        <v>46387</v>
      </c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4" t="s">
        <v>650</v>
      </c>
      <c r="BG73" s="74"/>
      <c r="BH73" s="74" t="s">
        <v>810</v>
      </c>
      <c r="BI73" s="74" t="s">
        <v>137</v>
      </c>
      <c r="BJ73" s="78">
        <v>530606</v>
      </c>
      <c r="BK73" s="82" t="s">
        <v>74</v>
      </c>
      <c r="BL73" s="83">
        <v>13800</v>
      </c>
      <c r="BM73" s="84">
        <v>1150</v>
      </c>
      <c r="BN73" s="84">
        <v>1150</v>
      </c>
      <c r="BO73" s="84">
        <v>1150</v>
      </c>
      <c r="BP73" s="72">
        <v>1150</v>
      </c>
      <c r="BQ73" s="84">
        <v>1150</v>
      </c>
      <c r="BR73" s="84">
        <v>1150</v>
      </c>
      <c r="BS73" s="84">
        <v>1150</v>
      </c>
      <c r="BT73" s="84">
        <v>1150</v>
      </c>
      <c r="BU73" s="84">
        <v>1150</v>
      </c>
      <c r="BV73" s="84">
        <v>1150</v>
      </c>
      <c r="BW73" s="84">
        <v>1150</v>
      </c>
      <c r="BX73" s="84">
        <v>1150</v>
      </c>
      <c r="BY73" s="84">
        <v>-450</v>
      </c>
      <c r="BZ73" s="84"/>
      <c r="CA73" s="84"/>
      <c r="CB73" s="84"/>
      <c r="CC73" s="84"/>
      <c r="CD73" s="84">
        <v>-1743.6</v>
      </c>
      <c r="CE73" s="84"/>
      <c r="CF73" s="84"/>
      <c r="CG73" s="84"/>
      <c r="CH73" s="73">
        <f t="shared" si="2"/>
        <v>11606.4</v>
      </c>
      <c r="CI73" s="84"/>
      <c r="CJ73" s="84">
        <v>0</v>
      </c>
      <c r="CK73" s="84">
        <v>0</v>
      </c>
      <c r="CL73" s="72">
        <v>0</v>
      </c>
      <c r="CM73" s="84">
        <v>322.39999999999998</v>
      </c>
      <c r="CN73" s="84">
        <v>1612</v>
      </c>
      <c r="CO73" s="84">
        <v>1612</v>
      </c>
      <c r="CP73" s="84">
        <v>1612</v>
      </c>
      <c r="CQ73" s="84">
        <v>1612</v>
      </c>
      <c r="CR73" s="84">
        <v>1612</v>
      </c>
      <c r="CS73" s="84">
        <v>1612</v>
      </c>
      <c r="CT73" s="84">
        <v>1612</v>
      </c>
      <c r="CU73" s="84"/>
      <c r="CV73" s="84">
        <f t="shared" si="3"/>
        <v>0</v>
      </c>
      <c r="CW73" s="84"/>
      <c r="CX73" s="74"/>
      <c r="CY73" s="74"/>
      <c r="CZ73" s="74"/>
      <c r="DA73" s="74"/>
      <c r="DB73" s="74"/>
      <c r="DC73" s="74"/>
      <c r="DD73" s="74"/>
    </row>
    <row r="74" spans="1:108" s="181" customFormat="1" ht="15" customHeight="1" x14ac:dyDescent="0.25">
      <c r="A74" s="179" t="s">
        <v>691</v>
      </c>
      <c r="B74" s="74" t="s">
        <v>154</v>
      </c>
      <c r="C74" s="74" t="s">
        <v>172</v>
      </c>
      <c r="D74" s="74" t="s">
        <v>196</v>
      </c>
      <c r="E74" s="179" t="s">
        <v>309</v>
      </c>
      <c r="F74" s="74" t="s">
        <v>550</v>
      </c>
      <c r="G74" s="74" t="s">
        <v>137</v>
      </c>
      <c r="H74" s="74" t="s">
        <v>137</v>
      </c>
      <c r="I74" s="74" t="s">
        <v>66</v>
      </c>
      <c r="J74" s="74" t="s">
        <v>29</v>
      </c>
      <c r="K74" s="82" t="s">
        <v>137</v>
      </c>
      <c r="L74" s="82" t="s">
        <v>137</v>
      </c>
      <c r="M74" s="82" t="s">
        <v>137</v>
      </c>
      <c r="N74" s="82" t="s">
        <v>137</v>
      </c>
      <c r="O74" s="82" t="s">
        <v>137</v>
      </c>
      <c r="P74" s="82" t="s">
        <v>137</v>
      </c>
      <c r="Q74" s="74" t="s">
        <v>87</v>
      </c>
      <c r="R74" s="74" t="s">
        <v>709</v>
      </c>
      <c r="S74" s="74" t="s">
        <v>40</v>
      </c>
      <c r="T74" s="74" t="s">
        <v>2</v>
      </c>
      <c r="U74" s="75"/>
      <c r="V74" s="75">
        <v>0.05</v>
      </c>
      <c r="W74" s="75">
        <v>0.08</v>
      </c>
      <c r="X74" s="75">
        <v>0.15</v>
      </c>
      <c r="Y74" s="75">
        <v>0.2</v>
      </c>
      <c r="Z74" s="75">
        <v>0.25</v>
      </c>
      <c r="AA74" s="75">
        <v>0.37</v>
      </c>
      <c r="AB74" s="75">
        <v>0.42</v>
      </c>
      <c r="AC74" s="75">
        <v>0.57999999999999996</v>
      </c>
      <c r="AD74" s="75">
        <v>0.67</v>
      </c>
      <c r="AE74" s="75">
        <v>0.83</v>
      </c>
      <c r="AF74" s="75">
        <v>1</v>
      </c>
      <c r="AG74" s="74" t="s">
        <v>772</v>
      </c>
      <c r="AH74" s="74" t="s">
        <v>531</v>
      </c>
      <c r="AI74" s="78" t="s">
        <v>539</v>
      </c>
      <c r="AJ74" s="79" t="s">
        <v>539</v>
      </c>
      <c r="AK74" s="80">
        <v>46023</v>
      </c>
      <c r="AL74" s="80">
        <v>46387</v>
      </c>
      <c r="AM74" s="79"/>
      <c r="AN74" s="79"/>
      <c r="AO74" s="79"/>
      <c r="AP74" s="81" t="s">
        <v>540</v>
      </c>
      <c r="AQ74" s="80" cm="1">
        <f t="array" ref="AQ74">IFERROR(DATE(2026, _xlfn.AGGREGATE(15, 6, (COLUMN(CI74:CT74)-COLUMN(CI74)+1)/(CI74:CT74&lt;&gt;0), 1), 1),"N/A")</f>
        <v>46296</v>
      </c>
      <c r="AR74" s="80" cm="1">
        <f t="array" ref="AR74">IFERROR(EOMONTH(DATE(2026, _xlfn.AGGREGATE(14, 6, (COLUMN(CI74:CT74)-COLUMN(CI74)+1)/(CI74:CT74&lt;&gt;0), 1), 1), 0),"N/A")</f>
        <v>46387</v>
      </c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179" t="s">
        <v>713</v>
      </c>
      <c r="BG74" s="74" t="s">
        <v>1009</v>
      </c>
      <c r="BH74" s="74" t="s">
        <v>746</v>
      </c>
      <c r="BI74" s="74" t="s">
        <v>137</v>
      </c>
      <c r="BJ74" s="78">
        <v>530606</v>
      </c>
      <c r="BK74" s="82" t="s">
        <v>74</v>
      </c>
      <c r="BL74" s="83">
        <v>6000</v>
      </c>
      <c r="BM74" s="84">
        <v>2000</v>
      </c>
      <c r="BN74" s="84">
        <v>2000</v>
      </c>
      <c r="BO74" s="84">
        <v>2000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73">
        <v>0</v>
      </c>
      <c r="BX74" s="73">
        <v>0</v>
      </c>
      <c r="BY74" s="73">
        <v>18000</v>
      </c>
      <c r="BZ74" s="73"/>
      <c r="CA74" s="73">
        <v>-18000</v>
      </c>
      <c r="CB74" s="73"/>
      <c r="CC74" s="73"/>
      <c r="CD74" s="73"/>
      <c r="CE74" s="73"/>
      <c r="CF74" s="73"/>
      <c r="CG74" s="180"/>
      <c r="CH74" s="180">
        <f t="shared" si="2"/>
        <v>6000</v>
      </c>
      <c r="CI74" s="102"/>
      <c r="CJ74" s="102"/>
      <c r="CK74" s="102"/>
      <c r="CL74" s="102"/>
      <c r="CM74" s="84"/>
      <c r="CN74" s="84"/>
      <c r="CO74" s="84"/>
      <c r="CP74" s="84"/>
      <c r="CQ74" s="84"/>
      <c r="CR74" s="84">
        <v>2000</v>
      </c>
      <c r="CS74" s="84">
        <v>2000</v>
      </c>
      <c r="CT74" s="84">
        <v>2000</v>
      </c>
      <c r="CU74" s="84"/>
      <c r="CV74" s="84">
        <f t="shared" si="3"/>
        <v>0</v>
      </c>
      <c r="CW74" s="84"/>
      <c r="CX74" s="74"/>
      <c r="CY74" s="74"/>
      <c r="CZ74" s="74"/>
      <c r="DA74" s="179"/>
      <c r="DB74" s="179"/>
      <c r="DC74" s="179"/>
      <c r="DD74" s="179"/>
    </row>
    <row r="75" spans="1:108" s="68" customFormat="1" ht="15" hidden="1" customHeight="1" x14ac:dyDescent="0.25">
      <c r="A75" s="74" t="s">
        <v>689</v>
      </c>
      <c r="B75" s="74" t="s">
        <v>154</v>
      </c>
      <c r="C75" s="74" t="s">
        <v>172</v>
      </c>
      <c r="D75" s="74" t="s">
        <v>196</v>
      </c>
      <c r="E75" s="74" t="s">
        <v>309</v>
      </c>
      <c r="F75" s="74" t="s">
        <v>550</v>
      </c>
      <c r="G75" s="74" t="s">
        <v>137</v>
      </c>
      <c r="H75" s="74" t="s">
        <v>137</v>
      </c>
      <c r="I75" s="74" t="s">
        <v>66</v>
      </c>
      <c r="J75" s="74" t="s">
        <v>29</v>
      </c>
      <c r="K75" s="82" t="s">
        <v>137</v>
      </c>
      <c r="L75" s="82" t="s">
        <v>137</v>
      </c>
      <c r="M75" s="82" t="s">
        <v>137</v>
      </c>
      <c r="N75" s="82" t="s">
        <v>137</v>
      </c>
      <c r="O75" s="82" t="s">
        <v>137</v>
      </c>
      <c r="P75" s="82" t="s">
        <v>137</v>
      </c>
      <c r="Q75" s="74" t="s">
        <v>87</v>
      </c>
      <c r="R75" s="74" t="s">
        <v>709</v>
      </c>
      <c r="S75" s="74" t="s">
        <v>40</v>
      </c>
      <c r="T75" s="74" t="s">
        <v>2</v>
      </c>
      <c r="U75" s="75"/>
      <c r="V75" s="75">
        <v>0.05</v>
      </c>
      <c r="W75" s="75">
        <v>0.08</v>
      </c>
      <c r="X75" s="75">
        <v>0.15</v>
      </c>
      <c r="Y75" s="75">
        <v>0.2</v>
      </c>
      <c r="Z75" s="75">
        <v>0.25</v>
      </c>
      <c r="AA75" s="75">
        <v>0.37</v>
      </c>
      <c r="AB75" s="75">
        <v>0.42</v>
      </c>
      <c r="AC75" s="75">
        <v>0.57999999999999996</v>
      </c>
      <c r="AD75" s="75">
        <v>0.67</v>
      </c>
      <c r="AE75" s="75">
        <v>0.83</v>
      </c>
      <c r="AF75" s="75">
        <v>1</v>
      </c>
      <c r="AG75" s="74" t="s">
        <v>533</v>
      </c>
      <c r="AH75" s="74" t="s">
        <v>788</v>
      </c>
      <c r="AI75" s="78" t="s">
        <v>539</v>
      </c>
      <c r="AJ75" s="79" t="s">
        <v>539</v>
      </c>
      <c r="AK75" s="80">
        <v>46023</v>
      </c>
      <c r="AL75" s="80">
        <v>46387</v>
      </c>
      <c r="AM75" s="79"/>
      <c r="AN75" s="79"/>
      <c r="AO75" s="79"/>
      <c r="AP75" s="81" t="s">
        <v>540</v>
      </c>
      <c r="AQ75" s="80" cm="1">
        <f t="array" ref="AQ75">IFERROR(DATE(2026, _xlfn.AGGREGATE(15, 6, (COLUMN(CI75:CT75)-COLUMN(CI75)+1)/(CI75:CT75&lt;&gt;0), 1), 1),"N/A")</f>
        <v>46357</v>
      </c>
      <c r="AR75" s="80" cm="1">
        <f t="array" ref="AR75">IFERROR(EOMONTH(DATE(2026, _xlfn.AGGREGATE(14, 6, (COLUMN(CI75:CT75)-COLUMN(CI75)+1)/(CI75:CT75&lt;&gt;0), 1), 1), 0),"N/A")</f>
        <v>46387</v>
      </c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4" t="s">
        <v>577</v>
      </c>
      <c r="BG75" s="74"/>
      <c r="BH75" s="74" t="s">
        <v>811</v>
      </c>
      <c r="BI75" s="74" t="s">
        <v>137</v>
      </c>
      <c r="BJ75" s="78">
        <v>530606</v>
      </c>
      <c r="BK75" s="82" t="s">
        <v>74</v>
      </c>
      <c r="BL75" s="83">
        <v>450</v>
      </c>
      <c r="BM75" s="73">
        <v>0</v>
      </c>
      <c r="BN75" s="73">
        <v>0</v>
      </c>
      <c r="BO75" s="73">
        <v>0</v>
      </c>
      <c r="BP75" s="73">
        <v>0</v>
      </c>
      <c r="BQ75" s="73">
        <v>0</v>
      </c>
      <c r="BR75" s="73">
        <v>0</v>
      </c>
      <c r="BS75" s="73">
        <v>0</v>
      </c>
      <c r="BT75" s="73">
        <v>0</v>
      </c>
      <c r="BU75" s="73">
        <v>0</v>
      </c>
      <c r="BV75" s="73">
        <v>0</v>
      </c>
      <c r="BW75" s="73">
        <v>0</v>
      </c>
      <c r="BX75" s="84">
        <v>450</v>
      </c>
      <c r="BY75" s="84"/>
      <c r="BZ75" s="84"/>
      <c r="CA75" s="84"/>
      <c r="CB75" s="84"/>
      <c r="CC75" s="84"/>
      <c r="CD75" s="84"/>
      <c r="CE75" s="84"/>
      <c r="CF75" s="84"/>
      <c r="CG75" s="84"/>
      <c r="CH75" s="73">
        <f t="shared" si="2"/>
        <v>450</v>
      </c>
      <c r="CI75" s="73"/>
      <c r="CJ75" s="73"/>
      <c r="CK75" s="72">
        <v>0</v>
      </c>
      <c r="CL75" s="73">
        <v>0</v>
      </c>
      <c r="CM75" s="73">
        <v>0</v>
      </c>
      <c r="CN75" s="73">
        <v>0</v>
      </c>
      <c r="CO75" s="73">
        <v>0</v>
      </c>
      <c r="CP75" s="73">
        <v>0</v>
      </c>
      <c r="CQ75" s="73">
        <v>0</v>
      </c>
      <c r="CR75" s="73">
        <v>0</v>
      </c>
      <c r="CS75" s="73">
        <v>0</v>
      </c>
      <c r="CT75" s="84">
        <v>450</v>
      </c>
      <c r="CU75" s="84"/>
      <c r="CV75" s="84">
        <f t="shared" si="3"/>
        <v>0</v>
      </c>
      <c r="CW75" s="84"/>
      <c r="CX75" s="74"/>
      <c r="CY75" s="74"/>
      <c r="CZ75" s="74"/>
      <c r="DA75" s="74"/>
      <c r="DB75" s="74"/>
      <c r="DC75" s="74"/>
      <c r="DD75" s="74"/>
    </row>
    <row r="76" spans="1:108" s="68" customFormat="1" ht="15" hidden="1" customHeight="1" x14ac:dyDescent="0.25">
      <c r="A76" s="74" t="s">
        <v>689</v>
      </c>
      <c r="B76" s="74" t="s">
        <v>154</v>
      </c>
      <c r="C76" s="74" t="s">
        <v>172</v>
      </c>
      <c r="D76" s="74" t="s">
        <v>196</v>
      </c>
      <c r="E76" s="74" t="s">
        <v>309</v>
      </c>
      <c r="F76" s="74" t="s">
        <v>550</v>
      </c>
      <c r="G76" s="74" t="s">
        <v>137</v>
      </c>
      <c r="H76" s="74" t="s">
        <v>137</v>
      </c>
      <c r="I76" s="74" t="s">
        <v>66</v>
      </c>
      <c r="J76" s="74" t="s">
        <v>29</v>
      </c>
      <c r="K76" s="82" t="s">
        <v>137</v>
      </c>
      <c r="L76" s="82" t="s">
        <v>137</v>
      </c>
      <c r="M76" s="82" t="s">
        <v>137</v>
      </c>
      <c r="N76" s="82" t="s">
        <v>137</v>
      </c>
      <c r="O76" s="82" t="s">
        <v>137</v>
      </c>
      <c r="P76" s="82" t="s">
        <v>137</v>
      </c>
      <c r="Q76" s="74" t="s">
        <v>87</v>
      </c>
      <c r="R76" s="74" t="s">
        <v>709</v>
      </c>
      <c r="S76" s="74" t="s">
        <v>40</v>
      </c>
      <c r="T76" s="74" t="s">
        <v>2</v>
      </c>
      <c r="U76" s="75"/>
      <c r="V76" s="75">
        <v>0.05</v>
      </c>
      <c r="W76" s="75">
        <v>0.08</v>
      </c>
      <c r="X76" s="75">
        <v>0.15</v>
      </c>
      <c r="Y76" s="75">
        <v>0.2</v>
      </c>
      <c r="Z76" s="75">
        <v>0.25</v>
      </c>
      <c r="AA76" s="75">
        <v>0.37</v>
      </c>
      <c r="AB76" s="75">
        <v>0.42</v>
      </c>
      <c r="AC76" s="75">
        <v>0.57999999999999996</v>
      </c>
      <c r="AD76" s="75">
        <v>0.67</v>
      </c>
      <c r="AE76" s="75">
        <v>0.83</v>
      </c>
      <c r="AF76" s="75">
        <v>1</v>
      </c>
      <c r="AG76" s="74" t="s">
        <v>533</v>
      </c>
      <c r="AH76" s="74" t="s">
        <v>788</v>
      </c>
      <c r="AI76" s="78" t="s">
        <v>539</v>
      </c>
      <c r="AJ76" s="79" t="s">
        <v>539</v>
      </c>
      <c r="AK76" s="80">
        <v>46023</v>
      </c>
      <c r="AL76" s="80">
        <v>46387</v>
      </c>
      <c r="AM76" s="79"/>
      <c r="AN76" s="79"/>
      <c r="AO76" s="79"/>
      <c r="AP76" s="81" t="s">
        <v>540</v>
      </c>
      <c r="AQ76" s="80" cm="1">
        <f t="array" ref="AQ76">IFERROR(DATE(2026, _xlfn.AGGREGATE(15, 6, (COLUMN(CI76:CT76)-COLUMN(CI76)+1)/(CI76:CT76&lt;&gt;0), 1), 1),"N/A")</f>
        <v>46357</v>
      </c>
      <c r="AR76" s="80" cm="1">
        <f t="array" ref="AR76">IFERROR(EOMONTH(DATE(2026, _xlfn.AGGREGATE(14, 6, (COLUMN(CI76:CT76)-COLUMN(CI76)+1)/(CI76:CT76&lt;&gt;0), 1), 1), 0),"N/A")</f>
        <v>46387</v>
      </c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4" t="s">
        <v>979</v>
      </c>
      <c r="BG76" s="74"/>
      <c r="BH76" s="74" t="s">
        <v>980</v>
      </c>
      <c r="BI76" s="74" t="s">
        <v>137</v>
      </c>
      <c r="BJ76" s="78">
        <v>530606</v>
      </c>
      <c r="BK76" s="82" t="s">
        <v>74</v>
      </c>
      <c r="BL76" s="83">
        <v>0</v>
      </c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84"/>
      <c r="BY76" s="84">
        <v>450</v>
      </c>
      <c r="BZ76" s="84"/>
      <c r="CA76" s="84"/>
      <c r="CB76" s="84"/>
      <c r="CC76" s="84"/>
      <c r="CD76" s="84"/>
      <c r="CE76" s="84"/>
      <c r="CF76" s="84"/>
      <c r="CG76" s="84"/>
      <c r="CH76" s="73">
        <f t="shared" si="2"/>
        <v>450</v>
      </c>
      <c r="CI76" s="73"/>
      <c r="CJ76" s="73"/>
      <c r="CK76" s="72"/>
      <c r="CL76" s="73"/>
      <c r="CM76" s="73"/>
      <c r="CN76" s="73"/>
      <c r="CO76" s="73"/>
      <c r="CP76" s="73"/>
      <c r="CQ76" s="73"/>
      <c r="CR76" s="73"/>
      <c r="CS76" s="73"/>
      <c r="CT76" s="84">
        <v>450</v>
      </c>
      <c r="CU76" s="84"/>
      <c r="CV76" s="84">
        <f t="shared" si="3"/>
        <v>0</v>
      </c>
      <c r="CW76" s="84"/>
      <c r="CX76" s="74"/>
      <c r="CY76" s="74"/>
      <c r="CZ76" s="74"/>
      <c r="DA76" s="74"/>
      <c r="DB76" s="74"/>
      <c r="DC76" s="74"/>
      <c r="DD76" s="74"/>
    </row>
    <row r="77" spans="1:108" s="411" customFormat="1" ht="15" hidden="1" customHeight="1" x14ac:dyDescent="0.25">
      <c r="A77" s="406" t="s">
        <v>690</v>
      </c>
      <c r="B77" s="74" t="s">
        <v>154</v>
      </c>
      <c r="C77" s="74" t="s">
        <v>172</v>
      </c>
      <c r="D77" s="74" t="s">
        <v>196</v>
      </c>
      <c r="E77" s="74" t="s">
        <v>309</v>
      </c>
      <c r="F77" s="74" t="s">
        <v>550</v>
      </c>
      <c r="G77" s="74" t="s">
        <v>137</v>
      </c>
      <c r="H77" s="74" t="s">
        <v>137</v>
      </c>
      <c r="I77" s="74" t="s">
        <v>66</v>
      </c>
      <c r="J77" s="74" t="s">
        <v>29</v>
      </c>
      <c r="K77" s="82" t="s">
        <v>137</v>
      </c>
      <c r="L77" s="82" t="s">
        <v>137</v>
      </c>
      <c r="M77" s="82" t="s">
        <v>137</v>
      </c>
      <c r="N77" s="82" t="s">
        <v>137</v>
      </c>
      <c r="O77" s="82" t="s">
        <v>137</v>
      </c>
      <c r="P77" s="82" t="s">
        <v>137</v>
      </c>
      <c r="Q77" s="74" t="s">
        <v>87</v>
      </c>
      <c r="R77" s="74" t="s">
        <v>709</v>
      </c>
      <c r="S77" s="74" t="s">
        <v>40</v>
      </c>
      <c r="T77" s="74" t="s">
        <v>2</v>
      </c>
      <c r="U77" s="75"/>
      <c r="V77" s="75">
        <v>0.05</v>
      </c>
      <c r="W77" s="75">
        <v>0.08</v>
      </c>
      <c r="X77" s="75">
        <v>0.15</v>
      </c>
      <c r="Y77" s="75">
        <v>0.2</v>
      </c>
      <c r="Z77" s="75">
        <v>0.25</v>
      </c>
      <c r="AA77" s="75">
        <v>0.37</v>
      </c>
      <c r="AB77" s="75">
        <v>0.42</v>
      </c>
      <c r="AC77" s="75">
        <v>0.57999999999999996</v>
      </c>
      <c r="AD77" s="75">
        <v>0.67</v>
      </c>
      <c r="AE77" s="75">
        <v>0.83</v>
      </c>
      <c r="AF77" s="75">
        <v>1</v>
      </c>
      <c r="AG77" s="74" t="s">
        <v>533</v>
      </c>
      <c r="AH77" s="74" t="s">
        <v>530</v>
      </c>
      <c r="AI77" s="78" t="s">
        <v>539</v>
      </c>
      <c r="AJ77" s="79" t="s">
        <v>539</v>
      </c>
      <c r="AK77" s="80">
        <v>46023</v>
      </c>
      <c r="AL77" s="80">
        <v>46387</v>
      </c>
      <c r="AM77" s="79"/>
      <c r="AN77" s="79"/>
      <c r="AO77" s="79"/>
      <c r="AP77" s="81" t="s">
        <v>540</v>
      </c>
      <c r="AQ77" s="80" cm="1">
        <f t="array" ref="AQ77">IFERROR(DATE(2026, _xlfn.AGGREGATE(15, 6, (COLUMN(CI77:CT77)-COLUMN(CI77)+1)/(CI77:CT77&lt;&gt;0), 1), 1),"N/A")</f>
        <v>46054</v>
      </c>
      <c r="AR77" s="80" cm="1">
        <f t="array" ref="AR77">IFERROR(EOMONTH(DATE(2026, _xlfn.AGGREGATE(14, 6, (COLUMN(CI77:CT77)-COLUMN(CI77)+1)/(CI77:CT77&lt;&gt;0), 1), 1), 0),"N/A")</f>
        <v>46387</v>
      </c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406" t="s">
        <v>606</v>
      </c>
      <c r="BG77" s="74"/>
      <c r="BH77" s="406" t="s">
        <v>813</v>
      </c>
      <c r="BI77" s="74" t="s">
        <v>137</v>
      </c>
      <c r="BJ77" s="407">
        <v>530302</v>
      </c>
      <c r="BK77" s="408" t="s">
        <v>74</v>
      </c>
      <c r="BL77" s="83">
        <v>60000</v>
      </c>
      <c r="BM77" s="73">
        <v>0</v>
      </c>
      <c r="BN77" s="84">
        <v>5400</v>
      </c>
      <c r="BO77" s="84">
        <v>5400</v>
      </c>
      <c r="BP77" s="72">
        <v>5400</v>
      </c>
      <c r="BQ77" s="84">
        <v>5400</v>
      </c>
      <c r="BR77" s="84">
        <v>5400</v>
      </c>
      <c r="BS77" s="84">
        <v>5500</v>
      </c>
      <c r="BT77" s="84">
        <v>5500</v>
      </c>
      <c r="BU77" s="84">
        <v>5500</v>
      </c>
      <c r="BV77" s="84">
        <v>5500</v>
      </c>
      <c r="BW77" s="84">
        <v>5500</v>
      </c>
      <c r="BX77" s="84">
        <v>5500</v>
      </c>
      <c r="BY77" s="84">
        <v>9293.27</v>
      </c>
      <c r="BZ77" s="84">
        <v>38243.160000000003</v>
      </c>
      <c r="CA77" s="84">
        <v>-74267.509999999995</v>
      </c>
      <c r="CB77" s="84"/>
      <c r="CC77" s="84"/>
      <c r="CD77" s="84"/>
      <c r="CE77" s="84"/>
      <c r="CF77" s="84"/>
      <c r="CG77" s="84"/>
      <c r="CH77" s="409">
        <f t="shared" si="2"/>
        <v>33268.920000000013</v>
      </c>
      <c r="CI77" s="73"/>
      <c r="CJ77" s="84">
        <v>4863.95</v>
      </c>
      <c r="CK77" s="84">
        <v>18814.97</v>
      </c>
      <c r="CL77" s="84">
        <v>0</v>
      </c>
      <c r="CM77" s="84">
        <v>0</v>
      </c>
      <c r="CN77" s="84">
        <v>9500</v>
      </c>
      <c r="CO77" s="84">
        <v>0</v>
      </c>
      <c r="CP77" s="84">
        <v>0</v>
      </c>
      <c r="CQ77" s="84">
        <v>0</v>
      </c>
      <c r="CR77" s="84">
        <v>0</v>
      </c>
      <c r="CS77" s="84">
        <v>0</v>
      </c>
      <c r="CT77" s="410">
        <v>90</v>
      </c>
      <c r="CU77" s="410">
        <v>0</v>
      </c>
      <c r="CV77" s="410">
        <f t="shared" si="3"/>
        <v>0</v>
      </c>
      <c r="CW77" s="410"/>
      <c r="CX77" s="406"/>
      <c r="CY77" s="406"/>
      <c r="CZ77" s="406"/>
      <c r="DA77" s="406"/>
      <c r="DB77" s="406" t="s">
        <v>1380</v>
      </c>
      <c r="DC77" s="406"/>
      <c r="DD77" s="406"/>
    </row>
    <row r="78" spans="1:108" s="68" customFormat="1" ht="15" hidden="1" customHeight="1" x14ac:dyDescent="0.25">
      <c r="A78" s="74" t="s">
        <v>690</v>
      </c>
      <c r="B78" s="74" t="s">
        <v>154</v>
      </c>
      <c r="C78" s="74" t="s">
        <v>172</v>
      </c>
      <c r="D78" s="74" t="s">
        <v>196</v>
      </c>
      <c r="E78" s="74" t="s">
        <v>309</v>
      </c>
      <c r="F78" s="74" t="s">
        <v>550</v>
      </c>
      <c r="G78" s="74" t="s">
        <v>137</v>
      </c>
      <c r="H78" s="74" t="s">
        <v>137</v>
      </c>
      <c r="I78" s="74" t="s">
        <v>66</v>
      </c>
      <c r="J78" s="74" t="s">
        <v>29</v>
      </c>
      <c r="K78" s="82" t="s">
        <v>137</v>
      </c>
      <c r="L78" s="82" t="s">
        <v>137</v>
      </c>
      <c r="M78" s="82" t="s">
        <v>137</v>
      </c>
      <c r="N78" s="82" t="s">
        <v>137</v>
      </c>
      <c r="O78" s="82" t="s">
        <v>137</v>
      </c>
      <c r="P78" s="82" t="s">
        <v>137</v>
      </c>
      <c r="Q78" s="74" t="s">
        <v>87</v>
      </c>
      <c r="R78" s="74" t="s">
        <v>709</v>
      </c>
      <c r="S78" s="74" t="s">
        <v>40</v>
      </c>
      <c r="T78" s="74" t="s">
        <v>2</v>
      </c>
      <c r="U78" s="75"/>
      <c r="V78" s="75">
        <v>0.05</v>
      </c>
      <c r="W78" s="75">
        <v>0.08</v>
      </c>
      <c r="X78" s="75">
        <v>0.15</v>
      </c>
      <c r="Y78" s="75">
        <v>0.2</v>
      </c>
      <c r="Z78" s="75">
        <v>0.25</v>
      </c>
      <c r="AA78" s="75">
        <v>0.37</v>
      </c>
      <c r="AB78" s="75">
        <v>0.42</v>
      </c>
      <c r="AC78" s="75">
        <v>0.57999999999999996</v>
      </c>
      <c r="AD78" s="75">
        <v>0.67</v>
      </c>
      <c r="AE78" s="75">
        <v>0.83</v>
      </c>
      <c r="AF78" s="75">
        <v>1</v>
      </c>
      <c r="AG78" s="74" t="s">
        <v>533</v>
      </c>
      <c r="AH78" s="74" t="s">
        <v>530</v>
      </c>
      <c r="AI78" s="78" t="s">
        <v>539</v>
      </c>
      <c r="AJ78" s="79" t="s">
        <v>539</v>
      </c>
      <c r="AK78" s="80">
        <v>46023</v>
      </c>
      <c r="AL78" s="80">
        <v>46387</v>
      </c>
      <c r="AM78" s="79"/>
      <c r="AN78" s="79"/>
      <c r="AO78" s="79"/>
      <c r="AP78" s="81" t="s">
        <v>540</v>
      </c>
      <c r="AQ78" s="80" cm="1">
        <f t="array" ref="AQ78">IFERROR(DATE(2026, _xlfn.AGGREGATE(15, 6, (COLUMN(CI78:CT78)-COLUMN(CI78)+1)/(CI78:CT78&lt;&gt;0), 1), 1),"N/A")</f>
        <v>46174</v>
      </c>
      <c r="AR78" s="80" cm="1">
        <f t="array" ref="AR78">IFERROR(EOMONTH(DATE(2026, _xlfn.AGGREGATE(14, 6, (COLUMN(CI78:CT78)-COLUMN(CI78)+1)/(CI78:CT78&lt;&gt;0), 1), 1), 0),"N/A")</f>
        <v>46203</v>
      </c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4" t="s">
        <v>606</v>
      </c>
      <c r="BG78" s="74"/>
      <c r="BH78" s="74" t="s">
        <v>812</v>
      </c>
      <c r="BI78" s="74" t="s">
        <v>137</v>
      </c>
      <c r="BJ78" s="78">
        <v>530301</v>
      </c>
      <c r="BK78" s="82" t="s">
        <v>74</v>
      </c>
      <c r="BL78" s="83">
        <v>3000</v>
      </c>
      <c r="BM78" s="73">
        <v>0</v>
      </c>
      <c r="BN78" s="84">
        <v>250</v>
      </c>
      <c r="BO78" s="84">
        <v>250</v>
      </c>
      <c r="BP78" s="72">
        <v>250</v>
      </c>
      <c r="BQ78" s="84">
        <v>250</v>
      </c>
      <c r="BR78" s="84">
        <v>250</v>
      </c>
      <c r="BS78" s="84">
        <v>250</v>
      </c>
      <c r="BT78" s="84">
        <v>300</v>
      </c>
      <c r="BU78" s="84">
        <v>300</v>
      </c>
      <c r="BV78" s="84">
        <v>300</v>
      </c>
      <c r="BW78" s="84">
        <v>300</v>
      </c>
      <c r="BX78" s="84">
        <v>300</v>
      </c>
      <c r="BY78" s="84">
        <v>-1500</v>
      </c>
      <c r="BZ78" s="84"/>
      <c r="CA78" s="84">
        <v>-1000</v>
      </c>
      <c r="CB78" s="84"/>
      <c r="CC78" s="84"/>
      <c r="CD78" s="84"/>
      <c r="CE78" s="84"/>
      <c r="CF78" s="84"/>
      <c r="CG78" s="84"/>
      <c r="CH78" s="73">
        <f t="shared" si="2"/>
        <v>500</v>
      </c>
      <c r="CI78" s="73"/>
      <c r="CJ78" s="84">
        <v>0</v>
      </c>
      <c r="CK78" s="84">
        <v>0</v>
      </c>
      <c r="CL78" s="84">
        <v>0</v>
      </c>
      <c r="CM78" s="84">
        <v>0</v>
      </c>
      <c r="CN78" s="84">
        <v>500</v>
      </c>
      <c r="CO78" s="84">
        <v>0</v>
      </c>
      <c r="CP78" s="84">
        <v>0</v>
      </c>
      <c r="CQ78" s="84">
        <v>0</v>
      </c>
      <c r="CR78" s="84">
        <v>0</v>
      </c>
      <c r="CS78" s="84">
        <v>0</v>
      </c>
      <c r="CT78" s="84">
        <v>0</v>
      </c>
      <c r="CU78" s="84"/>
      <c r="CV78" s="84">
        <f t="shared" si="3"/>
        <v>0</v>
      </c>
      <c r="CW78" s="84"/>
      <c r="CX78" s="74"/>
      <c r="CY78" s="74"/>
      <c r="CZ78" s="74"/>
      <c r="DA78" s="74"/>
      <c r="DB78" s="74"/>
      <c r="DC78" s="74"/>
      <c r="DD78" s="74"/>
    </row>
    <row r="79" spans="1:108" s="411" customFormat="1" ht="15" hidden="1" customHeight="1" x14ac:dyDescent="0.25">
      <c r="A79" s="406" t="s">
        <v>690</v>
      </c>
      <c r="B79" s="74" t="s">
        <v>154</v>
      </c>
      <c r="C79" s="74" t="s">
        <v>172</v>
      </c>
      <c r="D79" s="74" t="s">
        <v>196</v>
      </c>
      <c r="E79" s="74" t="s">
        <v>309</v>
      </c>
      <c r="F79" s="74" t="s">
        <v>550</v>
      </c>
      <c r="G79" s="74" t="s">
        <v>137</v>
      </c>
      <c r="H79" s="74" t="s">
        <v>137</v>
      </c>
      <c r="I79" s="74" t="s">
        <v>66</v>
      </c>
      <c r="J79" s="74" t="s">
        <v>29</v>
      </c>
      <c r="K79" s="82" t="s">
        <v>137</v>
      </c>
      <c r="L79" s="82" t="s">
        <v>137</v>
      </c>
      <c r="M79" s="82" t="s">
        <v>137</v>
      </c>
      <c r="N79" s="82" t="s">
        <v>137</v>
      </c>
      <c r="O79" s="82" t="s">
        <v>137</v>
      </c>
      <c r="P79" s="82" t="s">
        <v>137</v>
      </c>
      <c r="Q79" s="74" t="s">
        <v>87</v>
      </c>
      <c r="R79" s="74" t="s">
        <v>709</v>
      </c>
      <c r="S79" s="74" t="s">
        <v>40</v>
      </c>
      <c r="T79" s="74" t="s">
        <v>2</v>
      </c>
      <c r="U79" s="75"/>
      <c r="V79" s="75">
        <v>0.05</v>
      </c>
      <c r="W79" s="75">
        <v>0.08</v>
      </c>
      <c r="X79" s="75">
        <v>0.15</v>
      </c>
      <c r="Y79" s="75">
        <v>0.2</v>
      </c>
      <c r="Z79" s="75">
        <v>0.25</v>
      </c>
      <c r="AA79" s="75">
        <v>0.37</v>
      </c>
      <c r="AB79" s="75">
        <v>0.42</v>
      </c>
      <c r="AC79" s="75">
        <v>0.57999999999999996</v>
      </c>
      <c r="AD79" s="75">
        <v>0.67</v>
      </c>
      <c r="AE79" s="75">
        <v>0.83</v>
      </c>
      <c r="AF79" s="75">
        <v>1</v>
      </c>
      <c r="AG79" s="74" t="s">
        <v>533</v>
      </c>
      <c r="AH79" s="74" t="s">
        <v>530</v>
      </c>
      <c r="AI79" s="78" t="s">
        <v>539</v>
      </c>
      <c r="AJ79" s="79" t="s">
        <v>539</v>
      </c>
      <c r="AK79" s="80">
        <v>46023</v>
      </c>
      <c r="AL79" s="80">
        <v>46387</v>
      </c>
      <c r="AM79" s="79"/>
      <c r="AN79" s="79"/>
      <c r="AO79" s="79"/>
      <c r="AP79" s="81" t="s">
        <v>540</v>
      </c>
      <c r="AQ79" s="80" cm="1">
        <f t="array" ref="AQ79">IFERROR(DATE(2026, _xlfn.AGGREGATE(15, 6, (COLUMN(CI79:CT79)-COLUMN(CI79)+1)/(CI79:CT79&lt;&gt;0), 1), 1),"N/A")</f>
        <v>46357</v>
      </c>
      <c r="AR79" s="80" cm="1">
        <f t="array" ref="AR79">IFERROR(EOMONTH(DATE(2026, _xlfn.AGGREGATE(14, 6, (COLUMN(CI79:CT79)-COLUMN(CI79)+1)/(CI79:CT79&lt;&gt;0), 1), 1), 0),"N/A")</f>
        <v>46387</v>
      </c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406" t="s">
        <v>1046</v>
      </c>
      <c r="BG79" s="74"/>
      <c r="BH79" s="406" t="s">
        <v>1048</v>
      </c>
      <c r="BI79" s="74" t="s">
        <v>137</v>
      </c>
      <c r="BJ79" s="407">
        <v>530302</v>
      </c>
      <c r="BK79" s="408" t="s">
        <v>74</v>
      </c>
      <c r="BL79" s="83">
        <v>0</v>
      </c>
      <c r="BM79" s="73"/>
      <c r="BN79" s="73"/>
      <c r="BO79" s="73"/>
      <c r="BP79" s="73"/>
      <c r="BQ79" s="73"/>
      <c r="BR79" s="73"/>
      <c r="BS79" s="73"/>
      <c r="BT79" s="73"/>
      <c r="BU79" s="84"/>
      <c r="BV79" s="73"/>
      <c r="BW79" s="73"/>
      <c r="BX79" s="73"/>
      <c r="BY79" s="73"/>
      <c r="BZ79" s="73"/>
      <c r="CA79" s="73">
        <v>74267.509999999995</v>
      </c>
      <c r="CB79" s="73"/>
      <c r="CC79" s="73"/>
      <c r="CD79" s="73"/>
      <c r="CE79" s="73"/>
      <c r="CF79" s="73"/>
      <c r="CG79" s="73"/>
      <c r="CH79" s="409">
        <f t="shared" si="2"/>
        <v>74267.509999999995</v>
      </c>
      <c r="CI79" s="73"/>
      <c r="CJ79" s="73"/>
      <c r="CK79" s="72"/>
      <c r="CL79" s="73"/>
      <c r="CM79" s="73"/>
      <c r="CN79" s="73"/>
      <c r="CO79" s="73"/>
      <c r="CP79" s="73"/>
      <c r="CQ79" s="84"/>
      <c r="CR79" s="73"/>
      <c r="CS79" s="73"/>
      <c r="CT79" s="409">
        <v>74267.509999999995</v>
      </c>
      <c r="CU79" s="409"/>
      <c r="CV79" s="410">
        <f t="shared" si="3"/>
        <v>0</v>
      </c>
      <c r="CW79" s="410"/>
      <c r="CX79" s="406"/>
      <c r="CY79" s="406"/>
      <c r="CZ79" s="406"/>
      <c r="DA79" s="406"/>
      <c r="DB79" s="406" t="s">
        <v>1379</v>
      </c>
      <c r="DC79" s="406"/>
      <c r="DD79" s="406"/>
    </row>
    <row r="80" spans="1:108" s="411" customFormat="1" ht="15" hidden="1" customHeight="1" x14ac:dyDescent="0.25">
      <c r="A80" s="406" t="s">
        <v>690</v>
      </c>
      <c r="B80" s="74" t="s">
        <v>154</v>
      </c>
      <c r="C80" s="74" t="s">
        <v>172</v>
      </c>
      <c r="D80" s="74" t="s">
        <v>196</v>
      </c>
      <c r="E80" s="74" t="s">
        <v>309</v>
      </c>
      <c r="F80" s="74" t="s">
        <v>550</v>
      </c>
      <c r="G80" s="74" t="s">
        <v>137</v>
      </c>
      <c r="H80" s="74" t="s">
        <v>137</v>
      </c>
      <c r="I80" s="74" t="s">
        <v>66</v>
      </c>
      <c r="J80" s="74" t="s">
        <v>29</v>
      </c>
      <c r="K80" s="82" t="s">
        <v>137</v>
      </c>
      <c r="L80" s="82" t="s">
        <v>137</v>
      </c>
      <c r="M80" s="82" t="s">
        <v>137</v>
      </c>
      <c r="N80" s="82" t="s">
        <v>137</v>
      </c>
      <c r="O80" s="82" t="s">
        <v>137</v>
      </c>
      <c r="P80" s="82" t="s">
        <v>137</v>
      </c>
      <c r="Q80" s="74" t="s">
        <v>87</v>
      </c>
      <c r="R80" s="74" t="s">
        <v>709</v>
      </c>
      <c r="S80" s="74" t="s">
        <v>40</v>
      </c>
      <c r="T80" s="74" t="s">
        <v>2</v>
      </c>
      <c r="U80" s="75"/>
      <c r="V80" s="75">
        <v>0.05</v>
      </c>
      <c r="W80" s="75">
        <v>0.08</v>
      </c>
      <c r="X80" s="75">
        <v>0.15</v>
      </c>
      <c r="Y80" s="75">
        <v>0.2</v>
      </c>
      <c r="Z80" s="75">
        <v>0.25</v>
      </c>
      <c r="AA80" s="75">
        <v>0.37</v>
      </c>
      <c r="AB80" s="75">
        <v>0.42</v>
      </c>
      <c r="AC80" s="75">
        <v>0.57999999999999996</v>
      </c>
      <c r="AD80" s="75">
        <v>0.67</v>
      </c>
      <c r="AE80" s="75">
        <v>0.83</v>
      </c>
      <c r="AF80" s="75">
        <v>1</v>
      </c>
      <c r="AG80" s="74" t="s">
        <v>533</v>
      </c>
      <c r="AH80" s="74" t="s">
        <v>530</v>
      </c>
      <c r="AI80" s="78" t="s">
        <v>539</v>
      </c>
      <c r="AJ80" s="79" t="s">
        <v>539</v>
      </c>
      <c r="AK80" s="80">
        <v>46023</v>
      </c>
      <c r="AL80" s="80">
        <v>46387</v>
      </c>
      <c r="AM80" s="79"/>
      <c r="AN80" s="79"/>
      <c r="AO80" s="79"/>
      <c r="AP80" s="81" t="s">
        <v>540</v>
      </c>
      <c r="AQ80" s="80" cm="1">
        <f t="array" ref="AQ80">IFERROR(DATE(2026, _xlfn.AGGREGATE(15, 6, (COLUMN(CI80:CT80)-COLUMN(CI80)+1)/(CI80:CT80&lt;&gt;0), 1), 1),"N/A")</f>
        <v>46357</v>
      </c>
      <c r="AR80" s="80" cm="1">
        <f t="array" ref="AR80">IFERROR(EOMONTH(DATE(2026, _xlfn.AGGREGATE(14, 6, (COLUMN(CI80:CT80)-COLUMN(CI80)+1)/(CI80:CT80&lt;&gt;0), 1), 1), 0),"N/A")</f>
        <v>46387</v>
      </c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406" t="s">
        <v>1046</v>
      </c>
      <c r="BG80" s="74"/>
      <c r="BH80" s="406" t="s">
        <v>1047</v>
      </c>
      <c r="BI80" s="74" t="s">
        <v>137</v>
      </c>
      <c r="BJ80" s="407">
        <v>530301</v>
      </c>
      <c r="BK80" s="408" t="s">
        <v>74</v>
      </c>
      <c r="BL80" s="83">
        <v>0</v>
      </c>
      <c r="BM80" s="73"/>
      <c r="BN80" s="73"/>
      <c r="BO80" s="73"/>
      <c r="BP80" s="73"/>
      <c r="BQ80" s="73"/>
      <c r="BR80" s="73"/>
      <c r="BS80" s="73"/>
      <c r="BT80" s="73"/>
      <c r="BU80" s="84"/>
      <c r="BV80" s="73"/>
      <c r="BW80" s="73"/>
      <c r="BX80" s="73"/>
      <c r="BY80" s="73"/>
      <c r="BZ80" s="73"/>
      <c r="CA80" s="73">
        <v>1000</v>
      </c>
      <c r="CB80" s="73">
        <v>2500</v>
      </c>
      <c r="CC80" s="73"/>
      <c r="CD80" s="73"/>
      <c r="CE80" s="73"/>
      <c r="CF80" s="73"/>
      <c r="CG80" s="73"/>
      <c r="CH80" s="409">
        <f t="shared" si="2"/>
        <v>3500</v>
      </c>
      <c r="CI80" s="73"/>
      <c r="CJ80" s="73"/>
      <c r="CK80" s="72"/>
      <c r="CL80" s="73"/>
      <c r="CM80" s="73"/>
      <c r="CN80" s="73"/>
      <c r="CO80" s="73"/>
      <c r="CP80" s="73"/>
      <c r="CQ80" s="84"/>
      <c r="CR80" s="73"/>
      <c r="CS80" s="73"/>
      <c r="CT80" s="409">
        <v>3500</v>
      </c>
      <c r="CU80" s="409"/>
      <c r="CV80" s="410">
        <f t="shared" si="3"/>
        <v>0</v>
      </c>
      <c r="CW80" s="410"/>
      <c r="CX80" s="406"/>
      <c r="CY80" s="406"/>
      <c r="CZ80" s="406"/>
      <c r="DA80" s="406"/>
      <c r="DB80" s="406" t="s">
        <v>1379</v>
      </c>
      <c r="DC80" s="406"/>
      <c r="DD80" s="406"/>
    </row>
    <row r="81" spans="1:108" s="402" customFormat="1" ht="15" hidden="1" customHeight="1" x14ac:dyDescent="0.25">
      <c r="A81" s="398" t="s">
        <v>690</v>
      </c>
      <c r="B81" s="74" t="s">
        <v>154</v>
      </c>
      <c r="C81" s="74" t="s">
        <v>172</v>
      </c>
      <c r="D81" s="74" t="s">
        <v>196</v>
      </c>
      <c r="E81" s="74" t="s">
        <v>309</v>
      </c>
      <c r="F81" s="74" t="s">
        <v>550</v>
      </c>
      <c r="G81" s="74" t="s">
        <v>137</v>
      </c>
      <c r="H81" s="74" t="s">
        <v>137</v>
      </c>
      <c r="I81" s="74" t="s">
        <v>66</v>
      </c>
      <c r="J81" s="74" t="s">
        <v>29</v>
      </c>
      <c r="K81" s="82" t="s">
        <v>137</v>
      </c>
      <c r="L81" s="82" t="s">
        <v>137</v>
      </c>
      <c r="M81" s="82" t="s">
        <v>137</v>
      </c>
      <c r="N81" s="82" t="s">
        <v>137</v>
      </c>
      <c r="O81" s="82" t="s">
        <v>137</v>
      </c>
      <c r="P81" s="82" t="s">
        <v>137</v>
      </c>
      <c r="Q81" s="74" t="s">
        <v>87</v>
      </c>
      <c r="R81" s="74" t="s">
        <v>709</v>
      </c>
      <c r="S81" s="74" t="s">
        <v>40</v>
      </c>
      <c r="T81" s="74" t="s">
        <v>2</v>
      </c>
      <c r="U81" s="75"/>
      <c r="V81" s="75">
        <v>0.05</v>
      </c>
      <c r="W81" s="75">
        <v>0.08</v>
      </c>
      <c r="X81" s="75">
        <v>0.15</v>
      </c>
      <c r="Y81" s="75">
        <v>0.2</v>
      </c>
      <c r="Z81" s="75">
        <v>0.25</v>
      </c>
      <c r="AA81" s="75">
        <v>0.37</v>
      </c>
      <c r="AB81" s="75">
        <v>0.42</v>
      </c>
      <c r="AC81" s="75">
        <v>0.57999999999999996</v>
      </c>
      <c r="AD81" s="75">
        <v>0.67</v>
      </c>
      <c r="AE81" s="75">
        <v>0.83</v>
      </c>
      <c r="AF81" s="75">
        <v>1</v>
      </c>
      <c r="AG81" s="74" t="s">
        <v>772</v>
      </c>
      <c r="AH81" s="74" t="s">
        <v>531</v>
      </c>
      <c r="AI81" s="78" t="s">
        <v>539</v>
      </c>
      <c r="AJ81" s="79" t="s">
        <v>539</v>
      </c>
      <c r="AK81" s="80">
        <v>46023</v>
      </c>
      <c r="AL81" s="80">
        <v>46387</v>
      </c>
      <c r="AM81" s="79"/>
      <c r="AN81" s="79"/>
      <c r="AO81" s="79"/>
      <c r="AP81" s="81" t="s">
        <v>540</v>
      </c>
      <c r="AQ81" s="80" cm="1">
        <f t="array" ref="AQ81">IFERROR(DATE(2026, _xlfn.AGGREGATE(15, 6, (COLUMN(CI81:CT81)-COLUMN(CI81)+1)/(CI81:CT81&lt;&gt;0), 1), 1),"N/A")</f>
        <v>46023</v>
      </c>
      <c r="AR81" s="80" cm="1">
        <f t="array" ref="AR81">IFERROR(EOMONTH(DATE(2026, _xlfn.AGGREGATE(14, 6, (COLUMN(CI81:CT81)-COLUMN(CI81)+1)/(CI81:CT81&lt;&gt;0), 1), 1), 0),"N/A")</f>
        <v>46387</v>
      </c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398" t="s">
        <v>654</v>
      </c>
      <c r="BG81" s="74"/>
      <c r="BH81" s="398" t="s">
        <v>738</v>
      </c>
      <c r="BI81" s="74" t="s">
        <v>137</v>
      </c>
      <c r="BJ81" s="399">
        <v>530502</v>
      </c>
      <c r="BK81" s="400" t="s">
        <v>74</v>
      </c>
      <c r="BL81" s="83">
        <v>18000</v>
      </c>
      <c r="BM81" s="84">
        <v>1500</v>
      </c>
      <c r="BN81" s="84">
        <v>1500</v>
      </c>
      <c r="BO81" s="84">
        <v>1500</v>
      </c>
      <c r="BP81" s="72">
        <v>1500</v>
      </c>
      <c r="BQ81" s="84">
        <v>1500</v>
      </c>
      <c r="BR81" s="84">
        <v>1500</v>
      </c>
      <c r="BS81" s="84">
        <v>1500</v>
      </c>
      <c r="BT81" s="84">
        <v>1500</v>
      </c>
      <c r="BU81" s="84">
        <v>1500</v>
      </c>
      <c r="BV81" s="84">
        <v>1500</v>
      </c>
      <c r="BW81" s="84">
        <v>1500</v>
      </c>
      <c r="BX81" s="84">
        <v>1500</v>
      </c>
      <c r="BY81" s="84"/>
      <c r="BZ81" s="84"/>
      <c r="CA81" s="84"/>
      <c r="CB81" s="84"/>
      <c r="CC81" s="84"/>
      <c r="CD81" s="84"/>
      <c r="CE81" s="84"/>
      <c r="CF81" s="84"/>
      <c r="CG81" s="84"/>
      <c r="CH81" s="403">
        <f t="shared" si="2"/>
        <v>18000</v>
      </c>
      <c r="CI81" s="84">
        <v>1500</v>
      </c>
      <c r="CJ81" s="84">
        <v>1500</v>
      </c>
      <c r="CK81" s="84">
        <v>1500</v>
      </c>
      <c r="CL81" s="123">
        <v>1500</v>
      </c>
      <c r="CM81" s="122">
        <v>1500</v>
      </c>
      <c r="CN81" s="84">
        <v>1500</v>
      </c>
      <c r="CO81" s="84">
        <v>1500</v>
      </c>
      <c r="CP81" s="84">
        <v>1500</v>
      </c>
      <c r="CQ81" s="84">
        <v>1500</v>
      </c>
      <c r="CR81" s="84">
        <v>1500</v>
      </c>
      <c r="CS81" s="84">
        <v>1500</v>
      </c>
      <c r="CT81" s="404">
        <v>1500</v>
      </c>
      <c r="CU81" s="404"/>
      <c r="CV81" s="404">
        <f t="shared" si="3"/>
        <v>0</v>
      </c>
      <c r="CW81" s="404"/>
      <c r="CX81" s="398"/>
      <c r="CY81" s="398"/>
      <c r="CZ81" s="398"/>
      <c r="DA81" s="398"/>
      <c r="DB81" s="398"/>
      <c r="DC81" s="398"/>
      <c r="DD81" s="398"/>
    </row>
    <row r="82" spans="1:108" s="68" customFormat="1" ht="15" hidden="1" customHeight="1" x14ac:dyDescent="0.25">
      <c r="A82" s="74" t="s">
        <v>690</v>
      </c>
      <c r="B82" s="74" t="s">
        <v>154</v>
      </c>
      <c r="C82" s="74" t="s">
        <v>172</v>
      </c>
      <c r="D82" s="74" t="s">
        <v>196</v>
      </c>
      <c r="E82" s="74" t="s">
        <v>309</v>
      </c>
      <c r="F82" s="74" t="s">
        <v>550</v>
      </c>
      <c r="G82" s="74" t="s">
        <v>137</v>
      </c>
      <c r="H82" s="74" t="s">
        <v>137</v>
      </c>
      <c r="I82" s="74" t="s">
        <v>66</v>
      </c>
      <c r="J82" s="74" t="s">
        <v>29</v>
      </c>
      <c r="K82" s="82" t="s">
        <v>137</v>
      </c>
      <c r="L82" s="82" t="s">
        <v>137</v>
      </c>
      <c r="M82" s="82" t="s">
        <v>137</v>
      </c>
      <c r="N82" s="82" t="s">
        <v>137</v>
      </c>
      <c r="O82" s="82" t="s">
        <v>137</v>
      </c>
      <c r="P82" s="82" t="s">
        <v>137</v>
      </c>
      <c r="Q82" s="74" t="s">
        <v>87</v>
      </c>
      <c r="R82" s="74" t="s">
        <v>709</v>
      </c>
      <c r="S82" s="74" t="s">
        <v>40</v>
      </c>
      <c r="T82" s="74" t="s">
        <v>2</v>
      </c>
      <c r="U82" s="75"/>
      <c r="V82" s="75">
        <v>0.05</v>
      </c>
      <c r="W82" s="75">
        <v>0.08</v>
      </c>
      <c r="X82" s="75">
        <v>0.15</v>
      </c>
      <c r="Y82" s="75">
        <v>0.2</v>
      </c>
      <c r="Z82" s="75">
        <v>0.25</v>
      </c>
      <c r="AA82" s="75">
        <v>0.37</v>
      </c>
      <c r="AB82" s="75">
        <v>0.42</v>
      </c>
      <c r="AC82" s="75">
        <v>0.57999999999999996</v>
      </c>
      <c r="AD82" s="75">
        <v>0.67</v>
      </c>
      <c r="AE82" s="75">
        <v>0.83</v>
      </c>
      <c r="AF82" s="75">
        <v>1</v>
      </c>
      <c r="AG82" s="74" t="s">
        <v>533</v>
      </c>
      <c r="AH82" s="74" t="s">
        <v>530</v>
      </c>
      <c r="AI82" s="78" t="s">
        <v>539</v>
      </c>
      <c r="AJ82" s="79" t="s">
        <v>539</v>
      </c>
      <c r="AK82" s="80">
        <v>46023</v>
      </c>
      <c r="AL82" s="80">
        <v>46387</v>
      </c>
      <c r="AM82" s="79"/>
      <c r="AN82" s="79"/>
      <c r="AO82" s="79"/>
      <c r="AP82" s="81" t="s">
        <v>540</v>
      </c>
      <c r="AQ82" s="80" cm="1">
        <f t="array" ref="AQ82">IFERROR(DATE(2026, _xlfn.AGGREGATE(15, 6, (COLUMN(CI82:CT82)-COLUMN(CI82)+1)/(CI82:CT82&lt;&gt;0), 1), 1),"N/A")</f>
        <v>46296</v>
      </c>
      <c r="AR82" s="80" cm="1">
        <f t="array" ref="AR82">IFERROR(EOMONTH(DATE(2026, _xlfn.AGGREGATE(14, 6, (COLUMN(CI82:CT82)-COLUMN(CI82)+1)/(CI82:CT82&lt;&gt;0), 1), 1), 0),"N/A")</f>
        <v>46326</v>
      </c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4" t="s">
        <v>625</v>
      </c>
      <c r="BG82" s="74"/>
      <c r="BH82" s="74" t="s">
        <v>814</v>
      </c>
      <c r="BI82" s="74" t="s">
        <v>137</v>
      </c>
      <c r="BJ82" s="78">
        <v>530209</v>
      </c>
      <c r="BK82" s="82" t="s">
        <v>74</v>
      </c>
      <c r="BL82" s="83">
        <v>6600</v>
      </c>
      <c r="BM82" s="73">
        <v>0</v>
      </c>
      <c r="BN82" s="73">
        <v>0</v>
      </c>
      <c r="BO82" s="73">
        <v>0</v>
      </c>
      <c r="BP82" s="73">
        <v>0</v>
      </c>
      <c r="BQ82" s="73">
        <v>0</v>
      </c>
      <c r="BR82" s="73">
        <v>0</v>
      </c>
      <c r="BS82" s="73">
        <v>0</v>
      </c>
      <c r="BT82" s="73">
        <v>0</v>
      </c>
      <c r="BU82" s="73">
        <v>0</v>
      </c>
      <c r="BV82" s="84">
        <v>6600</v>
      </c>
      <c r="BW82" s="73">
        <v>0</v>
      </c>
      <c r="BX82" s="73">
        <v>0</v>
      </c>
      <c r="BY82" s="73">
        <v>-5000</v>
      </c>
      <c r="BZ82" s="73"/>
      <c r="CA82" s="73"/>
      <c r="CB82" s="73"/>
      <c r="CC82" s="73"/>
      <c r="CD82" s="73"/>
      <c r="CE82" s="73"/>
      <c r="CF82" s="73"/>
      <c r="CG82" s="73"/>
      <c r="CH82" s="73">
        <f t="shared" si="2"/>
        <v>1600</v>
      </c>
      <c r="CI82" s="73"/>
      <c r="CJ82" s="73"/>
      <c r="CK82" s="72">
        <v>0</v>
      </c>
      <c r="CL82" s="73">
        <v>0</v>
      </c>
      <c r="CM82" s="73">
        <v>0</v>
      </c>
      <c r="CN82" s="73">
        <v>0</v>
      </c>
      <c r="CO82" s="73">
        <v>0</v>
      </c>
      <c r="CP82" s="73">
        <v>0</v>
      </c>
      <c r="CQ82" s="73">
        <v>0</v>
      </c>
      <c r="CR82" s="84">
        <v>1600</v>
      </c>
      <c r="CS82" s="73">
        <v>0</v>
      </c>
      <c r="CT82" s="73">
        <v>0</v>
      </c>
      <c r="CU82" s="73"/>
      <c r="CV82" s="84">
        <f t="shared" si="3"/>
        <v>0</v>
      </c>
      <c r="CW82" s="84"/>
      <c r="CX82" s="74"/>
      <c r="CY82" s="74"/>
      <c r="CZ82" s="74"/>
      <c r="DA82" s="74"/>
      <c r="DB82" s="74"/>
      <c r="DC82" s="74"/>
      <c r="DD82" s="74"/>
    </row>
    <row r="83" spans="1:108" s="68" customFormat="1" ht="15" hidden="1" customHeight="1" x14ac:dyDescent="0.25">
      <c r="A83" s="74" t="s">
        <v>690</v>
      </c>
      <c r="B83" s="74" t="s">
        <v>154</v>
      </c>
      <c r="C83" s="74" t="s">
        <v>172</v>
      </c>
      <c r="D83" s="74" t="s">
        <v>196</v>
      </c>
      <c r="E83" s="74" t="s">
        <v>309</v>
      </c>
      <c r="F83" s="74" t="s">
        <v>550</v>
      </c>
      <c r="G83" s="74" t="s">
        <v>137</v>
      </c>
      <c r="H83" s="74" t="s">
        <v>137</v>
      </c>
      <c r="I83" s="74" t="s">
        <v>66</v>
      </c>
      <c r="J83" s="74" t="s">
        <v>29</v>
      </c>
      <c r="K83" s="82" t="s">
        <v>137</v>
      </c>
      <c r="L83" s="82" t="s">
        <v>137</v>
      </c>
      <c r="M83" s="82" t="s">
        <v>137</v>
      </c>
      <c r="N83" s="82" t="s">
        <v>137</v>
      </c>
      <c r="O83" s="82" t="s">
        <v>137</v>
      </c>
      <c r="P83" s="82" t="s">
        <v>137</v>
      </c>
      <c r="Q83" s="74" t="s">
        <v>87</v>
      </c>
      <c r="R83" s="74" t="s">
        <v>709</v>
      </c>
      <c r="S83" s="74" t="s">
        <v>40</v>
      </c>
      <c r="T83" s="74" t="s">
        <v>2</v>
      </c>
      <c r="U83" s="75"/>
      <c r="V83" s="75">
        <v>0.05</v>
      </c>
      <c r="W83" s="75">
        <v>0.08</v>
      </c>
      <c r="X83" s="75">
        <v>0.15</v>
      </c>
      <c r="Y83" s="75">
        <v>0.2</v>
      </c>
      <c r="Z83" s="75">
        <v>0.25</v>
      </c>
      <c r="AA83" s="75">
        <v>0.37</v>
      </c>
      <c r="AB83" s="75">
        <v>0.42</v>
      </c>
      <c r="AC83" s="75">
        <v>0.57999999999999996</v>
      </c>
      <c r="AD83" s="75">
        <v>0.67</v>
      </c>
      <c r="AE83" s="75">
        <v>0.83</v>
      </c>
      <c r="AF83" s="75">
        <v>1</v>
      </c>
      <c r="AG83" s="74" t="s">
        <v>533</v>
      </c>
      <c r="AH83" s="74" t="s">
        <v>530</v>
      </c>
      <c r="AI83" s="78" t="s">
        <v>539</v>
      </c>
      <c r="AJ83" s="79" t="s">
        <v>539</v>
      </c>
      <c r="AK83" s="80">
        <v>46023</v>
      </c>
      <c r="AL83" s="80">
        <v>46387</v>
      </c>
      <c r="AM83" s="79"/>
      <c r="AN83" s="79"/>
      <c r="AO83" s="79"/>
      <c r="AP83" s="81" t="s">
        <v>540</v>
      </c>
      <c r="AQ83" s="80" t="str" cm="1">
        <f t="array" ref="AQ83">IFERROR(DATE(2026, _xlfn.AGGREGATE(15, 6, (COLUMN(CI83:CT83)-COLUMN(CI83)+1)/(CI83:CT83&lt;&gt;0), 1), 1),"N/A")</f>
        <v>N/A</v>
      </c>
      <c r="AR83" s="80" t="str" cm="1">
        <f t="array" ref="AR83">IFERROR(EOMONTH(DATE(2026, _xlfn.AGGREGATE(14, 6, (COLUMN(CI83:CT83)-COLUMN(CI83)+1)/(CI83:CT83&lt;&gt;0), 1), 1), 0),"N/A")</f>
        <v>N/A</v>
      </c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4" t="s">
        <v>652</v>
      </c>
      <c r="BG83" s="74"/>
      <c r="BH83" s="74" t="s">
        <v>815</v>
      </c>
      <c r="BI83" s="74" t="s">
        <v>137</v>
      </c>
      <c r="BJ83" s="78">
        <v>530811</v>
      </c>
      <c r="BK83" s="82" t="s">
        <v>74</v>
      </c>
      <c r="BL83" s="83">
        <v>15000</v>
      </c>
      <c r="BM83" s="73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84">
        <v>15000</v>
      </c>
      <c r="BT83" s="73">
        <v>0</v>
      </c>
      <c r="BU83" s="73">
        <v>0</v>
      </c>
      <c r="BV83" s="73">
        <v>0</v>
      </c>
      <c r="BW83" s="73">
        <v>0</v>
      </c>
      <c r="BX83" s="73">
        <v>0</v>
      </c>
      <c r="BY83" s="73"/>
      <c r="BZ83" s="73"/>
      <c r="CA83" s="73">
        <v>-15000</v>
      </c>
      <c r="CB83" s="73"/>
      <c r="CC83" s="73"/>
      <c r="CD83" s="73"/>
      <c r="CE83" s="73"/>
      <c r="CF83" s="73"/>
      <c r="CG83" s="73"/>
      <c r="CH83" s="73">
        <f t="shared" si="2"/>
        <v>0</v>
      </c>
      <c r="CI83" s="73"/>
      <c r="CJ83" s="73"/>
      <c r="CK83" s="72">
        <v>0</v>
      </c>
      <c r="CL83" s="73">
        <v>0</v>
      </c>
      <c r="CM83" s="73">
        <v>0</v>
      </c>
      <c r="CN83" s="73">
        <v>0</v>
      </c>
      <c r="CO83" s="84">
        <v>0</v>
      </c>
      <c r="CP83" s="73">
        <v>0</v>
      </c>
      <c r="CQ83" s="73">
        <v>0</v>
      </c>
      <c r="CR83" s="73">
        <v>0</v>
      </c>
      <c r="CS83" s="73">
        <v>0</v>
      </c>
      <c r="CT83" s="73">
        <v>0</v>
      </c>
      <c r="CU83" s="73"/>
      <c r="CV83" s="84">
        <f t="shared" si="3"/>
        <v>0</v>
      </c>
      <c r="CW83" s="84"/>
      <c r="CX83" s="74"/>
      <c r="CY83" s="74"/>
      <c r="CZ83" s="74"/>
      <c r="DA83" s="74"/>
      <c r="DB83" s="74"/>
      <c r="DC83" s="74"/>
      <c r="DD83" s="74"/>
    </row>
    <row r="84" spans="1:108" s="68" customFormat="1" ht="15" hidden="1" customHeight="1" x14ac:dyDescent="0.25">
      <c r="A84" s="74" t="s">
        <v>690</v>
      </c>
      <c r="B84" s="74" t="s">
        <v>154</v>
      </c>
      <c r="C84" s="74" t="s">
        <v>172</v>
      </c>
      <c r="D84" s="74" t="s">
        <v>196</v>
      </c>
      <c r="E84" s="74" t="s">
        <v>309</v>
      </c>
      <c r="F84" s="74" t="s">
        <v>550</v>
      </c>
      <c r="G84" s="74" t="s">
        <v>137</v>
      </c>
      <c r="H84" s="74" t="s">
        <v>137</v>
      </c>
      <c r="I84" s="74" t="s">
        <v>66</v>
      </c>
      <c r="J84" s="74" t="s">
        <v>29</v>
      </c>
      <c r="K84" s="82" t="s">
        <v>137</v>
      </c>
      <c r="L84" s="82" t="s">
        <v>137</v>
      </c>
      <c r="M84" s="82" t="s">
        <v>137</v>
      </c>
      <c r="N84" s="82" t="s">
        <v>137</v>
      </c>
      <c r="O84" s="82" t="s">
        <v>137</v>
      </c>
      <c r="P84" s="82" t="s">
        <v>137</v>
      </c>
      <c r="Q84" s="74" t="s">
        <v>87</v>
      </c>
      <c r="R84" s="74" t="s">
        <v>709</v>
      </c>
      <c r="S84" s="74" t="s">
        <v>40</v>
      </c>
      <c r="T84" s="74" t="s">
        <v>2</v>
      </c>
      <c r="U84" s="75"/>
      <c r="V84" s="75">
        <v>0.05</v>
      </c>
      <c r="W84" s="75">
        <v>0.08</v>
      </c>
      <c r="X84" s="75">
        <v>0.15</v>
      </c>
      <c r="Y84" s="75">
        <v>0.2</v>
      </c>
      <c r="Z84" s="75">
        <v>0.25</v>
      </c>
      <c r="AA84" s="75">
        <v>0.37</v>
      </c>
      <c r="AB84" s="75">
        <v>0.42</v>
      </c>
      <c r="AC84" s="75">
        <v>0.57999999999999996</v>
      </c>
      <c r="AD84" s="75">
        <v>0.67</v>
      </c>
      <c r="AE84" s="75">
        <v>0.83</v>
      </c>
      <c r="AF84" s="75">
        <v>1</v>
      </c>
      <c r="AG84" s="74" t="s">
        <v>533</v>
      </c>
      <c r="AH84" s="74" t="s">
        <v>530</v>
      </c>
      <c r="AI84" s="78" t="s">
        <v>539</v>
      </c>
      <c r="AJ84" s="79" t="s">
        <v>539</v>
      </c>
      <c r="AK84" s="80">
        <v>46023</v>
      </c>
      <c r="AL84" s="80">
        <v>46387</v>
      </c>
      <c r="AM84" s="79"/>
      <c r="AN84" s="79"/>
      <c r="AO84" s="79"/>
      <c r="AP84" s="81" t="s">
        <v>540</v>
      </c>
      <c r="AQ84" s="80" t="str" cm="1">
        <f t="array" ref="AQ84">IFERROR(DATE(2026, _xlfn.AGGREGATE(15, 6, (COLUMN(CI84:CT84)-COLUMN(CI84)+1)/(CI84:CT84&lt;&gt;0), 1), 1),"N/A")</f>
        <v>N/A</v>
      </c>
      <c r="AR84" s="80" t="str" cm="1">
        <f t="array" ref="AR84">IFERROR(EOMONTH(DATE(2026, _xlfn.AGGREGATE(14, 6, (COLUMN(CI84:CT84)-COLUMN(CI84)+1)/(CI84:CT84&lt;&gt;0), 1), 1), 0),"N/A")</f>
        <v>N/A</v>
      </c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4" t="s">
        <v>626</v>
      </c>
      <c r="BG84" s="74"/>
      <c r="BH84" s="74" t="s">
        <v>816</v>
      </c>
      <c r="BI84" s="74" t="s">
        <v>137</v>
      </c>
      <c r="BJ84" s="78">
        <v>530403</v>
      </c>
      <c r="BK84" s="82" t="s">
        <v>74</v>
      </c>
      <c r="BL84" s="83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73">
        <v>0</v>
      </c>
      <c r="BT84" s="73">
        <v>0</v>
      </c>
      <c r="BU84" s="73">
        <v>0</v>
      </c>
      <c r="BV84" s="73">
        <v>0</v>
      </c>
      <c r="BW84" s="84">
        <v>6600</v>
      </c>
      <c r="BX84" s="73">
        <v>0</v>
      </c>
      <c r="BY84" s="73">
        <v>-6600</v>
      </c>
      <c r="BZ84" s="73"/>
      <c r="CA84" s="73"/>
      <c r="CB84" s="73"/>
      <c r="CC84" s="73"/>
      <c r="CD84" s="73"/>
      <c r="CE84" s="73"/>
      <c r="CF84" s="73"/>
      <c r="CG84" s="73"/>
      <c r="CH84" s="73">
        <f t="shared" si="2"/>
        <v>0</v>
      </c>
      <c r="CI84" s="73"/>
      <c r="CJ84" s="73"/>
      <c r="CK84" s="72">
        <v>0</v>
      </c>
      <c r="CL84" s="73">
        <v>0</v>
      </c>
      <c r="CM84" s="73">
        <v>0</v>
      </c>
      <c r="CN84" s="73">
        <v>0</v>
      </c>
      <c r="CO84" s="73">
        <v>0</v>
      </c>
      <c r="CP84" s="73">
        <v>0</v>
      </c>
      <c r="CQ84" s="73">
        <v>0</v>
      </c>
      <c r="CR84" s="73">
        <v>0</v>
      </c>
      <c r="CS84" s="84">
        <v>0</v>
      </c>
      <c r="CT84" s="73">
        <v>0</v>
      </c>
      <c r="CU84" s="73"/>
      <c r="CV84" s="84">
        <f t="shared" si="3"/>
        <v>0</v>
      </c>
      <c r="CW84" s="84"/>
      <c r="CX84" s="74"/>
      <c r="CY84" s="74"/>
      <c r="CZ84" s="74"/>
      <c r="DA84" s="74"/>
      <c r="DB84" s="74"/>
      <c r="DC84" s="74"/>
      <c r="DD84" s="74"/>
    </row>
    <row r="85" spans="1:108" s="68" customFormat="1" ht="15" hidden="1" customHeight="1" x14ac:dyDescent="0.25">
      <c r="A85" s="74" t="s">
        <v>690</v>
      </c>
      <c r="B85" s="74" t="s">
        <v>154</v>
      </c>
      <c r="C85" s="74" t="s">
        <v>172</v>
      </c>
      <c r="D85" s="74" t="s">
        <v>196</v>
      </c>
      <c r="E85" s="74" t="s">
        <v>309</v>
      </c>
      <c r="F85" s="74" t="s">
        <v>550</v>
      </c>
      <c r="G85" s="74" t="s">
        <v>137</v>
      </c>
      <c r="H85" s="74" t="s">
        <v>137</v>
      </c>
      <c r="I85" s="74" t="s">
        <v>66</v>
      </c>
      <c r="J85" s="74" t="s">
        <v>29</v>
      </c>
      <c r="K85" s="82" t="s">
        <v>137</v>
      </c>
      <c r="L85" s="82" t="s">
        <v>137</v>
      </c>
      <c r="M85" s="82" t="s">
        <v>137</v>
      </c>
      <c r="N85" s="82" t="s">
        <v>137</v>
      </c>
      <c r="O85" s="82" t="s">
        <v>137</v>
      </c>
      <c r="P85" s="82" t="s">
        <v>137</v>
      </c>
      <c r="Q85" s="74" t="s">
        <v>87</v>
      </c>
      <c r="R85" s="74" t="s">
        <v>709</v>
      </c>
      <c r="S85" s="74" t="s">
        <v>40</v>
      </c>
      <c r="T85" s="74" t="s">
        <v>2</v>
      </c>
      <c r="U85" s="75"/>
      <c r="V85" s="75">
        <v>0.05</v>
      </c>
      <c r="W85" s="75">
        <v>0.08</v>
      </c>
      <c r="X85" s="75">
        <v>0.15</v>
      </c>
      <c r="Y85" s="75">
        <v>0.2</v>
      </c>
      <c r="Z85" s="75">
        <v>0.25</v>
      </c>
      <c r="AA85" s="75">
        <v>0.37</v>
      </c>
      <c r="AB85" s="75">
        <v>0.42</v>
      </c>
      <c r="AC85" s="75">
        <v>0.57999999999999996</v>
      </c>
      <c r="AD85" s="75">
        <v>0.67</v>
      </c>
      <c r="AE85" s="75">
        <v>0.83</v>
      </c>
      <c r="AF85" s="75">
        <v>1</v>
      </c>
      <c r="AG85" s="74" t="s">
        <v>533</v>
      </c>
      <c r="AH85" s="74" t="s">
        <v>530</v>
      </c>
      <c r="AI85" s="78" t="s">
        <v>539</v>
      </c>
      <c r="AJ85" s="79" t="s">
        <v>539</v>
      </c>
      <c r="AK85" s="80">
        <v>46023</v>
      </c>
      <c r="AL85" s="80">
        <v>46387</v>
      </c>
      <c r="AM85" s="79"/>
      <c r="AN85" s="79"/>
      <c r="AO85" s="79"/>
      <c r="AP85" s="81" t="s">
        <v>540</v>
      </c>
      <c r="AQ85" s="80" t="str" cm="1">
        <f t="array" ref="AQ85">IFERROR(DATE(2026, _xlfn.AGGREGATE(15, 6, (COLUMN(CI85:CT85)-COLUMN(CI85)+1)/(CI85:CT85&lt;&gt;0), 1), 1),"N/A")</f>
        <v>N/A</v>
      </c>
      <c r="AR85" s="80" t="str" cm="1">
        <f t="array" ref="AR85">IFERROR(EOMONTH(DATE(2026, _xlfn.AGGREGATE(14, 6, (COLUMN(CI85:CT85)-COLUMN(CI85)+1)/(CI85:CT85&lt;&gt;0), 1), 1), 0),"N/A")</f>
        <v>N/A</v>
      </c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4" t="s">
        <v>627</v>
      </c>
      <c r="BG85" s="74"/>
      <c r="BH85" s="74" t="s">
        <v>753</v>
      </c>
      <c r="BI85" s="74" t="s">
        <v>137</v>
      </c>
      <c r="BJ85" s="78">
        <v>530404</v>
      </c>
      <c r="BK85" s="82" t="s">
        <v>74</v>
      </c>
      <c r="BL85" s="83">
        <v>6600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0</v>
      </c>
      <c r="BT85" s="73">
        <v>0</v>
      </c>
      <c r="BU85" s="73">
        <v>0</v>
      </c>
      <c r="BV85" s="73">
        <v>0</v>
      </c>
      <c r="BW85" s="84">
        <v>6600</v>
      </c>
      <c r="BX85" s="73">
        <v>0</v>
      </c>
      <c r="BY85" s="73"/>
      <c r="BZ85" s="73"/>
      <c r="CA85" s="73">
        <v>-6600</v>
      </c>
      <c r="CB85" s="73"/>
      <c r="CC85" s="73"/>
      <c r="CD85" s="73"/>
      <c r="CE85" s="73"/>
      <c r="CF85" s="73"/>
      <c r="CG85" s="73"/>
      <c r="CH85" s="73">
        <f t="shared" si="2"/>
        <v>0</v>
      </c>
      <c r="CI85" s="73"/>
      <c r="CJ85" s="73"/>
      <c r="CK85" s="72">
        <v>0</v>
      </c>
      <c r="CL85" s="73">
        <v>0</v>
      </c>
      <c r="CM85" s="73">
        <v>0</v>
      </c>
      <c r="CN85" s="73">
        <v>0</v>
      </c>
      <c r="CO85" s="73">
        <v>0</v>
      </c>
      <c r="CP85" s="73">
        <v>0</v>
      </c>
      <c r="CQ85" s="73">
        <v>0</v>
      </c>
      <c r="CR85" s="73">
        <v>0</v>
      </c>
      <c r="CS85" s="84">
        <v>0</v>
      </c>
      <c r="CT85" s="73">
        <v>0</v>
      </c>
      <c r="CU85" s="73"/>
      <c r="CV85" s="84">
        <f t="shared" si="3"/>
        <v>0</v>
      </c>
      <c r="CW85" s="84"/>
      <c r="CX85" s="74"/>
      <c r="CY85" s="74"/>
      <c r="CZ85" s="74"/>
      <c r="DA85" s="74"/>
      <c r="DB85" s="74"/>
      <c r="DC85" s="74"/>
      <c r="DD85" s="74"/>
    </row>
    <row r="86" spans="1:108" s="68" customFormat="1" ht="15" hidden="1" customHeight="1" x14ac:dyDescent="0.25">
      <c r="A86" s="74" t="s">
        <v>690</v>
      </c>
      <c r="B86" s="74" t="s">
        <v>154</v>
      </c>
      <c r="C86" s="74" t="s">
        <v>172</v>
      </c>
      <c r="D86" s="74" t="s">
        <v>196</v>
      </c>
      <c r="E86" s="74" t="s">
        <v>309</v>
      </c>
      <c r="F86" s="74" t="s">
        <v>550</v>
      </c>
      <c r="G86" s="74" t="s">
        <v>137</v>
      </c>
      <c r="H86" s="74" t="s">
        <v>137</v>
      </c>
      <c r="I86" s="74" t="s">
        <v>66</v>
      </c>
      <c r="J86" s="74" t="s">
        <v>29</v>
      </c>
      <c r="K86" s="82" t="s">
        <v>137</v>
      </c>
      <c r="L86" s="82" t="s">
        <v>137</v>
      </c>
      <c r="M86" s="82" t="s">
        <v>137</v>
      </c>
      <c r="N86" s="82" t="s">
        <v>137</v>
      </c>
      <c r="O86" s="82" t="s">
        <v>137</v>
      </c>
      <c r="P86" s="82" t="s">
        <v>137</v>
      </c>
      <c r="Q86" s="74" t="s">
        <v>87</v>
      </c>
      <c r="R86" s="74" t="s">
        <v>709</v>
      </c>
      <c r="S86" s="74" t="s">
        <v>40</v>
      </c>
      <c r="T86" s="74" t="s">
        <v>2</v>
      </c>
      <c r="U86" s="75"/>
      <c r="V86" s="75">
        <v>0.05</v>
      </c>
      <c r="W86" s="75">
        <v>0.08</v>
      </c>
      <c r="X86" s="75">
        <v>0.15</v>
      </c>
      <c r="Y86" s="75">
        <v>0.2</v>
      </c>
      <c r="Z86" s="75">
        <v>0.25</v>
      </c>
      <c r="AA86" s="75">
        <v>0.37</v>
      </c>
      <c r="AB86" s="75">
        <v>0.42</v>
      </c>
      <c r="AC86" s="75">
        <v>0.57999999999999996</v>
      </c>
      <c r="AD86" s="75">
        <v>0.67</v>
      </c>
      <c r="AE86" s="75">
        <v>0.83</v>
      </c>
      <c r="AF86" s="75">
        <v>1</v>
      </c>
      <c r="AG86" s="74" t="s">
        <v>533</v>
      </c>
      <c r="AH86" s="74" t="s">
        <v>530</v>
      </c>
      <c r="AI86" s="78" t="s">
        <v>539</v>
      </c>
      <c r="AJ86" s="79" t="s">
        <v>539</v>
      </c>
      <c r="AK86" s="80">
        <v>46023</v>
      </c>
      <c r="AL86" s="80">
        <v>46387</v>
      </c>
      <c r="AM86" s="79"/>
      <c r="AN86" s="79"/>
      <c r="AO86" s="79"/>
      <c r="AP86" s="81" t="s">
        <v>540</v>
      </c>
      <c r="AQ86" s="80" t="str" cm="1">
        <f t="array" ref="AQ86">IFERROR(DATE(2026, _xlfn.AGGREGATE(15, 6, (COLUMN(CI86:CT86)-COLUMN(CI86)+1)/(CI86:CT86&lt;&gt;0), 1), 1),"N/A")</f>
        <v>N/A</v>
      </c>
      <c r="AR86" s="80" t="str" cm="1">
        <f t="array" ref="AR86">IFERROR(EOMONTH(DATE(2026, _xlfn.AGGREGATE(14, 6, (COLUMN(CI86:CT86)-COLUMN(CI86)+1)/(CI86:CT86&lt;&gt;0), 1), 1), 0),"N/A")</f>
        <v>N/A</v>
      </c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4" t="s">
        <v>582</v>
      </c>
      <c r="BG86" s="74"/>
      <c r="BH86" s="74" t="s">
        <v>754</v>
      </c>
      <c r="BI86" s="74" t="s">
        <v>137</v>
      </c>
      <c r="BJ86" s="78">
        <v>530404</v>
      </c>
      <c r="BK86" s="82" t="s">
        <v>74</v>
      </c>
      <c r="BL86" s="83">
        <v>1000</v>
      </c>
      <c r="BM86" s="73">
        <v>0</v>
      </c>
      <c r="BN86" s="73">
        <v>0</v>
      </c>
      <c r="BO86" s="73">
        <v>0</v>
      </c>
      <c r="BP86" s="73">
        <v>0</v>
      </c>
      <c r="BQ86" s="73">
        <v>0</v>
      </c>
      <c r="BR86" s="73">
        <v>0</v>
      </c>
      <c r="BS86" s="73">
        <v>0</v>
      </c>
      <c r="BT86" s="73">
        <v>0</v>
      </c>
      <c r="BU86" s="73">
        <v>0</v>
      </c>
      <c r="BV86" s="84">
        <v>1000</v>
      </c>
      <c r="BW86" s="73">
        <v>0</v>
      </c>
      <c r="BX86" s="73">
        <v>0</v>
      </c>
      <c r="BY86" s="73"/>
      <c r="BZ86" s="73"/>
      <c r="CA86" s="73">
        <v>-1000</v>
      </c>
      <c r="CB86" s="73"/>
      <c r="CC86" s="73"/>
      <c r="CD86" s="73"/>
      <c r="CE86" s="73"/>
      <c r="CF86" s="73"/>
      <c r="CG86" s="73"/>
      <c r="CH86" s="73">
        <f t="shared" si="2"/>
        <v>0</v>
      </c>
      <c r="CI86" s="73"/>
      <c r="CJ86" s="73"/>
      <c r="CK86" s="72">
        <v>0</v>
      </c>
      <c r="CL86" s="73">
        <v>0</v>
      </c>
      <c r="CM86" s="73">
        <v>0</v>
      </c>
      <c r="CN86" s="73">
        <v>0</v>
      </c>
      <c r="CO86" s="73">
        <v>0</v>
      </c>
      <c r="CP86" s="73">
        <v>0</v>
      </c>
      <c r="CQ86" s="73">
        <v>0</v>
      </c>
      <c r="CR86" s="84">
        <v>0</v>
      </c>
      <c r="CS86" s="73">
        <v>0</v>
      </c>
      <c r="CT86" s="73">
        <v>0</v>
      </c>
      <c r="CU86" s="73"/>
      <c r="CV86" s="84">
        <f t="shared" si="3"/>
        <v>0</v>
      </c>
      <c r="CW86" s="84"/>
      <c r="CX86" s="74"/>
      <c r="CY86" s="74"/>
      <c r="CZ86" s="74"/>
      <c r="DA86" s="74"/>
      <c r="DB86" s="74"/>
      <c r="DC86" s="74"/>
      <c r="DD86" s="74"/>
    </row>
    <row r="87" spans="1:108" s="68" customFormat="1" ht="15" hidden="1" customHeight="1" x14ac:dyDescent="0.25">
      <c r="A87" s="74" t="s">
        <v>690</v>
      </c>
      <c r="B87" s="74" t="s">
        <v>154</v>
      </c>
      <c r="C87" s="74" t="s">
        <v>172</v>
      </c>
      <c r="D87" s="74" t="s">
        <v>196</v>
      </c>
      <c r="E87" s="74" t="s">
        <v>309</v>
      </c>
      <c r="F87" s="74" t="s">
        <v>550</v>
      </c>
      <c r="G87" s="74" t="s">
        <v>137</v>
      </c>
      <c r="H87" s="74" t="s">
        <v>137</v>
      </c>
      <c r="I87" s="74" t="s">
        <v>66</v>
      </c>
      <c r="J87" s="74" t="s">
        <v>29</v>
      </c>
      <c r="K87" s="82" t="s">
        <v>137</v>
      </c>
      <c r="L87" s="82" t="s">
        <v>137</v>
      </c>
      <c r="M87" s="82" t="s">
        <v>137</v>
      </c>
      <c r="N87" s="82" t="s">
        <v>137</v>
      </c>
      <c r="O87" s="82" t="s">
        <v>137</v>
      </c>
      <c r="P87" s="82" t="s">
        <v>137</v>
      </c>
      <c r="Q87" s="74" t="s">
        <v>87</v>
      </c>
      <c r="R87" s="74" t="s">
        <v>709</v>
      </c>
      <c r="S87" s="74" t="s">
        <v>40</v>
      </c>
      <c r="T87" s="74" t="s">
        <v>2</v>
      </c>
      <c r="U87" s="75"/>
      <c r="V87" s="75">
        <v>0.05</v>
      </c>
      <c r="W87" s="75">
        <v>0.08</v>
      </c>
      <c r="X87" s="75">
        <v>0.15</v>
      </c>
      <c r="Y87" s="75">
        <v>0.2</v>
      </c>
      <c r="Z87" s="75">
        <v>0.25</v>
      </c>
      <c r="AA87" s="75">
        <v>0.37</v>
      </c>
      <c r="AB87" s="75">
        <v>0.42</v>
      </c>
      <c r="AC87" s="75">
        <v>0.57999999999999996</v>
      </c>
      <c r="AD87" s="75">
        <v>0.67</v>
      </c>
      <c r="AE87" s="75">
        <v>0.83</v>
      </c>
      <c r="AF87" s="75">
        <v>1</v>
      </c>
      <c r="AG87" s="74" t="s">
        <v>533</v>
      </c>
      <c r="AH87" s="74" t="s">
        <v>530</v>
      </c>
      <c r="AI87" s="78" t="s">
        <v>539</v>
      </c>
      <c r="AJ87" s="79" t="s">
        <v>539</v>
      </c>
      <c r="AK87" s="80">
        <v>46023</v>
      </c>
      <c r="AL87" s="80">
        <v>46387</v>
      </c>
      <c r="AM87" s="79"/>
      <c r="AN87" s="79"/>
      <c r="AO87" s="79"/>
      <c r="AP87" s="81" t="s">
        <v>540</v>
      </c>
      <c r="AQ87" s="80" cm="1">
        <f t="array" ref="AQ87">IFERROR(DATE(2026, _xlfn.AGGREGATE(15, 6, (COLUMN(CI87:CT87)-COLUMN(CI87)+1)/(CI87:CT87&lt;&gt;0), 1), 1),"N/A")</f>
        <v>46082</v>
      </c>
      <c r="AR87" s="80" cm="1">
        <f t="array" ref="AR87">IFERROR(EOMONTH(DATE(2026, _xlfn.AGGREGATE(14, 6, (COLUMN(CI87:CT87)-COLUMN(CI87)+1)/(CI87:CT87&lt;&gt;0), 1), 1), 0),"N/A")</f>
        <v>46295</v>
      </c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4" t="s">
        <v>574</v>
      </c>
      <c r="BG87" s="74"/>
      <c r="BH87" s="74" t="s">
        <v>867</v>
      </c>
      <c r="BI87" s="74" t="s">
        <v>137</v>
      </c>
      <c r="BJ87" s="78">
        <v>530404</v>
      </c>
      <c r="BK87" s="82" t="s">
        <v>74</v>
      </c>
      <c r="BL87" s="83">
        <v>180</v>
      </c>
      <c r="BM87" s="73">
        <v>0</v>
      </c>
      <c r="BN87" s="73">
        <v>0</v>
      </c>
      <c r="BO87" s="84">
        <v>90</v>
      </c>
      <c r="BP87" s="73">
        <v>0</v>
      </c>
      <c r="BQ87" s="73">
        <v>0</v>
      </c>
      <c r="BR87" s="73">
        <v>0</v>
      </c>
      <c r="BS87" s="73">
        <v>0</v>
      </c>
      <c r="BT87" s="73">
        <v>0</v>
      </c>
      <c r="BU87" s="84">
        <v>90</v>
      </c>
      <c r="BV87" s="73">
        <v>0</v>
      </c>
      <c r="BW87" s="73">
        <v>0</v>
      </c>
      <c r="BX87" s="73">
        <v>0</v>
      </c>
      <c r="BY87" s="73">
        <v>405.85</v>
      </c>
      <c r="BZ87" s="73"/>
      <c r="CA87" s="73"/>
      <c r="CB87" s="73"/>
      <c r="CC87" s="73"/>
      <c r="CD87" s="73"/>
      <c r="CE87" s="73"/>
      <c r="CF87" s="73"/>
      <c r="CG87" s="73"/>
      <c r="CH87" s="73">
        <f t="shared" si="2"/>
        <v>585.85</v>
      </c>
      <c r="CI87" s="73"/>
      <c r="CJ87" s="73"/>
      <c r="CK87" s="118">
        <v>495.85</v>
      </c>
      <c r="CL87" s="73">
        <v>0</v>
      </c>
      <c r="CM87" s="73">
        <v>0</v>
      </c>
      <c r="CN87" s="73">
        <v>0</v>
      </c>
      <c r="CO87" s="73">
        <v>0</v>
      </c>
      <c r="CP87" s="73">
        <v>0</v>
      </c>
      <c r="CQ87" s="84">
        <v>90</v>
      </c>
      <c r="CR87" s="73">
        <v>0</v>
      </c>
      <c r="CS87" s="73">
        <v>0</v>
      </c>
      <c r="CT87" s="73">
        <v>0</v>
      </c>
      <c r="CU87" s="73"/>
      <c r="CV87" s="84">
        <f t="shared" si="3"/>
        <v>0</v>
      </c>
      <c r="CW87" s="84"/>
      <c r="CX87" s="74"/>
      <c r="CY87" s="74"/>
      <c r="CZ87" s="74"/>
      <c r="DA87" s="74"/>
      <c r="DB87" s="74"/>
      <c r="DC87" s="74"/>
      <c r="DD87" s="74"/>
    </row>
    <row r="88" spans="1:108" s="68" customFormat="1" ht="15" hidden="1" customHeight="1" x14ac:dyDescent="0.25">
      <c r="A88" s="74" t="s">
        <v>690</v>
      </c>
      <c r="B88" s="74" t="s">
        <v>154</v>
      </c>
      <c r="C88" s="74" t="s">
        <v>172</v>
      </c>
      <c r="D88" s="74" t="s">
        <v>196</v>
      </c>
      <c r="E88" s="74" t="s">
        <v>309</v>
      </c>
      <c r="F88" s="74" t="s">
        <v>550</v>
      </c>
      <c r="G88" s="74" t="s">
        <v>137</v>
      </c>
      <c r="H88" s="74" t="s">
        <v>137</v>
      </c>
      <c r="I88" s="74" t="s">
        <v>66</v>
      </c>
      <c r="J88" s="74" t="s">
        <v>29</v>
      </c>
      <c r="K88" s="82" t="s">
        <v>137</v>
      </c>
      <c r="L88" s="82" t="s">
        <v>137</v>
      </c>
      <c r="M88" s="82" t="s">
        <v>137</v>
      </c>
      <c r="N88" s="82" t="s">
        <v>137</v>
      </c>
      <c r="O88" s="82" t="s">
        <v>137</v>
      </c>
      <c r="P88" s="82" t="s">
        <v>137</v>
      </c>
      <c r="Q88" s="74" t="s">
        <v>87</v>
      </c>
      <c r="R88" s="74" t="s">
        <v>709</v>
      </c>
      <c r="S88" s="74" t="s">
        <v>40</v>
      </c>
      <c r="T88" s="74" t="s">
        <v>2</v>
      </c>
      <c r="U88" s="75"/>
      <c r="V88" s="75">
        <v>0.05</v>
      </c>
      <c r="W88" s="75">
        <v>0.08</v>
      </c>
      <c r="X88" s="75">
        <v>0.15</v>
      </c>
      <c r="Y88" s="75">
        <v>0.2</v>
      </c>
      <c r="Z88" s="75">
        <v>0.25</v>
      </c>
      <c r="AA88" s="75">
        <v>0.37</v>
      </c>
      <c r="AB88" s="75">
        <v>0.42</v>
      </c>
      <c r="AC88" s="75">
        <v>0.57999999999999996</v>
      </c>
      <c r="AD88" s="75">
        <v>0.67</v>
      </c>
      <c r="AE88" s="75">
        <v>0.83</v>
      </c>
      <c r="AF88" s="75">
        <v>1</v>
      </c>
      <c r="AG88" s="74" t="s">
        <v>533</v>
      </c>
      <c r="AH88" s="74" t="s">
        <v>788</v>
      </c>
      <c r="AI88" s="78" t="s">
        <v>539</v>
      </c>
      <c r="AJ88" s="79" t="s">
        <v>539</v>
      </c>
      <c r="AK88" s="80">
        <v>46023</v>
      </c>
      <c r="AL88" s="80">
        <v>46387</v>
      </c>
      <c r="AM88" s="79"/>
      <c r="AN88" s="79"/>
      <c r="AO88" s="79"/>
      <c r="AP88" s="81" t="s">
        <v>540</v>
      </c>
      <c r="AQ88" s="80" cm="1">
        <f t="array" ref="AQ88">IFERROR(DATE(2026, _xlfn.AGGREGATE(15, 6, (COLUMN(CI88:CT88)-COLUMN(CI88)+1)/(CI88:CT88&lt;&gt;0), 1), 1),"N/A")</f>
        <v>46082</v>
      </c>
      <c r="AR88" s="80" cm="1">
        <f t="array" ref="AR88">IFERROR(EOMONTH(DATE(2026, _xlfn.AGGREGATE(14, 6, (COLUMN(CI88:CT88)-COLUMN(CI88)+1)/(CI88:CT88&lt;&gt;0), 1), 1), 0),"N/A")</f>
        <v>46112</v>
      </c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4" t="s">
        <v>985</v>
      </c>
      <c r="BG88" s="74"/>
      <c r="BH88" s="74" t="s">
        <v>987</v>
      </c>
      <c r="BI88" s="74" t="s">
        <v>137</v>
      </c>
      <c r="BJ88" s="78">
        <v>531407</v>
      </c>
      <c r="BK88" s="82" t="s">
        <v>74</v>
      </c>
      <c r="BL88" s="83">
        <v>0</v>
      </c>
      <c r="BM88" s="73"/>
      <c r="BN88" s="73"/>
      <c r="BO88" s="84"/>
      <c r="BP88" s="73"/>
      <c r="BQ88" s="73"/>
      <c r="BR88" s="73"/>
      <c r="BS88" s="73"/>
      <c r="BT88" s="73"/>
      <c r="BU88" s="84"/>
      <c r="BV88" s="73"/>
      <c r="BW88" s="73"/>
      <c r="BX88" s="73"/>
      <c r="BY88" s="73">
        <v>270.04000000000002</v>
      </c>
      <c r="BZ88" s="73"/>
      <c r="CA88" s="73"/>
      <c r="CB88" s="73"/>
      <c r="CC88" s="73"/>
      <c r="CD88" s="73"/>
      <c r="CE88" s="73"/>
      <c r="CF88" s="73"/>
      <c r="CG88" s="73"/>
      <c r="CH88" s="73">
        <f t="shared" si="2"/>
        <v>270.04000000000002</v>
      </c>
      <c r="CI88" s="73"/>
      <c r="CJ88" s="73"/>
      <c r="CK88" s="118">
        <v>270.04000000000002</v>
      </c>
      <c r="CL88" s="73"/>
      <c r="CM88" s="73"/>
      <c r="CN88" s="73"/>
      <c r="CO88" s="73"/>
      <c r="CP88" s="73"/>
      <c r="CQ88" s="84"/>
      <c r="CR88" s="73"/>
      <c r="CS88" s="73"/>
      <c r="CT88" s="73"/>
      <c r="CU88" s="73"/>
      <c r="CV88" s="84">
        <f t="shared" si="3"/>
        <v>0</v>
      </c>
      <c r="CW88" s="84"/>
      <c r="CX88" s="74"/>
      <c r="CY88" s="74"/>
      <c r="CZ88" s="74"/>
      <c r="DA88" s="74"/>
      <c r="DB88" s="74"/>
      <c r="DC88" s="74"/>
      <c r="DD88" s="74"/>
    </row>
    <row r="89" spans="1:108" s="402" customFormat="1" ht="15" hidden="1" customHeight="1" x14ac:dyDescent="0.25">
      <c r="A89" s="398" t="s">
        <v>690</v>
      </c>
      <c r="B89" s="74" t="s">
        <v>154</v>
      </c>
      <c r="C89" s="74" t="s">
        <v>172</v>
      </c>
      <c r="D89" s="74" t="s">
        <v>196</v>
      </c>
      <c r="E89" s="74" t="s">
        <v>309</v>
      </c>
      <c r="F89" s="74" t="s">
        <v>550</v>
      </c>
      <c r="G89" s="74" t="s">
        <v>137</v>
      </c>
      <c r="H89" s="74" t="s">
        <v>137</v>
      </c>
      <c r="I89" s="74" t="s">
        <v>66</v>
      </c>
      <c r="J89" s="74" t="s">
        <v>29</v>
      </c>
      <c r="K89" s="82" t="s">
        <v>137</v>
      </c>
      <c r="L89" s="82" t="s">
        <v>137</v>
      </c>
      <c r="M89" s="82" t="s">
        <v>137</v>
      </c>
      <c r="N89" s="82" t="s">
        <v>137</v>
      </c>
      <c r="O89" s="82" t="s">
        <v>137</v>
      </c>
      <c r="P89" s="82" t="s">
        <v>137</v>
      </c>
      <c r="Q89" s="74" t="s">
        <v>87</v>
      </c>
      <c r="R89" s="74" t="s">
        <v>709</v>
      </c>
      <c r="S89" s="74" t="s">
        <v>40</v>
      </c>
      <c r="T89" s="74" t="s">
        <v>2</v>
      </c>
      <c r="U89" s="75"/>
      <c r="V89" s="75">
        <v>0.05</v>
      </c>
      <c r="W89" s="75">
        <v>0.08</v>
      </c>
      <c r="X89" s="75">
        <v>0.15</v>
      </c>
      <c r="Y89" s="75">
        <v>0.2</v>
      </c>
      <c r="Z89" s="75">
        <v>0.25</v>
      </c>
      <c r="AA89" s="75">
        <v>0.37</v>
      </c>
      <c r="AB89" s="75">
        <v>0.42</v>
      </c>
      <c r="AC89" s="75">
        <v>0.57999999999999996</v>
      </c>
      <c r="AD89" s="75">
        <v>0.67</v>
      </c>
      <c r="AE89" s="75">
        <v>0.83</v>
      </c>
      <c r="AF89" s="75">
        <v>1</v>
      </c>
      <c r="AG89" s="74" t="s">
        <v>533</v>
      </c>
      <c r="AH89" s="74" t="s">
        <v>530</v>
      </c>
      <c r="AI89" s="78" t="s">
        <v>539</v>
      </c>
      <c r="AJ89" s="79" t="s">
        <v>539</v>
      </c>
      <c r="AK89" s="80">
        <v>46023</v>
      </c>
      <c r="AL89" s="80">
        <v>46387</v>
      </c>
      <c r="AM89" s="79"/>
      <c r="AN89" s="79"/>
      <c r="AO89" s="79"/>
      <c r="AP89" s="81" t="s">
        <v>540</v>
      </c>
      <c r="AQ89" s="80" cm="1">
        <f t="array" ref="AQ89">IFERROR(DATE(2026, _xlfn.AGGREGATE(15, 6, (COLUMN(CI89:CT89)-COLUMN(CI89)+1)/(CI89:CT89&lt;&gt;0), 1), 1),"N/A")</f>
        <v>46266</v>
      </c>
      <c r="AR89" s="80" cm="1">
        <f t="array" ref="AR89">IFERROR(EOMONTH(DATE(2026, _xlfn.AGGREGATE(14, 6, (COLUMN(CI89:CT89)-COLUMN(CI89)+1)/(CI89:CT89&lt;&gt;0), 1), 1), 0),"N/A")</f>
        <v>46387</v>
      </c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398" t="s">
        <v>1167</v>
      </c>
      <c r="BG89" s="74"/>
      <c r="BH89" s="398" t="s">
        <v>1169</v>
      </c>
      <c r="BI89" s="74" t="s">
        <v>137</v>
      </c>
      <c r="BJ89" s="399">
        <v>530105</v>
      </c>
      <c r="BK89" s="400" t="s">
        <v>74</v>
      </c>
      <c r="BL89" s="83"/>
      <c r="BM89" s="73"/>
      <c r="BN89" s="73"/>
      <c r="BO89" s="84"/>
      <c r="BP89" s="73"/>
      <c r="BQ89" s="73"/>
      <c r="BR89" s="73"/>
      <c r="BS89" s="73"/>
      <c r="BT89" s="73"/>
      <c r="BU89" s="84"/>
      <c r="BV89" s="73"/>
      <c r="BW89" s="73"/>
      <c r="BX89" s="73"/>
      <c r="BY89" s="73"/>
      <c r="BZ89" s="73"/>
      <c r="CA89" s="73"/>
      <c r="CB89" s="73"/>
      <c r="CC89" s="73"/>
      <c r="CD89" s="73"/>
      <c r="CE89" s="73">
        <v>300</v>
      </c>
      <c r="CF89" s="73"/>
      <c r="CG89" s="73"/>
      <c r="CH89" s="403">
        <f t="shared" si="2"/>
        <v>300</v>
      </c>
      <c r="CI89" s="73"/>
      <c r="CJ89" s="73"/>
      <c r="CK89" s="84"/>
      <c r="CL89" s="73"/>
      <c r="CM89" s="73"/>
      <c r="CN89" s="73"/>
      <c r="CO89" s="73"/>
      <c r="CP89" s="73"/>
      <c r="CQ89" s="84">
        <v>75</v>
      </c>
      <c r="CR89" s="73">
        <v>75</v>
      </c>
      <c r="CS89" s="73">
        <v>75</v>
      </c>
      <c r="CT89" s="403">
        <v>75</v>
      </c>
      <c r="CU89" s="403"/>
      <c r="CV89" s="404">
        <f t="shared" si="3"/>
        <v>0</v>
      </c>
      <c r="CW89" s="404"/>
      <c r="CX89" s="398"/>
      <c r="CY89" s="398"/>
      <c r="CZ89" s="398"/>
      <c r="DA89" s="398"/>
      <c r="DB89" s="398"/>
      <c r="DC89" s="398"/>
      <c r="DD89" s="398"/>
    </row>
    <row r="90" spans="1:108" s="68" customFormat="1" ht="15" hidden="1" customHeight="1" x14ac:dyDescent="0.25">
      <c r="A90" s="74" t="s">
        <v>690</v>
      </c>
      <c r="B90" s="74" t="s">
        <v>154</v>
      </c>
      <c r="C90" s="74" t="s">
        <v>172</v>
      </c>
      <c r="D90" s="74" t="s">
        <v>196</v>
      </c>
      <c r="E90" s="74" t="s">
        <v>309</v>
      </c>
      <c r="F90" s="74" t="s">
        <v>550</v>
      </c>
      <c r="G90" s="74" t="s">
        <v>137</v>
      </c>
      <c r="H90" s="74" t="s">
        <v>137</v>
      </c>
      <c r="I90" s="74" t="s">
        <v>66</v>
      </c>
      <c r="J90" s="74" t="s">
        <v>29</v>
      </c>
      <c r="K90" s="82" t="s">
        <v>137</v>
      </c>
      <c r="L90" s="82" t="s">
        <v>137</v>
      </c>
      <c r="M90" s="82" t="s">
        <v>137</v>
      </c>
      <c r="N90" s="82" t="s">
        <v>137</v>
      </c>
      <c r="O90" s="82" t="s">
        <v>137</v>
      </c>
      <c r="P90" s="82" t="s">
        <v>137</v>
      </c>
      <c r="Q90" s="74" t="s">
        <v>87</v>
      </c>
      <c r="R90" s="74" t="s">
        <v>709</v>
      </c>
      <c r="S90" s="74" t="s">
        <v>40</v>
      </c>
      <c r="T90" s="74" t="s">
        <v>2</v>
      </c>
      <c r="U90" s="75"/>
      <c r="V90" s="75">
        <v>0.05</v>
      </c>
      <c r="W90" s="75">
        <v>0.08</v>
      </c>
      <c r="X90" s="75">
        <v>0.15</v>
      </c>
      <c r="Y90" s="75">
        <v>0.2</v>
      </c>
      <c r="Z90" s="75">
        <v>0.25</v>
      </c>
      <c r="AA90" s="75">
        <v>0.37</v>
      </c>
      <c r="AB90" s="75">
        <v>0.42</v>
      </c>
      <c r="AC90" s="75">
        <v>0.57999999999999996</v>
      </c>
      <c r="AD90" s="75">
        <v>0.67</v>
      </c>
      <c r="AE90" s="75">
        <v>0.83</v>
      </c>
      <c r="AF90" s="75">
        <v>1</v>
      </c>
      <c r="AG90" s="74" t="s">
        <v>533</v>
      </c>
      <c r="AH90" s="74" t="s">
        <v>530</v>
      </c>
      <c r="AI90" s="78" t="s">
        <v>539</v>
      </c>
      <c r="AJ90" s="79" t="s">
        <v>539</v>
      </c>
      <c r="AK90" s="80">
        <v>46023</v>
      </c>
      <c r="AL90" s="80">
        <v>46387</v>
      </c>
      <c r="AM90" s="79"/>
      <c r="AN90" s="79"/>
      <c r="AO90" s="79"/>
      <c r="AP90" s="81" t="s">
        <v>540</v>
      </c>
      <c r="AQ90" s="80" cm="1">
        <f t="array" ref="AQ90">IFERROR(DATE(2026, _xlfn.AGGREGATE(15, 6, (COLUMN(CI90:CT90)-COLUMN(CI90)+1)/(CI90:CT90&lt;&gt;0), 1), 1),"N/A")</f>
        <v>46357</v>
      </c>
      <c r="AR90" s="80" cm="1">
        <f t="array" ref="AR90">IFERROR(EOMONTH(DATE(2026, _xlfn.AGGREGATE(14, 6, (COLUMN(CI90:CT90)-COLUMN(CI90)+1)/(CI90:CT90&lt;&gt;0), 1), 1), 0),"N/A")</f>
        <v>46387</v>
      </c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4" t="s">
        <v>1168</v>
      </c>
      <c r="BG90" s="74"/>
      <c r="BH90" s="74" t="s">
        <v>1170</v>
      </c>
      <c r="BI90" s="74" t="s">
        <v>137</v>
      </c>
      <c r="BJ90" s="78">
        <v>530813</v>
      </c>
      <c r="BK90" s="82" t="s">
        <v>74</v>
      </c>
      <c r="BL90" s="83"/>
      <c r="BM90" s="73"/>
      <c r="BN90" s="73"/>
      <c r="BO90" s="84"/>
      <c r="BP90" s="73"/>
      <c r="BQ90" s="73"/>
      <c r="BR90" s="73"/>
      <c r="BS90" s="73"/>
      <c r="BT90" s="73"/>
      <c r="BU90" s="84"/>
      <c r="BV90" s="73"/>
      <c r="BW90" s="73"/>
      <c r="BX90" s="73"/>
      <c r="BY90" s="73"/>
      <c r="BZ90" s="73"/>
      <c r="CA90" s="73"/>
      <c r="CB90" s="73"/>
      <c r="CC90" s="73"/>
      <c r="CD90" s="73"/>
      <c r="CE90" s="73">
        <v>350</v>
      </c>
      <c r="CF90" s="73"/>
      <c r="CG90" s="73"/>
      <c r="CH90" s="73">
        <f t="shared" si="2"/>
        <v>350</v>
      </c>
      <c r="CI90" s="73"/>
      <c r="CJ90" s="73"/>
      <c r="CK90" s="84"/>
      <c r="CL90" s="73"/>
      <c r="CM90" s="73"/>
      <c r="CN90" s="73"/>
      <c r="CO90" s="73"/>
      <c r="CP90" s="73"/>
      <c r="CQ90" s="84"/>
      <c r="CR90" s="73"/>
      <c r="CS90" s="73"/>
      <c r="CT90" s="73">
        <v>350</v>
      </c>
      <c r="CU90" s="73"/>
      <c r="CV90" s="84">
        <f t="shared" si="3"/>
        <v>0</v>
      </c>
      <c r="CW90" s="84"/>
      <c r="CX90" s="74"/>
      <c r="CY90" s="74"/>
      <c r="CZ90" s="74"/>
      <c r="DA90" s="74"/>
      <c r="DB90" s="74"/>
      <c r="DC90" s="74"/>
      <c r="DD90" s="74"/>
    </row>
    <row r="91" spans="1:108" s="68" customFormat="1" ht="15" hidden="1" customHeight="1" x14ac:dyDescent="0.25">
      <c r="A91" s="74" t="s">
        <v>690</v>
      </c>
      <c r="B91" s="74" t="s">
        <v>154</v>
      </c>
      <c r="C91" s="74" t="s">
        <v>172</v>
      </c>
      <c r="D91" s="74" t="s">
        <v>196</v>
      </c>
      <c r="E91" s="74" t="s">
        <v>309</v>
      </c>
      <c r="F91" s="74" t="s">
        <v>550</v>
      </c>
      <c r="G91" s="74" t="s">
        <v>137</v>
      </c>
      <c r="H91" s="74" t="s">
        <v>137</v>
      </c>
      <c r="I91" s="74" t="s">
        <v>66</v>
      </c>
      <c r="J91" s="74" t="s">
        <v>29</v>
      </c>
      <c r="K91" s="82" t="s">
        <v>137</v>
      </c>
      <c r="L91" s="82" t="s">
        <v>137</v>
      </c>
      <c r="M91" s="82" t="s">
        <v>137</v>
      </c>
      <c r="N91" s="82" t="s">
        <v>137</v>
      </c>
      <c r="O91" s="82" t="s">
        <v>137</v>
      </c>
      <c r="P91" s="82" t="s">
        <v>137</v>
      </c>
      <c r="Q91" s="74" t="s">
        <v>87</v>
      </c>
      <c r="R91" s="74" t="s">
        <v>709</v>
      </c>
      <c r="S91" s="74" t="s">
        <v>40</v>
      </c>
      <c r="T91" s="74" t="s">
        <v>2</v>
      </c>
      <c r="U91" s="75"/>
      <c r="V91" s="75">
        <v>0.05</v>
      </c>
      <c r="W91" s="75">
        <v>0.08</v>
      </c>
      <c r="X91" s="75">
        <v>0.15</v>
      </c>
      <c r="Y91" s="75">
        <v>0.2</v>
      </c>
      <c r="Z91" s="75">
        <v>0.25</v>
      </c>
      <c r="AA91" s="75">
        <v>0.37</v>
      </c>
      <c r="AB91" s="75">
        <v>0.42</v>
      </c>
      <c r="AC91" s="75">
        <v>0.57999999999999996</v>
      </c>
      <c r="AD91" s="75">
        <v>0.67</v>
      </c>
      <c r="AE91" s="75">
        <v>0.83</v>
      </c>
      <c r="AF91" s="75">
        <v>1</v>
      </c>
      <c r="AG91" s="74" t="s">
        <v>533</v>
      </c>
      <c r="AH91" s="74" t="s">
        <v>530</v>
      </c>
      <c r="AI91" s="78" t="s">
        <v>539</v>
      </c>
      <c r="AJ91" s="79" t="s">
        <v>539</v>
      </c>
      <c r="AK91" s="80">
        <v>46023</v>
      </c>
      <c r="AL91" s="80">
        <v>46387</v>
      </c>
      <c r="AM91" s="79"/>
      <c r="AN91" s="79"/>
      <c r="AO91" s="79"/>
      <c r="AP91" s="81" t="s">
        <v>540</v>
      </c>
      <c r="AQ91" s="80" cm="1">
        <f t="array" ref="AQ91">IFERROR(DATE(2026, _xlfn.AGGREGATE(15, 6, (COLUMN(CI91:CT91)-COLUMN(CI91)+1)/(CI91:CT91&lt;&gt;0), 1), 1),"N/A")</f>
        <v>46357</v>
      </c>
      <c r="AR91" s="80" cm="1">
        <f t="array" ref="AR91">IFERROR(EOMONTH(DATE(2026, _xlfn.AGGREGATE(14, 6, (COLUMN(CI91:CT91)-COLUMN(CI91)+1)/(CI91:CT91&lt;&gt;0), 1), 1), 0),"N/A")</f>
        <v>46387</v>
      </c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4" t="s">
        <v>1168</v>
      </c>
      <c r="BG91" s="74"/>
      <c r="BH91" s="74" t="s">
        <v>1171</v>
      </c>
      <c r="BI91" s="74" t="s">
        <v>137</v>
      </c>
      <c r="BJ91" s="78">
        <v>530813</v>
      </c>
      <c r="BK91" s="82" t="s">
        <v>74</v>
      </c>
      <c r="BL91" s="83"/>
      <c r="BM91" s="73"/>
      <c r="BN91" s="73"/>
      <c r="BO91" s="84"/>
      <c r="BP91" s="73"/>
      <c r="BQ91" s="73"/>
      <c r="BR91" s="73"/>
      <c r="BS91" s="73"/>
      <c r="BT91" s="73"/>
      <c r="BU91" s="84"/>
      <c r="BV91" s="73"/>
      <c r="BW91" s="73"/>
      <c r="BX91" s="73"/>
      <c r="BY91" s="73"/>
      <c r="BZ91" s="73"/>
      <c r="CA91" s="73"/>
      <c r="CB91" s="73"/>
      <c r="CC91" s="73"/>
      <c r="CD91" s="73"/>
      <c r="CE91" s="73">
        <v>280</v>
      </c>
      <c r="CF91" s="73"/>
      <c r="CG91" s="73"/>
      <c r="CH91" s="73">
        <f t="shared" si="2"/>
        <v>280</v>
      </c>
      <c r="CI91" s="73"/>
      <c r="CJ91" s="73"/>
      <c r="CK91" s="84"/>
      <c r="CL91" s="73"/>
      <c r="CM91" s="73"/>
      <c r="CN91" s="73"/>
      <c r="CO91" s="73"/>
      <c r="CP91" s="73"/>
      <c r="CQ91" s="84"/>
      <c r="CR91" s="73"/>
      <c r="CS91" s="73"/>
      <c r="CT91" s="73">
        <v>280</v>
      </c>
      <c r="CU91" s="73"/>
      <c r="CV91" s="84">
        <f t="shared" si="3"/>
        <v>0</v>
      </c>
      <c r="CW91" s="84"/>
      <c r="CX91" s="74"/>
      <c r="CY91" s="74"/>
      <c r="CZ91" s="74"/>
      <c r="DA91" s="74"/>
      <c r="DB91" s="74"/>
      <c r="DC91" s="74"/>
      <c r="DD91" s="74"/>
    </row>
    <row r="92" spans="1:108" s="68" customFormat="1" ht="15" hidden="1" customHeight="1" x14ac:dyDescent="0.25">
      <c r="A92" s="74" t="s">
        <v>690</v>
      </c>
      <c r="B92" s="74" t="s">
        <v>154</v>
      </c>
      <c r="C92" s="74" t="s">
        <v>172</v>
      </c>
      <c r="D92" s="74" t="s">
        <v>196</v>
      </c>
      <c r="E92" s="74" t="s">
        <v>309</v>
      </c>
      <c r="F92" s="74" t="s">
        <v>550</v>
      </c>
      <c r="G92" s="74" t="s">
        <v>137</v>
      </c>
      <c r="H92" s="74" t="s">
        <v>137</v>
      </c>
      <c r="I92" s="74" t="s">
        <v>66</v>
      </c>
      <c r="J92" s="74" t="s">
        <v>29</v>
      </c>
      <c r="K92" s="82" t="s">
        <v>137</v>
      </c>
      <c r="L92" s="82" t="s">
        <v>137</v>
      </c>
      <c r="M92" s="82" t="s">
        <v>137</v>
      </c>
      <c r="N92" s="82" t="s">
        <v>137</v>
      </c>
      <c r="O92" s="82" t="s">
        <v>137</v>
      </c>
      <c r="P92" s="82" t="s">
        <v>137</v>
      </c>
      <c r="Q92" s="74" t="s">
        <v>87</v>
      </c>
      <c r="R92" s="74" t="s">
        <v>709</v>
      </c>
      <c r="S92" s="74" t="s">
        <v>40</v>
      </c>
      <c r="T92" s="74" t="s">
        <v>2</v>
      </c>
      <c r="U92" s="75"/>
      <c r="V92" s="75">
        <v>0.05</v>
      </c>
      <c r="W92" s="75">
        <v>0.08</v>
      </c>
      <c r="X92" s="75">
        <v>0.15</v>
      </c>
      <c r="Y92" s="75">
        <v>0.2</v>
      </c>
      <c r="Z92" s="75">
        <v>0.25</v>
      </c>
      <c r="AA92" s="75">
        <v>0.37</v>
      </c>
      <c r="AB92" s="75">
        <v>0.42</v>
      </c>
      <c r="AC92" s="75">
        <v>0.57999999999999996</v>
      </c>
      <c r="AD92" s="75">
        <v>0.67</v>
      </c>
      <c r="AE92" s="75">
        <v>0.83</v>
      </c>
      <c r="AF92" s="75">
        <v>1</v>
      </c>
      <c r="AG92" s="74" t="s">
        <v>533</v>
      </c>
      <c r="AH92" s="74" t="s">
        <v>530</v>
      </c>
      <c r="AI92" s="78" t="s">
        <v>539</v>
      </c>
      <c r="AJ92" s="79" t="s">
        <v>539</v>
      </c>
      <c r="AK92" s="80">
        <v>46023</v>
      </c>
      <c r="AL92" s="80">
        <v>46387</v>
      </c>
      <c r="AM92" s="79"/>
      <c r="AN92" s="79"/>
      <c r="AO92" s="79"/>
      <c r="AP92" s="81" t="s">
        <v>540</v>
      </c>
      <c r="AQ92" s="80" cm="1">
        <f t="array" ref="AQ92">IFERROR(DATE(2026, _xlfn.AGGREGATE(15, 6, (COLUMN(CI92:CT92)-COLUMN(CI92)+1)/(CI92:CT92&lt;&gt;0), 1), 1),"N/A")</f>
        <v>46357</v>
      </c>
      <c r="AR92" s="80" cm="1">
        <f t="array" ref="AR92">IFERROR(EOMONTH(DATE(2026, _xlfn.AGGREGATE(14, 6, (COLUMN(CI92:CT92)-COLUMN(CI92)+1)/(CI92:CT92&lt;&gt;0), 1), 1), 0),"N/A")</f>
        <v>46387</v>
      </c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4" t="s">
        <v>1168</v>
      </c>
      <c r="BG92" s="74"/>
      <c r="BH92" s="74" t="s">
        <v>1172</v>
      </c>
      <c r="BI92" s="74" t="s">
        <v>137</v>
      </c>
      <c r="BJ92" s="78">
        <v>530813</v>
      </c>
      <c r="BK92" s="82" t="s">
        <v>74</v>
      </c>
      <c r="BL92" s="83"/>
      <c r="BM92" s="73"/>
      <c r="BN92" s="73"/>
      <c r="BO92" s="84"/>
      <c r="BP92" s="73"/>
      <c r="BQ92" s="73"/>
      <c r="BR92" s="73"/>
      <c r="BS92" s="73"/>
      <c r="BT92" s="73"/>
      <c r="BU92" s="84"/>
      <c r="BV92" s="73"/>
      <c r="BW92" s="73"/>
      <c r="BX92" s="73"/>
      <c r="BY92" s="73"/>
      <c r="BZ92" s="73"/>
      <c r="CA92" s="73"/>
      <c r="CB92" s="73"/>
      <c r="CC92" s="73"/>
      <c r="CD92" s="73"/>
      <c r="CE92" s="73">
        <v>370</v>
      </c>
      <c r="CF92" s="73"/>
      <c r="CG92" s="73"/>
      <c r="CH92" s="73">
        <f t="shared" si="2"/>
        <v>370</v>
      </c>
      <c r="CI92" s="73"/>
      <c r="CJ92" s="73"/>
      <c r="CK92" s="84"/>
      <c r="CL92" s="73"/>
      <c r="CM92" s="73"/>
      <c r="CN92" s="73"/>
      <c r="CO92" s="73"/>
      <c r="CP92" s="73"/>
      <c r="CQ92" s="84"/>
      <c r="CR92" s="73"/>
      <c r="CS92" s="73"/>
      <c r="CT92" s="73">
        <v>370</v>
      </c>
      <c r="CU92" s="73"/>
      <c r="CV92" s="84">
        <f t="shared" si="3"/>
        <v>0</v>
      </c>
      <c r="CW92" s="84"/>
      <c r="CX92" s="74"/>
      <c r="CY92" s="74"/>
      <c r="CZ92" s="74"/>
      <c r="DA92" s="74"/>
      <c r="DB92" s="74"/>
      <c r="DC92" s="74"/>
      <c r="DD92" s="74"/>
    </row>
    <row r="93" spans="1:108" s="68" customFormat="1" ht="15" hidden="1" customHeight="1" x14ac:dyDescent="0.25">
      <c r="A93" s="74" t="s">
        <v>690</v>
      </c>
      <c r="B93" s="74" t="s">
        <v>154</v>
      </c>
      <c r="C93" s="74" t="s">
        <v>172</v>
      </c>
      <c r="D93" s="74" t="s">
        <v>196</v>
      </c>
      <c r="E93" s="74" t="s">
        <v>309</v>
      </c>
      <c r="F93" s="74" t="s">
        <v>550</v>
      </c>
      <c r="G93" s="74" t="s">
        <v>137</v>
      </c>
      <c r="H93" s="74" t="s">
        <v>137</v>
      </c>
      <c r="I93" s="74" t="s">
        <v>66</v>
      </c>
      <c r="J93" s="74" t="s">
        <v>29</v>
      </c>
      <c r="K93" s="82" t="s">
        <v>137</v>
      </c>
      <c r="L93" s="82" t="s">
        <v>137</v>
      </c>
      <c r="M93" s="82" t="s">
        <v>137</v>
      </c>
      <c r="N93" s="82" t="s">
        <v>137</v>
      </c>
      <c r="O93" s="82" t="s">
        <v>137</v>
      </c>
      <c r="P93" s="82" t="s">
        <v>137</v>
      </c>
      <c r="Q93" s="74" t="s">
        <v>87</v>
      </c>
      <c r="R93" s="74" t="s">
        <v>709</v>
      </c>
      <c r="S93" s="74" t="s">
        <v>40</v>
      </c>
      <c r="T93" s="74" t="s">
        <v>2</v>
      </c>
      <c r="U93" s="75"/>
      <c r="V93" s="75">
        <v>0.05</v>
      </c>
      <c r="W93" s="75">
        <v>0.08</v>
      </c>
      <c r="X93" s="75">
        <v>0.15</v>
      </c>
      <c r="Y93" s="75">
        <v>0.2</v>
      </c>
      <c r="Z93" s="75">
        <v>0.25</v>
      </c>
      <c r="AA93" s="75">
        <v>0.37</v>
      </c>
      <c r="AB93" s="75">
        <v>0.42</v>
      </c>
      <c r="AC93" s="75">
        <v>0.57999999999999996</v>
      </c>
      <c r="AD93" s="75">
        <v>0.67</v>
      </c>
      <c r="AE93" s="75">
        <v>0.83</v>
      </c>
      <c r="AF93" s="75">
        <v>1</v>
      </c>
      <c r="AG93" s="74" t="s">
        <v>533</v>
      </c>
      <c r="AH93" s="74" t="s">
        <v>788</v>
      </c>
      <c r="AI93" s="78" t="s">
        <v>539</v>
      </c>
      <c r="AJ93" s="79" t="s">
        <v>539</v>
      </c>
      <c r="AK93" s="80">
        <v>46023</v>
      </c>
      <c r="AL93" s="80">
        <v>46387</v>
      </c>
      <c r="AM93" s="79"/>
      <c r="AN93" s="79"/>
      <c r="AO93" s="79"/>
      <c r="AP93" s="81" t="s">
        <v>540</v>
      </c>
      <c r="AQ93" s="80" cm="1">
        <f t="array" ref="AQ93">IFERROR(DATE(2026, _xlfn.AGGREGATE(15, 6, (COLUMN(CI93:CT93)-COLUMN(CI93)+1)/(CI93:CT93&lt;&gt;0), 1), 1),"N/A")</f>
        <v>46082</v>
      </c>
      <c r="AR93" s="80" cm="1">
        <f t="array" ref="AR93">IFERROR(EOMONTH(DATE(2026, _xlfn.AGGREGATE(14, 6, (COLUMN(CI93:CT93)-COLUMN(CI93)+1)/(CI93:CT93&lt;&gt;0), 1), 1), 0),"N/A")</f>
        <v>46112</v>
      </c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4" t="s">
        <v>985</v>
      </c>
      <c r="BG93" s="74"/>
      <c r="BH93" s="74" t="s">
        <v>986</v>
      </c>
      <c r="BI93" s="74" t="s">
        <v>137</v>
      </c>
      <c r="BJ93" s="78">
        <v>840104</v>
      </c>
      <c r="BK93" s="82" t="s">
        <v>74</v>
      </c>
      <c r="BL93" s="83">
        <v>0</v>
      </c>
      <c r="BM93" s="73"/>
      <c r="BN93" s="73"/>
      <c r="BO93" s="84"/>
      <c r="BP93" s="73"/>
      <c r="BQ93" s="73"/>
      <c r="BR93" s="73"/>
      <c r="BS93" s="73"/>
      <c r="BT93" s="73"/>
      <c r="BU93" s="84"/>
      <c r="BV93" s="73"/>
      <c r="BW93" s="73"/>
      <c r="BX93" s="73"/>
      <c r="BY93" s="73">
        <v>230.84</v>
      </c>
      <c r="BZ93" s="73"/>
      <c r="CA93" s="73"/>
      <c r="CB93" s="73"/>
      <c r="CC93" s="73"/>
      <c r="CD93" s="73"/>
      <c r="CE93" s="73"/>
      <c r="CF93" s="73"/>
      <c r="CG93" s="73"/>
      <c r="CH93" s="73">
        <f t="shared" si="2"/>
        <v>230.84</v>
      </c>
      <c r="CI93" s="73"/>
      <c r="CJ93" s="73"/>
      <c r="CK93" s="118">
        <v>230.84</v>
      </c>
      <c r="CL93" s="73"/>
      <c r="CM93" s="73"/>
      <c r="CN93" s="73"/>
      <c r="CO93" s="73"/>
      <c r="CP93" s="73"/>
      <c r="CQ93" s="84"/>
      <c r="CR93" s="73"/>
      <c r="CS93" s="73"/>
      <c r="CT93" s="73"/>
      <c r="CU93" s="73"/>
      <c r="CV93" s="84">
        <f t="shared" si="3"/>
        <v>0</v>
      </c>
      <c r="CW93" s="84"/>
      <c r="CX93" s="74"/>
      <c r="CY93" s="74"/>
      <c r="CZ93" s="74"/>
      <c r="DA93" s="74"/>
      <c r="DB93" s="74"/>
      <c r="DC93" s="74"/>
      <c r="DD93" s="74"/>
    </row>
    <row r="94" spans="1:108" s="68" customFormat="1" ht="15" hidden="1" customHeight="1" x14ac:dyDescent="0.25">
      <c r="A94" s="74" t="s">
        <v>690</v>
      </c>
      <c r="B94" s="74" t="s">
        <v>154</v>
      </c>
      <c r="C94" s="74" t="s">
        <v>172</v>
      </c>
      <c r="D94" s="74" t="s">
        <v>196</v>
      </c>
      <c r="E94" s="74" t="s">
        <v>309</v>
      </c>
      <c r="F94" s="74" t="s">
        <v>550</v>
      </c>
      <c r="G94" s="74" t="s">
        <v>137</v>
      </c>
      <c r="H94" s="74" t="s">
        <v>137</v>
      </c>
      <c r="I94" s="74" t="s">
        <v>66</v>
      </c>
      <c r="J94" s="74" t="s">
        <v>29</v>
      </c>
      <c r="K94" s="82" t="s">
        <v>137</v>
      </c>
      <c r="L94" s="82" t="s">
        <v>137</v>
      </c>
      <c r="M94" s="82" t="s">
        <v>137</v>
      </c>
      <c r="N94" s="82" t="s">
        <v>137</v>
      </c>
      <c r="O94" s="82" t="s">
        <v>137</v>
      </c>
      <c r="P94" s="82" t="s">
        <v>137</v>
      </c>
      <c r="Q94" s="74" t="s">
        <v>87</v>
      </c>
      <c r="R94" s="74" t="s">
        <v>709</v>
      </c>
      <c r="S94" s="74" t="s">
        <v>40</v>
      </c>
      <c r="T94" s="74" t="s">
        <v>2</v>
      </c>
      <c r="U94" s="75"/>
      <c r="V94" s="75">
        <v>0.05</v>
      </c>
      <c r="W94" s="75">
        <v>0.08</v>
      </c>
      <c r="X94" s="75">
        <v>0.15</v>
      </c>
      <c r="Y94" s="75">
        <v>0.2</v>
      </c>
      <c r="Z94" s="75">
        <v>0.25</v>
      </c>
      <c r="AA94" s="75">
        <v>0.37</v>
      </c>
      <c r="AB94" s="75">
        <v>0.42</v>
      </c>
      <c r="AC94" s="75">
        <v>0.57999999999999996</v>
      </c>
      <c r="AD94" s="75">
        <v>0.67</v>
      </c>
      <c r="AE94" s="75">
        <v>0.83</v>
      </c>
      <c r="AF94" s="75">
        <v>1</v>
      </c>
      <c r="AG94" s="74" t="s">
        <v>533</v>
      </c>
      <c r="AH94" s="74" t="s">
        <v>530</v>
      </c>
      <c r="AI94" s="78" t="s">
        <v>539</v>
      </c>
      <c r="AJ94" s="79" t="s">
        <v>539</v>
      </c>
      <c r="AK94" s="80">
        <v>46023</v>
      </c>
      <c r="AL94" s="80">
        <v>46387</v>
      </c>
      <c r="AM94" s="79"/>
      <c r="AN94" s="79"/>
      <c r="AO94" s="79"/>
      <c r="AP94" s="81" t="s">
        <v>540</v>
      </c>
      <c r="AQ94" s="80" cm="1">
        <f t="array" ref="AQ94">IFERROR(DATE(2026, _xlfn.AGGREGATE(15, 6, (COLUMN(CI94:CT94)-COLUMN(CI94)+1)/(CI94:CT94&lt;&gt;0), 1), 1),"N/A")</f>
        <v>46174</v>
      </c>
      <c r="AR94" s="80" cm="1">
        <f t="array" ref="AR94">IFERROR(EOMONTH(DATE(2026, _xlfn.AGGREGATE(14, 6, (COLUMN(CI94:CT94)-COLUMN(CI94)+1)/(CI94:CT94&lt;&gt;0), 1), 1), 0),"N/A")</f>
        <v>46203</v>
      </c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4" t="s">
        <v>583</v>
      </c>
      <c r="BG94" s="74"/>
      <c r="BH94" s="74" t="s">
        <v>817</v>
      </c>
      <c r="BI94" s="74" t="s">
        <v>137</v>
      </c>
      <c r="BJ94" s="78">
        <v>530404</v>
      </c>
      <c r="BK94" s="82" t="s">
        <v>74</v>
      </c>
      <c r="BL94" s="83">
        <v>1000</v>
      </c>
      <c r="BM94" s="73">
        <v>0</v>
      </c>
      <c r="BN94" s="73">
        <v>0</v>
      </c>
      <c r="BO94" s="73">
        <v>0</v>
      </c>
      <c r="BP94" s="73">
        <v>0</v>
      </c>
      <c r="BQ94" s="73">
        <v>0</v>
      </c>
      <c r="BR94" s="84">
        <v>1000</v>
      </c>
      <c r="BS94" s="73">
        <v>0</v>
      </c>
      <c r="BT94" s="73">
        <v>0</v>
      </c>
      <c r="BU94" s="73">
        <v>0</v>
      </c>
      <c r="BV94" s="73">
        <v>0</v>
      </c>
      <c r="BW94" s="73">
        <v>0</v>
      </c>
      <c r="BX94" s="73">
        <v>0</v>
      </c>
      <c r="BY94" s="73"/>
      <c r="BZ94" s="73"/>
      <c r="CA94" s="73"/>
      <c r="CB94" s="73"/>
      <c r="CC94" s="73"/>
      <c r="CD94" s="73"/>
      <c r="CE94" s="73"/>
      <c r="CF94" s="73"/>
      <c r="CG94" s="73"/>
      <c r="CH94" s="73">
        <f t="shared" si="2"/>
        <v>1000</v>
      </c>
      <c r="CI94" s="73"/>
      <c r="CJ94" s="73"/>
      <c r="CK94" s="72">
        <v>0</v>
      </c>
      <c r="CL94" s="73">
        <v>0</v>
      </c>
      <c r="CM94" s="73">
        <v>0</v>
      </c>
      <c r="CN94" s="84">
        <v>1000</v>
      </c>
      <c r="CO94" s="73">
        <v>0</v>
      </c>
      <c r="CP94" s="73">
        <v>0</v>
      </c>
      <c r="CQ94" s="73">
        <v>0</v>
      </c>
      <c r="CR94" s="73">
        <v>0</v>
      </c>
      <c r="CS94" s="73">
        <v>0</v>
      </c>
      <c r="CT94" s="73">
        <v>0</v>
      </c>
      <c r="CU94" s="73"/>
      <c r="CV94" s="84">
        <f t="shared" si="3"/>
        <v>0</v>
      </c>
      <c r="CW94" s="84"/>
      <c r="CX94" s="74"/>
      <c r="CY94" s="74"/>
      <c r="CZ94" s="74"/>
      <c r="DA94" s="74"/>
      <c r="DB94" s="74"/>
      <c r="DC94" s="74"/>
      <c r="DD94" s="74"/>
    </row>
    <row r="95" spans="1:108" s="68" customFormat="1" ht="15" hidden="1" customHeight="1" x14ac:dyDescent="0.25">
      <c r="A95" s="74" t="s">
        <v>690</v>
      </c>
      <c r="B95" s="74" t="s">
        <v>154</v>
      </c>
      <c r="C95" s="74" t="s">
        <v>172</v>
      </c>
      <c r="D95" s="74" t="s">
        <v>196</v>
      </c>
      <c r="E95" s="74" t="s">
        <v>309</v>
      </c>
      <c r="F95" s="74" t="s">
        <v>550</v>
      </c>
      <c r="G95" s="74" t="s">
        <v>137</v>
      </c>
      <c r="H95" s="74" t="s">
        <v>137</v>
      </c>
      <c r="I95" s="74" t="s">
        <v>66</v>
      </c>
      <c r="J95" s="74" t="s">
        <v>29</v>
      </c>
      <c r="K95" s="82" t="s">
        <v>137</v>
      </c>
      <c r="L95" s="82" t="s">
        <v>137</v>
      </c>
      <c r="M95" s="82" t="s">
        <v>137</v>
      </c>
      <c r="N95" s="82" t="s">
        <v>137</v>
      </c>
      <c r="O95" s="82" t="s">
        <v>137</v>
      </c>
      <c r="P95" s="82" t="s">
        <v>137</v>
      </c>
      <c r="Q95" s="74" t="s">
        <v>87</v>
      </c>
      <c r="R95" s="74" t="s">
        <v>709</v>
      </c>
      <c r="S95" s="74" t="s">
        <v>40</v>
      </c>
      <c r="T95" s="74" t="s">
        <v>2</v>
      </c>
      <c r="U95" s="75"/>
      <c r="V95" s="75">
        <v>0.05</v>
      </c>
      <c r="W95" s="75">
        <v>0.08</v>
      </c>
      <c r="X95" s="75">
        <v>0.15</v>
      </c>
      <c r="Y95" s="75">
        <v>0.2</v>
      </c>
      <c r="Z95" s="75">
        <v>0.25</v>
      </c>
      <c r="AA95" s="75">
        <v>0.37</v>
      </c>
      <c r="AB95" s="75">
        <v>0.42</v>
      </c>
      <c r="AC95" s="75">
        <v>0.57999999999999996</v>
      </c>
      <c r="AD95" s="75">
        <v>0.67</v>
      </c>
      <c r="AE95" s="75">
        <v>0.83</v>
      </c>
      <c r="AF95" s="75">
        <v>1</v>
      </c>
      <c r="AG95" s="74" t="s">
        <v>533</v>
      </c>
      <c r="AH95" s="74" t="s">
        <v>530</v>
      </c>
      <c r="AI95" s="78" t="s">
        <v>539</v>
      </c>
      <c r="AJ95" s="79" t="s">
        <v>539</v>
      </c>
      <c r="AK95" s="80">
        <v>46023</v>
      </c>
      <c r="AL95" s="80">
        <v>46387</v>
      </c>
      <c r="AM95" s="79"/>
      <c r="AN95" s="79"/>
      <c r="AO95" s="79"/>
      <c r="AP95" s="81" t="s">
        <v>540</v>
      </c>
      <c r="AQ95" s="80" cm="1">
        <f t="array" ref="AQ95">IFERROR(DATE(2026, _xlfn.AGGREGATE(15, 6, (COLUMN(CI95:CT95)-COLUMN(CI95)+1)/(CI95:CT95&lt;&gt;0), 1), 1),"N/A")</f>
        <v>46266</v>
      </c>
      <c r="AR95" s="80" cm="1">
        <f t="array" ref="AR95">IFERROR(EOMONTH(DATE(2026, _xlfn.AGGREGATE(14, 6, (COLUMN(CI95:CT95)-COLUMN(CI95)+1)/(CI95:CT95&lt;&gt;0), 1), 1), 0),"N/A")</f>
        <v>46295</v>
      </c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4" t="s">
        <v>579</v>
      </c>
      <c r="BG95" s="74"/>
      <c r="BH95" s="74" t="s">
        <v>818</v>
      </c>
      <c r="BI95" s="74" t="s">
        <v>137</v>
      </c>
      <c r="BJ95" s="78">
        <v>530203</v>
      </c>
      <c r="BK95" s="82" t="s">
        <v>74</v>
      </c>
      <c r="BL95" s="83">
        <v>500</v>
      </c>
      <c r="BM95" s="73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3">
        <v>0</v>
      </c>
      <c r="BU95" s="84">
        <v>500</v>
      </c>
      <c r="BV95" s="73">
        <v>0</v>
      </c>
      <c r="BW95" s="73">
        <v>0</v>
      </c>
      <c r="BX95" s="73">
        <v>0</v>
      </c>
      <c r="BY95" s="73"/>
      <c r="BZ95" s="73"/>
      <c r="CA95" s="73"/>
      <c r="CB95" s="73"/>
      <c r="CC95" s="73"/>
      <c r="CD95" s="73"/>
      <c r="CE95" s="73"/>
      <c r="CF95" s="73"/>
      <c r="CG95" s="73"/>
      <c r="CH95" s="73">
        <f t="shared" si="2"/>
        <v>500</v>
      </c>
      <c r="CI95" s="73"/>
      <c r="CJ95" s="73"/>
      <c r="CK95" s="72">
        <v>0</v>
      </c>
      <c r="CL95" s="73">
        <v>0</v>
      </c>
      <c r="CM95" s="73">
        <v>0</v>
      </c>
      <c r="CN95" s="73">
        <v>0</v>
      </c>
      <c r="CO95" s="73">
        <v>0</v>
      </c>
      <c r="CP95" s="73">
        <v>0</v>
      </c>
      <c r="CQ95" s="84">
        <v>500</v>
      </c>
      <c r="CR95" s="73">
        <v>0</v>
      </c>
      <c r="CS95" s="73">
        <v>0</v>
      </c>
      <c r="CT95" s="73">
        <v>0</v>
      </c>
      <c r="CU95" s="73"/>
      <c r="CV95" s="84">
        <f t="shared" si="3"/>
        <v>0</v>
      </c>
      <c r="CW95" s="84"/>
      <c r="CX95" s="74"/>
      <c r="CY95" s="74"/>
      <c r="CZ95" s="74"/>
      <c r="DA95" s="74"/>
      <c r="DB95" s="74"/>
      <c r="DC95" s="74"/>
      <c r="DD95" s="74"/>
    </row>
    <row r="96" spans="1:108" s="397" customFormat="1" ht="15" hidden="1" customHeight="1" x14ac:dyDescent="0.25">
      <c r="A96" s="385" t="s">
        <v>690</v>
      </c>
      <c r="B96" s="74" t="s">
        <v>154</v>
      </c>
      <c r="C96" s="74" t="s">
        <v>172</v>
      </c>
      <c r="D96" s="74" t="s">
        <v>196</v>
      </c>
      <c r="E96" s="74" t="s">
        <v>309</v>
      </c>
      <c r="F96" s="74" t="s">
        <v>550</v>
      </c>
      <c r="G96" s="74" t="s">
        <v>137</v>
      </c>
      <c r="H96" s="74" t="s">
        <v>137</v>
      </c>
      <c r="I96" s="74" t="s">
        <v>66</v>
      </c>
      <c r="J96" s="74" t="s">
        <v>29</v>
      </c>
      <c r="K96" s="82" t="s">
        <v>137</v>
      </c>
      <c r="L96" s="82" t="s">
        <v>137</v>
      </c>
      <c r="M96" s="82" t="s">
        <v>137</v>
      </c>
      <c r="N96" s="82" t="s">
        <v>137</v>
      </c>
      <c r="O96" s="82" t="s">
        <v>137</v>
      </c>
      <c r="P96" s="82" t="s">
        <v>137</v>
      </c>
      <c r="Q96" s="74" t="s">
        <v>87</v>
      </c>
      <c r="R96" s="74" t="s">
        <v>709</v>
      </c>
      <c r="S96" s="74" t="s">
        <v>40</v>
      </c>
      <c r="T96" s="74" t="s">
        <v>2</v>
      </c>
      <c r="U96" s="75"/>
      <c r="V96" s="75">
        <v>0.05</v>
      </c>
      <c r="W96" s="75">
        <v>0.08</v>
      </c>
      <c r="X96" s="75">
        <v>0.15</v>
      </c>
      <c r="Y96" s="75">
        <v>0.2</v>
      </c>
      <c r="Z96" s="75">
        <v>0.25</v>
      </c>
      <c r="AA96" s="75">
        <v>0.37</v>
      </c>
      <c r="AB96" s="75">
        <v>0.42</v>
      </c>
      <c r="AC96" s="75">
        <v>0.57999999999999996</v>
      </c>
      <c r="AD96" s="75">
        <v>0.67</v>
      </c>
      <c r="AE96" s="75">
        <v>0.83</v>
      </c>
      <c r="AF96" s="75">
        <v>1</v>
      </c>
      <c r="AG96" s="74" t="s">
        <v>533</v>
      </c>
      <c r="AH96" s="74" t="s">
        <v>530</v>
      </c>
      <c r="AI96" s="78" t="s">
        <v>539</v>
      </c>
      <c r="AJ96" s="79" t="s">
        <v>539</v>
      </c>
      <c r="AK96" s="80">
        <v>46023</v>
      </c>
      <c r="AL96" s="80">
        <v>46387</v>
      </c>
      <c r="AM96" s="79"/>
      <c r="AN96" s="79"/>
      <c r="AO96" s="79"/>
      <c r="AP96" s="81" t="s">
        <v>540</v>
      </c>
      <c r="AQ96" s="80" cm="1">
        <f t="array" ref="AQ96">IFERROR(DATE(2026, _xlfn.AGGREGATE(15, 6, (COLUMN(CI96:CT96)-COLUMN(CI96)+1)/(CI96:CT96&lt;&gt;0), 1), 1),"N/A")</f>
        <v>46357</v>
      </c>
      <c r="AR96" s="80" cm="1">
        <f t="array" ref="AR96">IFERROR(EOMONTH(DATE(2026, _xlfn.AGGREGATE(14, 6, (COLUMN(CI96:CT96)-COLUMN(CI96)+1)/(CI96:CT96&lt;&gt;0), 1), 1), 0),"N/A")</f>
        <v>46387</v>
      </c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385" t="s">
        <v>621</v>
      </c>
      <c r="BG96" s="74"/>
      <c r="BH96" s="385" t="s">
        <v>819</v>
      </c>
      <c r="BI96" s="74" t="s">
        <v>137</v>
      </c>
      <c r="BJ96" s="388">
        <v>530404</v>
      </c>
      <c r="BK96" s="386" t="s">
        <v>74</v>
      </c>
      <c r="BL96" s="83">
        <v>6000</v>
      </c>
      <c r="BM96" s="73">
        <v>0</v>
      </c>
      <c r="BN96" s="73">
        <v>0</v>
      </c>
      <c r="BO96" s="73">
        <v>0</v>
      </c>
      <c r="BP96" s="73">
        <v>0</v>
      </c>
      <c r="BQ96" s="73">
        <v>0</v>
      </c>
      <c r="BR96" s="73">
        <v>0</v>
      </c>
      <c r="BS96" s="73">
        <v>0</v>
      </c>
      <c r="BT96" s="73">
        <v>0</v>
      </c>
      <c r="BU96" s="73">
        <v>0</v>
      </c>
      <c r="BV96" s="84">
        <v>6000</v>
      </c>
      <c r="BW96" s="73">
        <v>0</v>
      </c>
      <c r="BX96" s="73">
        <v>0</v>
      </c>
      <c r="BY96" s="73"/>
      <c r="BZ96" s="73"/>
      <c r="CA96" s="73">
        <v>17440.7</v>
      </c>
      <c r="CB96" s="73"/>
      <c r="CC96" s="73"/>
      <c r="CD96" s="73">
        <v>-10000</v>
      </c>
      <c r="CE96" s="73"/>
      <c r="CF96" s="73"/>
      <c r="CG96" s="73"/>
      <c r="CH96" s="396">
        <f t="shared" si="2"/>
        <v>13440.7</v>
      </c>
      <c r="CI96" s="73"/>
      <c r="CJ96" s="73"/>
      <c r="CK96" s="72">
        <v>0</v>
      </c>
      <c r="CL96" s="73">
        <v>0</v>
      </c>
      <c r="CM96" s="73">
        <v>0</v>
      </c>
      <c r="CN96" s="73">
        <v>0</v>
      </c>
      <c r="CO96" s="73">
        <v>0</v>
      </c>
      <c r="CP96" s="73">
        <v>0</v>
      </c>
      <c r="CQ96" s="73">
        <v>0</v>
      </c>
      <c r="CR96" s="84"/>
      <c r="CS96" s="73">
        <v>0</v>
      </c>
      <c r="CT96" s="396">
        <v>13440.7</v>
      </c>
      <c r="CU96" s="396"/>
      <c r="CV96" s="394">
        <f t="shared" si="3"/>
        <v>0</v>
      </c>
      <c r="CW96" s="394"/>
      <c r="CX96" s="385"/>
      <c r="CY96" s="385"/>
      <c r="CZ96" s="385"/>
      <c r="DA96" s="385"/>
      <c r="DB96" s="385"/>
      <c r="DC96" s="385"/>
      <c r="DD96" s="385"/>
    </row>
    <row r="97" spans="1:108" s="68" customFormat="1" ht="15" hidden="1" customHeight="1" x14ac:dyDescent="0.25">
      <c r="A97" s="74" t="s">
        <v>690</v>
      </c>
      <c r="B97" s="74" t="s">
        <v>154</v>
      </c>
      <c r="C97" s="74" t="s">
        <v>172</v>
      </c>
      <c r="D97" s="74" t="s">
        <v>196</v>
      </c>
      <c r="E97" s="74" t="s">
        <v>309</v>
      </c>
      <c r="F97" s="74" t="s">
        <v>550</v>
      </c>
      <c r="G97" s="74" t="s">
        <v>137</v>
      </c>
      <c r="H97" s="74" t="s">
        <v>137</v>
      </c>
      <c r="I97" s="74" t="s">
        <v>66</v>
      </c>
      <c r="J97" s="74" t="s">
        <v>29</v>
      </c>
      <c r="K97" s="82" t="s">
        <v>137</v>
      </c>
      <c r="L97" s="82" t="s">
        <v>137</v>
      </c>
      <c r="M97" s="82" t="s">
        <v>137</v>
      </c>
      <c r="N97" s="82" t="s">
        <v>137</v>
      </c>
      <c r="O97" s="82" t="s">
        <v>137</v>
      </c>
      <c r="P97" s="82" t="s">
        <v>137</v>
      </c>
      <c r="Q97" s="74" t="s">
        <v>87</v>
      </c>
      <c r="R97" s="74" t="s">
        <v>709</v>
      </c>
      <c r="S97" s="74" t="s">
        <v>40</v>
      </c>
      <c r="T97" s="74" t="s">
        <v>2</v>
      </c>
      <c r="U97" s="75"/>
      <c r="V97" s="75">
        <v>0.05</v>
      </c>
      <c r="W97" s="75">
        <v>0.08</v>
      </c>
      <c r="X97" s="75">
        <v>0.15</v>
      </c>
      <c r="Y97" s="75">
        <v>0.2</v>
      </c>
      <c r="Z97" s="75">
        <v>0.25</v>
      </c>
      <c r="AA97" s="75">
        <v>0.37</v>
      </c>
      <c r="AB97" s="75">
        <v>0.42</v>
      </c>
      <c r="AC97" s="75">
        <v>0.57999999999999996</v>
      </c>
      <c r="AD97" s="75">
        <v>0.67</v>
      </c>
      <c r="AE97" s="75">
        <v>0.83</v>
      </c>
      <c r="AF97" s="75">
        <v>1</v>
      </c>
      <c r="AG97" s="74" t="s">
        <v>533</v>
      </c>
      <c r="AH97" s="74" t="s">
        <v>530</v>
      </c>
      <c r="AI97" s="78" t="s">
        <v>539</v>
      </c>
      <c r="AJ97" s="79" t="s">
        <v>539</v>
      </c>
      <c r="AK97" s="80">
        <v>46023</v>
      </c>
      <c r="AL97" s="80">
        <v>46387</v>
      </c>
      <c r="AM97" s="79"/>
      <c r="AN97" s="79"/>
      <c r="AO97" s="79"/>
      <c r="AP97" s="81" t="s">
        <v>540</v>
      </c>
      <c r="AQ97" s="80" t="str" cm="1">
        <f t="array" ref="AQ97">IFERROR(DATE(2026, _xlfn.AGGREGATE(15, 6, (COLUMN(CI97:CT97)-COLUMN(CI97)+1)/(CI97:CT97&lt;&gt;0), 1), 1),"N/A")</f>
        <v>N/A</v>
      </c>
      <c r="AR97" s="80" t="str" cm="1">
        <f t="array" ref="AR97">IFERROR(EOMONTH(DATE(2026, _xlfn.AGGREGATE(14, 6, (COLUMN(CI97:CT97)-COLUMN(CI97)+1)/(CI97:CT97&lt;&gt;0), 1), 1), 0),"N/A")</f>
        <v>N/A</v>
      </c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4" t="s">
        <v>628</v>
      </c>
      <c r="BG97" s="74"/>
      <c r="BH97" s="74" t="s">
        <v>821</v>
      </c>
      <c r="BI97" s="74" t="s">
        <v>137</v>
      </c>
      <c r="BJ97" s="78">
        <v>530404</v>
      </c>
      <c r="BK97" s="82" t="s">
        <v>74</v>
      </c>
      <c r="BL97" s="83">
        <v>6600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73">
        <v>0</v>
      </c>
      <c r="BU97" s="73">
        <v>0</v>
      </c>
      <c r="BV97" s="84">
        <v>6600</v>
      </c>
      <c r="BW97" s="73">
        <v>0</v>
      </c>
      <c r="BX97" s="73">
        <v>0</v>
      </c>
      <c r="BY97" s="73"/>
      <c r="BZ97" s="73"/>
      <c r="CA97" s="73">
        <v>-6600</v>
      </c>
      <c r="CB97" s="73"/>
      <c r="CC97" s="73"/>
      <c r="CD97" s="73"/>
      <c r="CE97" s="73"/>
      <c r="CF97" s="73"/>
      <c r="CG97" s="73"/>
      <c r="CH97" s="73">
        <f t="shared" si="2"/>
        <v>0</v>
      </c>
      <c r="CI97" s="73"/>
      <c r="CJ97" s="73"/>
      <c r="CK97" s="72">
        <v>0</v>
      </c>
      <c r="CL97" s="73">
        <v>0</v>
      </c>
      <c r="CM97" s="73">
        <v>0</v>
      </c>
      <c r="CN97" s="73">
        <v>0</v>
      </c>
      <c r="CO97" s="73">
        <v>0</v>
      </c>
      <c r="CP97" s="73">
        <v>0</v>
      </c>
      <c r="CQ97" s="73">
        <v>0</v>
      </c>
      <c r="CR97" s="84">
        <v>0</v>
      </c>
      <c r="CS97" s="73">
        <v>0</v>
      </c>
      <c r="CT97" s="73">
        <v>0</v>
      </c>
      <c r="CU97" s="73"/>
      <c r="CV97" s="84">
        <f t="shared" si="3"/>
        <v>0</v>
      </c>
      <c r="CW97" s="84"/>
      <c r="CX97" s="74"/>
      <c r="CY97" s="74"/>
      <c r="CZ97" s="74"/>
      <c r="DA97" s="74"/>
      <c r="DB97" s="74"/>
      <c r="DC97" s="74"/>
      <c r="DD97" s="74"/>
    </row>
    <row r="98" spans="1:108" s="68" customFormat="1" ht="15" hidden="1" customHeight="1" x14ac:dyDescent="0.25">
      <c r="A98" s="74" t="s">
        <v>690</v>
      </c>
      <c r="B98" s="74" t="s">
        <v>154</v>
      </c>
      <c r="C98" s="74" t="s">
        <v>172</v>
      </c>
      <c r="D98" s="74" t="s">
        <v>196</v>
      </c>
      <c r="E98" s="74" t="s">
        <v>309</v>
      </c>
      <c r="F98" s="74" t="s">
        <v>550</v>
      </c>
      <c r="G98" s="74" t="s">
        <v>137</v>
      </c>
      <c r="H98" s="74" t="s">
        <v>137</v>
      </c>
      <c r="I98" s="74" t="s">
        <v>66</v>
      </c>
      <c r="J98" s="74" t="s">
        <v>29</v>
      </c>
      <c r="K98" s="82" t="s">
        <v>137</v>
      </c>
      <c r="L98" s="82" t="s">
        <v>137</v>
      </c>
      <c r="M98" s="82" t="s">
        <v>137</v>
      </c>
      <c r="N98" s="82" t="s">
        <v>137</v>
      </c>
      <c r="O98" s="82" t="s">
        <v>137</v>
      </c>
      <c r="P98" s="82" t="s">
        <v>137</v>
      </c>
      <c r="Q98" s="74" t="s">
        <v>87</v>
      </c>
      <c r="R98" s="74" t="s">
        <v>709</v>
      </c>
      <c r="S98" s="74" t="s">
        <v>40</v>
      </c>
      <c r="T98" s="74" t="s">
        <v>2</v>
      </c>
      <c r="U98" s="75"/>
      <c r="V98" s="75">
        <v>0.05</v>
      </c>
      <c r="W98" s="75">
        <v>0.08</v>
      </c>
      <c r="X98" s="75">
        <v>0.15</v>
      </c>
      <c r="Y98" s="75">
        <v>0.2</v>
      </c>
      <c r="Z98" s="75">
        <v>0.25</v>
      </c>
      <c r="AA98" s="75">
        <v>0.37</v>
      </c>
      <c r="AB98" s="75">
        <v>0.42</v>
      </c>
      <c r="AC98" s="75">
        <v>0.57999999999999996</v>
      </c>
      <c r="AD98" s="75">
        <v>0.67</v>
      </c>
      <c r="AE98" s="75">
        <v>0.83</v>
      </c>
      <c r="AF98" s="75">
        <v>1</v>
      </c>
      <c r="AG98" s="74" t="s">
        <v>533</v>
      </c>
      <c r="AH98" s="74" t="s">
        <v>530</v>
      </c>
      <c r="AI98" s="78" t="s">
        <v>539</v>
      </c>
      <c r="AJ98" s="79" t="s">
        <v>539</v>
      </c>
      <c r="AK98" s="80">
        <v>46023</v>
      </c>
      <c r="AL98" s="80">
        <v>46387</v>
      </c>
      <c r="AM98" s="79"/>
      <c r="AN98" s="79"/>
      <c r="AO98" s="79"/>
      <c r="AP98" s="81" t="s">
        <v>540</v>
      </c>
      <c r="AQ98" s="80" t="str" cm="1">
        <f t="array" ref="AQ98">IFERROR(DATE(2026, _xlfn.AGGREGATE(15, 6, (COLUMN(CI98:CT98)-COLUMN(CI98)+1)/(CI98:CT98&lt;&gt;0), 1), 1),"N/A")</f>
        <v>N/A</v>
      </c>
      <c r="AR98" s="80" t="str" cm="1">
        <f t="array" ref="AR98">IFERROR(EOMONTH(DATE(2026, _xlfn.AGGREGATE(14, 6, (COLUMN(CI98:CT98)-COLUMN(CI98)+1)/(CI98:CT98&lt;&gt;0), 1), 1), 0),"N/A")</f>
        <v>N/A</v>
      </c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4" t="s">
        <v>584</v>
      </c>
      <c r="BG98" s="74"/>
      <c r="BH98" s="74" t="s">
        <v>822</v>
      </c>
      <c r="BI98" s="74" t="s">
        <v>137</v>
      </c>
      <c r="BJ98" s="78">
        <v>530404</v>
      </c>
      <c r="BK98" s="82" t="s">
        <v>74</v>
      </c>
      <c r="BL98" s="83">
        <v>1000</v>
      </c>
      <c r="BM98" s="73">
        <v>0</v>
      </c>
      <c r="BN98" s="73">
        <v>0</v>
      </c>
      <c r="BO98" s="73">
        <v>0</v>
      </c>
      <c r="BP98" s="73">
        <v>0</v>
      </c>
      <c r="BQ98" s="73">
        <v>0</v>
      </c>
      <c r="BR98" s="73">
        <v>0</v>
      </c>
      <c r="BS98" s="84">
        <v>1000</v>
      </c>
      <c r="BT98" s="73">
        <v>0</v>
      </c>
      <c r="BU98" s="73">
        <v>0</v>
      </c>
      <c r="BV98" s="73">
        <v>0</v>
      </c>
      <c r="BW98" s="73">
        <v>0</v>
      </c>
      <c r="BX98" s="73">
        <v>0</v>
      </c>
      <c r="BY98" s="73"/>
      <c r="BZ98" s="73"/>
      <c r="CA98" s="73">
        <v>-1000</v>
      </c>
      <c r="CB98" s="73"/>
      <c r="CC98" s="73"/>
      <c r="CD98" s="73"/>
      <c r="CE98" s="73"/>
      <c r="CF98" s="73"/>
      <c r="CG98" s="73"/>
      <c r="CH98" s="73">
        <f t="shared" si="2"/>
        <v>0</v>
      </c>
      <c r="CI98" s="73"/>
      <c r="CJ98" s="73"/>
      <c r="CK98" s="72">
        <v>0</v>
      </c>
      <c r="CL98" s="73">
        <v>0</v>
      </c>
      <c r="CM98" s="73">
        <v>0</v>
      </c>
      <c r="CN98" s="73">
        <v>0</v>
      </c>
      <c r="CO98" s="84">
        <v>0</v>
      </c>
      <c r="CP98" s="73">
        <v>0</v>
      </c>
      <c r="CQ98" s="73">
        <v>0</v>
      </c>
      <c r="CR98" s="73">
        <v>0</v>
      </c>
      <c r="CS98" s="73">
        <v>0</v>
      </c>
      <c r="CT98" s="73">
        <v>0</v>
      </c>
      <c r="CU98" s="73"/>
      <c r="CV98" s="84">
        <f t="shared" si="3"/>
        <v>0</v>
      </c>
      <c r="CW98" s="84"/>
      <c r="CX98" s="74"/>
      <c r="CY98" s="74"/>
      <c r="CZ98" s="74"/>
      <c r="DA98" s="74"/>
      <c r="DB98" s="74"/>
      <c r="DC98" s="74"/>
      <c r="DD98" s="74"/>
    </row>
    <row r="99" spans="1:108" s="402" customFormat="1" ht="15" hidden="1" customHeight="1" x14ac:dyDescent="0.25">
      <c r="A99" s="398" t="s">
        <v>690</v>
      </c>
      <c r="B99" s="74" t="s">
        <v>154</v>
      </c>
      <c r="C99" s="74" t="s">
        <v>172</v>
      </c>
      <c r="D99" s="74" t="s">
        <v>196</v>
      </c>
      <c r="E99" s="74" t="s">
        <v>309</v>
      </c>
      <c r="F99" s="74" t="s">
        <v>550</v>
      </c>
      <c r="G99" s="74" t="s">
        <v>137</v>
      </c>
      <c r="H99" s="74" t="s">
        <v>137</v>
      </c>
      <c r="I99" s="74" t="s">
        <v>66</v>
      </c>
      <c r="J99" s="74" t="s">
        <v>29</v>
      </c>
      <c r="K99" s="82" t="s">
        <v>137</v>
      </c>
      <c r="L99" s="82" t="s">
        <v>137</v>
      </c>
      <c r="M99" s="82" t="s">
        <v>137</v>
      </c>
      <c r="N99" s="82" t="s">
        <v>137</v>
      </c>
      <c r="O99" s="82" t="s">
        <v>137</v>
      </c>
      <c r="P99" s="82" t="s">
        <v>137</v>
      </c>
      <c r="Q99" s="74" t="s">
        <v>87</v>
      </c>
      <c r="R99" s="74" t="s">
        <v>709</v>
      </c>
      <c r="S99" s="74" t="s">
        <v>40</v>
      </c>
      <c r="T99" s="74" t="s">
        <v>2</v>
      </c>
      <c r="U99" s="75"/>
      <c r="V99" s="75">
        <v>0.05</v>
      </c>
      <c r="W99" s="75">
        <v>0.08</v>
      </c>
      <c r="X99" s="75">
        <v>0.15</v>
      </c>
      <c r="Y99" s="75">
        <v>0.2</v>
      </c>
      <c r="Z99" s="75">
        <v>0.25</v>
      </c>
      <c r="AA99" s="75">
        <v>0.37</v>
      </c>
      <c r="AB99" s="75">
        <v>0.42</v>
      </c>
      <c r="AC99" s="75">
        <v>0.57999999999999996</v>
      </c>
      <c r="AD99" s="75">
        <v>0.67</v>
      </c>
      <c r="AE99" s="75">
        <v>0.83</v>
      </c>
      <c r="AF99" s="75">
        <v>1</v>
      </c>
      <c r="AG99" s="74" t="s">
        <v>533</v>
      </c>
      <c r="AH99" s="74" t="s">
        <v>530</v>
      </c>
      <c r="AI99" s="78" t="s">
        <v>539</v>
      </c>
      <c r="AJ99" s="79" t="s">
        <v>539</v>
      </c>
      <c r="AK99" s="80">
        <v>46023</v>
      </c>
      <c r="AL99" s="80">
        <v>46387</v>
      </c>
      <c r="AM99" s="79"/>
      <c r="AN99" s="79"/>
      <c r="AO99" s="79"/>
      <c r="AP99" s="81" t="s">
        <v>540</v>
      </c>
      <c r="AQ99" s="80" cm="1">
        <f t="array" ref="AQ99">IFERROR(DATE(2026, _xlfn.AGGREGATE(15, 6, (COLUMN(CI99:CT99)-COLUMN(CI99)+1)/(CI99:CT99&lt;&gt;0), 1), 1),"N/A")</f>
        <v>46357</v>
      </c>
      <c r="AR99" s="80" cm="1">
        <f t="array" ref="AR99">IFERROR(EOMONTH(DATE(2026, _xlfn.AGGREGATE(14, 6, (COLUMN(CI99:CT99)-COLUMN(CI99)+1)/(CI99:CT99&lt;&gt;0), 1), 1), 0),"N/A")</f>
        <v>46387</v>
      </c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398" t="s">
        <v>642</v>
      </c>
      <c r="BG99" s="74"/>
      <c r="BH99" s="398" t="s">
        <v>823</v>
      </c>
      <c r="BI99" s="74" t="s">
        <v>137</v>
      </c>
      <c r="BJ99" s="399">
        <v>530405</v>
      </c>
      <c r="BK99" s="400" t="s">
        <v>74</v>
      </c>
      <c r="BL99" s="83">
        <v>10000</v>
      </c>
      <c r="BM99" s="73">
        <v>0</v>
      </c>
      <c r="BN99" s="73">
        <v>0</v>
      </c>
      <c r="BO99" s="84">
        <v>1000</v>
      </c>
      <c r="BP99" s="72">
        <v>1000</v>
      </c>
      <c r="BQ99" s="84">
        <v>1000</v>
      </c>
      <c r="BR99" s="84">
        <v>1000</v>
      </c>
      <c r="BS99" s="84">
        <v>1000</v>
      </c>
      <c r="BT99" s="84">
        <v>1000</v>
      </c>
      <c r="BU99" s="84">
        <v>1000</v>
      </c>
      <c r="BV99" s="84">
        <v>1000</v>
      </c>
      <c r="BW99" s="84">
        <v>1000</v>
      </c>
      <c r="BX99" s="84">
        <v>1000</v>
      </c>
      <c r="BY99" s="84"/>
      <c r="BZ99" s="84"/>
      <c r="CA99" s="84">
        <v>-910.7</v>
      </c>
      <c r="CB99" s="84">
        <v>-5489.3</v>
      </c>
      <c r="CC99" s="84"/>
      <c r="CD99" s="84"/>
      <c r="CE99" s="84"/>
      <c r="CF99" s="84"/>
      <c r="CG99" s="84"/>
      <c r="CH99" s="403">
        <f t="shared" si="2"/>
        <v>3599.9999999999991</v>
      </c>
      <c r="CI99" s="73"/>
      <c r="CJ99" s="73"/>
      <c r="CK99" s="84"/>
      <c r="CL99" s="72"/>
      <c r="CM99" s="84"/>
      <c r="CN99" s="84"/>
      <c r="CO99" s="84"/>
      <c r="CP99" s="84"/>
      <c r="CQ99" s="84"/>
      <c r="CR99" s="84"/>
      <c r="CS99" s="84"/>
      <c r="CT99" s="404">
        <v>3600</v>
      </c>
      <c r="CU99" s="404"/>
      <c r="CV99" s="404">
        <f t="shared" si="3"/>
        <v>0</v>
      </c>
      <c r="CW99" s="404"/>
      <c r="CX99" s="398"/>
      <c r="CY99" s="398"/>
      <c r="CZ99" s="398"/>
      <c r="DA99" s="398"/>
      <c r="DB99" s="398"/>
      <c r="DC99" s="398"/>
      <c r="DD99" s="398"/>
    </row>
    <row r="100" spans="1:108" s="402" customFormat="1" ht="15" hidden="1" customHeight="1" x14ac:dyDescent="0.25">
      <c r="A100" s="398" t="s">
        <v>690</v>
      </c>
      <c r="B100" s="74" t="s">
        <v>154</v>
      </c>
      <c r="C100" s="74" t="s">
        <v>172</v>
      </c>
      <c r="D100" s="74" t="s">
        <v>196</v>
      </c>
      <c r="E100" s="74" t="s">
        <v>309</v>
      </c>
      <c r="F100" s="74" t="s">
        <v>550</v>
      </c>
      <c r="G100" s="74" t="s">
        <v>137</v>
      </c>
      <c r="H100" s="74" t="s">
        <v>137</v>
      </c>
      <c r="I100" s="74" t="s">
        <v>66</v>
      </c>
      <c r="J100" s="74" t="s">
        <v>29</v>
      </c>
      <c r="K100" s="82" t="s">
        <v>137</v>
      </c>
      <c r="L100" s="82" t="s">
        <v>137</v>
      </c>
      <c r="M100" s="82" t="s">
        <v>137</v>
      </c>
      <c r="N100" s="82" t="s">
        <v>137</v>
      </c>
      <c r="O100" s="82" t="s">
        <v>137</v>
      </c>
      <c r="P100" s="82" t="s">
        <v>137</v>
      </c>
      <c r="Q100" s="74" t="s">
        <v>87</v>
      </c>
      <c r="R100" s="74" t="s">
        <v>709</v>
      </c>
      <c r="S100" s="74" t="s">
        <v>40</v>
      </c>
      <c r="T100" s="74" t="s">
        <v>2</v>
      </c>
      <c r="U100" s="75"/>
      <c r="V100" s="75">
        <v>0.05</v>
      </c>
      <c r="W100" s="75">
        <v>0.08</v>
      </c>
      <c r="X100" s="75">
        <v>0.15</v>
      </c>
      <c r="Y100" s="75">
        <v>0.2</v>
      </c>
      <c r="Z100" s="75">
        <v>0.25</v>
      </c>
      <c r="AA100" s="75">
        <v>0.37</v>
      </c>
      <c r="AB100" s="75">
        <v>0.42</v>
      </c>
      <c r="AC100" s="75">
        <v>0.57999999999999996</v>
      </c>
      <c r="AD100" s="75">
        <v>0.67</v>
      </c>
      <c r="AE100" s="75">
        <v>0.83</v>
      </c>
      <c r="AF100" s="75">
        <v>1</v>
      </c>
      <c r="AG100" s="74" t="s">
        <v>533</v>
      </c>
      <c r="AH100" s="74" t="s">
        <v>530</v>
      </c>
      <c r="AI100" s="78" t="s">
        <v>539</v>
      </c>
      <c r="AJ100" s="79" t="s">
        <v>539</v>
      </c>
      <c r="AK100" s="80">
        <v>46023</v>
      </c>
      <c r="AL100" s="80">
        <v>46387</v>
      </c>
      <c r="AM100" s="79"/>
      <c r="AN100" s="79"/>
      <c r="AO100" s="79"/>
      <c r="AP100" s="81" t="s">
        <v>540</v>
      </c>
      <c r="AQ100" s="80" cm="1">
        <f t="array" ref="AQ100">IFERROR(DATE(2026, _xlfn.AGGREGATE(15, 6, (COLUMN(CI100:CT100)-COLUMN(CI100)+1)/(CI100:CT100&lt;&gt;0), 1), 1),"N/A")</f>
        <v>46357</v>
      </c>
      <c r="AR100" s="80" cm="1">
        <f t="array" ref="AR100">IFERROR(EOMONTH(DATE(2026, _xlfn.AGGREGATE(14, 6, (COLUMN(CI100:CT100)-COLUMN(CI100)+1)/(CI100:CT100&lt;&gt;0), 1), 1), 0),"N/A")</f>
        <v>46387</v>
      </c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398" t="s">
        <v>642</v>
      </c>
      <c r="BG100" s="74"/>
      <c r="BH100" s="398" t="s">
        <v>1115</v>
      </c>
      <c r="BI100" s="74" t="s">
        <v>137</v>
      </c>
      <c r="BJ100" s="399">
        <v>530803</v>
      </c>
      <c r="BK100" s="400" t="s">
        <v>74</v>
      </c>
      <c r="BL100" s="83"/>
      <c r="BM100" s="73"/>
      <c r="BN100" s="73"/>
      <c r="BO100" s="84"/>
      <c r="BP100" s="72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>
        <v>900</v>
      </c>
      <c r="CC100" s="84"/>
      <c r="CD100" s="84"/>
      <c r="CE100" s="84"/>
      <c r="CF100" s="84"/>
      <c r="CG100" s="84"/>
      <c r="CH100" s="403">
        <f t="shared" si="2"/>
        <v>900</v>
      </c>
      <c r="CI100" s="73"/>
      <c r="CJ100" s="73"/>
      <c r="CK100" s="84"/>
      <c r="CL100" s="72"/>
      <c r="CM100" s="84"/>
      <c r="CN100" s="84"/>
      <c r="CO100" s="84"/>
      <c r="CP100" s="84"/>
      <c r="CQ100" s="84"/>
      <c r="CR100" s="84"/>
      <c r="CS100" s="84"/>
      <c r="CT100" s="404">
        <v>900</v>
      </c>
      <c r="CU100" s="404"/>
      <c r="CV100" s="404">
        <f t="shared" si="3"/>
        <v>0</v>
      </c>
      <c r="CW100" s="404"/>
      <c r="CX100" s="398"/>
      <c r="CY100" s="398"/>
      <c r="CZ100" s="398"/>
      <c r="DA100" s="398"/>
      <c r="DB100" s="398"/>
      <c r="DC100" s="398"/>
      <c r="DD100" s="398"/>
    </row>
    <row r="101" spans="1:108" s="402" customFormat="1" ht="15" hidden="1" customHeight="1" x14ac:dyDescent="0.25">
      <c r="A101" s="398" t="s">
        <v>690</v>
      </c>
      <c r="B101" s="74" t="s">
        <v>154</v>
      </c>
      <c r="C101" s="74" t="s">
        <v>172</v>
      </c>
      <c r="D101" s="74" t="s">
        <v>196</v>
      </c>
      <c r="E101" s="74" t="s">
        <v>309</v>
      </c>
      <c r="F101" s="74" t="s">
        <v>550</v>
      </c>
      <c r="G101" s="74" t="s">
        <v>137</v>
      </c>
      <c r="H101" s="74" t="s">
        <v>137</v>
      </c>
      <c r="I101" s="74" t="s">
        <v>66</v>
      </c>
      <c r="J101" s="74" t="s">
        <v>29</v>
      </c>
      <c r="K101" s="82" t="s">
        <v>137</v>
      </c>
      <c r="L101" s="82" t="s">
        <v>137</v>
      </c>
      <c r="M101" s="82" t="s">
        <v>137</v>
      </c>
      <c r="N101" s="82" t="s">
        <v>137</v>
      </c>
      <c r="O101" s="82" t="s">
        <v>137</v>
      </c>
      <c r="P101" s="82" t="s">
        <v>137</v>
      </c>
      <c r="Q101" s="74" t="s">
        <v>87</v>
      </c>
      <c r="R101" s="74" t="s">
        <v>709</v>
      </c>
      <c r="S101" s="74" t="s">
        <v>40</v>
      </c>
      <c r="T101" s="74" t="s">
        <v>2</v>
      </c>
      <c r="U101" s="75"/>
      <c r="V101" s="75">
        <v>0.05</v>
      </c>
      <c r="W101" s="75">
        <v>0.08</v>
      </c>
      <c r="X101" s="75">
        <v>0.15</v>
      </c>
      <c r="Y101" s="75">
        <v>0.2</v>
      </c>
      <c r="Z101" s="75">
        <v>0.25</v>
      </c>
      <c r="AA101" s="75">
        <v>0.37</v>
      </c>
      <c r="AB101" s="75">
        <v>0.42</v>
      </c>
      <c r="AC101" s="75">
        <v>0.57999999999999996</v>
      </c>
      <c r="AD101" s="75">
        <v>0.67</v>
      </c>
      <c r="AE101" s="75">
        <v>0.83</v>
      </c>
      <c r="AF101" s="75">
        <v>1</v>
      </c>
      <c r="AG101" s="74" t="s">
        <v>533</v>
      </c>
      <c r="AH101" s="74" t="s">
        <v>530</v>
      </c>
      <c r="AI101" s="78" t="s">
        <v>539</v>
      </c>
      <c r="AJ101" s="79" t="s">
        <v>539</v>
      </c>
      <c r="AK101" s="80">
        <v>46023</v>
      </c>
      <c r="AL101" s="80">
        <v>46387</v>
      </c>
      <c r="AM101" s="79"/>
      <c r="AN101" s="79"/>
      <c r="AO101" s="79"/>
      <c r="AP101" s="81" t="s">
        <v>540</v>
      </c>
      <c r="AQ101" s="80" cm="1">
        <f t="array" ref="AQ101">IFERROR(DATE(2026, _xlfn.AGGREGATE(15, 6, (COLUMN(CI101:CT101)-COLUMN(CI101)+1)/(CI101:CT101&lt;&gt;0), 1), 1),"N/A")</f>
        <v>46357</v>
      </c>
      <c r="AR101" s="80" cm="1">
        <f t="array" ref="AR101">IFERROR(EOMONTH(DATE(2026, _xlfn.AGGREGATE(14, 6, (COLUMN(CI101:CT101)-COLUMN(CI101)+1)/(CI101:CT101&lt;&gt;0), 1), 1), 0),"N/A")</f>
        <v>46387</v>
      </c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398" t="s">
        <v>642</v>
      </c>
      <c r="BG101" s="74"/>
      <c r="BH101" s="398" t="s">
        <v>1116</v>
      </c>
      <c r="BI101" s="74" t="s">
        <v>137</v>
      </c>
      <c r="BJ101" s="399">
        <v>530813</v>
      </c>
      <c r="BK101" s="400" t="s">
        <v>74</v>
      </c>
      <c r="BL101" s="83"/>
      <c r="BM101" s="73"/>
      <c r="BN101" s="73"/>
      <c r="BO101" s="84"/>
      <c r="BP101" s="72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>
        <v>4589.3</v>
      </c>
      <c r="CC101" s="84"/>
      <c r="CD101" s="84"/>
      <c r="CE101" s="84"/>
      <c r="CF101" s="84"/>
      <c r="CG101" s="84"/>
      <c r="CH101" s="403">
        <f t="shared" si="2"/>
        <v>4589.3</v>
      </c>
      <c r="CI101" s="73"/>
      <c r="CJ101" s="73"/>
      <c r="CK101" s="84"/>
      <c r="CL101" s="72"/>
      <c r="CM101" s="84"/>
      <c r="CN101" s="84"/>
      <c r="CO101" s="84"/>
      <c r="CP101" s="84"/>
      <c r="CQ101" s="84"/>
      <c r="CR101" s="84"/>
      <c r="CS101" s="84"/>
      <c r="CT101" s="404">
        <v>4589.3</v>
      </c>
      <c r="CU101" s="404"/>
      <c r="CV101" s="404">
        <f t="shared" si="3"/>
        <v>0</v>
      </c>
      <c r="CW101" s="404"/>
      <c r="CX101" s="398"/>
      <c r="CY101" s="398"/>
      <c r="CZ101" s="398"/>
      <c r="DA101" s="398"/>
      <c r="DB101" s="398"/>
      <c r="DC101" s="398"/>
      <c r="DD101" s="398"/>
    </row>
    <row r="102" spans="1:108" s="402" customFormat="1" ht="15" hidden="1" customHeight="1" x14ac:dyDescent="0.25">
      <c r="A102" s="398" t="s">
        <v>690</v>
      </c>
      <c r="B102" s="74" t="s">
        <v>154</v>
      </c>
      <c r="C102" s="74" t="s">
        <v>172</v>
      </c>
      <c r="D102" s="74" t="s">
        <v>196</v>
      </c>
      <c r="E102" s="74" t="s">
        <v>309</v>
      </c>
      <c r="F102" s="74" t="s">
        <v>550</v>
      </c>
      <c r="G102" s="74" t="s">
        <v>137</v>
      </c>
      <c r="H102" s="74" t="s">
        <v>137</v>
      </c>
      <c r="I102" s="74" t="s">
        <v>66</v>
      </c>
      <c r="J102" s="74" t="s">
        <v>29</v>
      </c>
      <c r="K102" s="82" t="s">
        <v>137</v>
      </c>
      <c r="L102" s="82" t="s">
        <v>137</v>
      </c>
      <c r="M102" s="82" t="s">
        <v>137</v>
      </c>
      <c r="N102" s="82" t="s">
        <v>137</v>
      </c>
      <c r="O102" s="82" t="s">
        <v>137</v>
      </c>
      <c r="P102" s="82" t="s">
        <v>137</v>
      </c>
      <c r="Q102" s="74" t="s">
        <v>87</v>
      </c>
      <c r="R102" s="74" t="s">
        <v>709</v>
      </c>
      <c r="S102" s="74" t="s">
        <v>40</v>
      </c>
      <c r="T102" s="74" t="s">
        <v>2</v>
      </c>
      <c r="U102" s="75"/>
      <c r="V102" s="75">
        <v>0.05</v>
      </c>
      <c r="W102" s="75">
        <v>0.08</v>
      </c>
      <c r="X102" s="75">
        <v>0.15</v>
      </c>
      <c r="Y102" s="75">
        <v>0.2</v>
      </c>
      <c r="Z102" s="75">
        <v>0.25</v>
      </c>
      <c r="AA102" s="75">
        <v>0.37</v>
      </c>
      <c r="AB102" s="75">
        <v>0.42</v>
      </c>
      <c r="AC102" s="75">
        <v>0.57999999999999996</v>
      </c>
      <c r="AD102" s="75">
        <v>0.67</v>
      </c>
      <c r="AE102" s="75">
        <v>0.83</v>
      </c>
      <c r="AF102" s="75">
        <v>1</v>
      </c>
      <c r="AG102" s="74" t="s">
        <v>533</v>
      </c>
      <c r="AH102" s="74" t="s">
        <v>530</v>
      </c>
      <c r="AI102" s="78" t="s">
        <v>539</v>
      </c>
      <c r="AJ102" s="79" t="s">
        <v>539</v>
      </c>
      <c r="AK102" s="80">
        <v>46023</v>
      </c>
      <c r="AL102" s="80">
        <v>46387</v>
      </c>
      <c r="AM102" s="79"/>
      <c r="AN102" s="79"/>
      <c r="AO102" s="79"/>
      <c r="AP102" s="81" t="s">
        <v>540</v>
      </c>
      <c r="AQ102" s="80" cm="1">
        <f t="array" ref="AQ102">IFERROR(DATE(2026, _xlfn.AGGREGATE(15, 6, (COLUMN(CI102:CT102)-COLUMN(CI102)+1)/(CI102:CT102&lt;&gt;0), 1), 1),"N/A")</f>
        <v>46357</v>
      </c>
      <c r="AR102" s="80" cm="1">
        <f t="array" ref="AR102">IFERROR(EOMONTH(DATE(2026, _xlfn.AGGREGATE(14, 6, (COLUMN(CI102:CT102)-COLUMN(CI102)+1)/(CI102:CT102&lt;&gt;0), 1), 1), 0),"N/A")</f>
        <v>46387</v>
      </c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398" t="s">
        <v>604</v>
      </c>
      <c r="BG102" s="74"/>
      <c r="BH102" s="398" t="s">
        <v>824</v>
      </c>
      <c r="BI102" s="74" t="s">
        <v>137</v>
      </c>
      <c r="BJ102" s="399">
        <v>530405</v>
      </c>
      <c r="BK102" s="400" t="s">
        <v>74</v>
      </c>
      <c r="BL102" s="83">
        <v>2500</v>
      </c>
      <c r="BM102" s="73">
        <v>0</v>
      </c>
      <c r="BN102" s="73">
        <v>0</v>
      </c>
      <c r="BO102" s="84">
        <v>250</v>
      </c>
      <c r="BP102" s="72">
        <v>250</v>
      </c>
      <c r="BQ102" s="84">
        <v>250</v>
      </c>
      <c r="BR102" s="84">
        <v>250</v>
      </c>
      <c r="BS102" s="84">
        <v>250</v>
      </c>
      <c r="BT102" s="84">
        <v>250</v>
      </c>
      <c r="BU102" s="84">
        <v>250</v>
      </c>
      <c r="BV102" s="84">
        <v>250</v>
      </c>
      <c r="BW102" s="84">
        <v>250</v>
      </c>
      <c r="BX102" s="84">
        <v>250</v>
      </c>
      <c r="BY102" s="84"/>
      <c r="BZ102" s="84"/>
      <c r="CA102" s="84"/>
      <c r="CB102" s="84">
        <v>-1500</v>
      </c>
      <c r="CC102" s="84"/>
      <c r="CD102" s="84"/>
      <c r="CE102" s="84"/>
      <c r="CF102" s="84"/>
      <c r="CG102" s="84"/>
      <c r="CH102" s="403">
        <f t="shared" si="2"/>
        <v>1000</v>
      </c>
      <c r="CI102" s="73"/>
      <c r="CJ102" s="73"/>
      <c r="CK102" s="84"/>
      <c r="CL102" s="72"/>
      <c r="CM102" s="84"/>
      <c r="CN102" s="84"/>
      <c r="CO102" s="84"/>
      <c r="CP102" s="84"/>
      <c r="CQ102" s="84"/>
      <c r="CR102" s="84"/>
      <c r="CS102" s="84"/>
      <c r="CT102" s="404">
        <v>1000</v>
      </c>
      <c r="CU102" s="404"/>
      <c r="CV102" s="404">
        <f t="shared" si="3"/>
        <v>0</v>
      </c>
      <c r="CW102" s="404"/>
      <c r="CX102" s="398"/>
      <c r="CY102" s="398"/>
      <c r="CZ102" s="398"/>
      <c r="DA102" s="398"/>
      <c r="DB102" s="398"/>
      <c r="DC102" s="398"/>
      <c r="DD102" s="398"/>
    </row>
    <row r="103" spans="1:108" s="402" customFormat="1" ht="15" hidden="1" customHeight="1" x14ac:dyDescent="0.25">
      <c r="A103" s="398" t="s">
        <v>690</v>
      </c>
      <c r="B103" s="74" t="s">
        <v>154</v>
      </c>
      <c r="C103" s="74" t="s">
        <v>172</v>
      </c>
      <c r="D103" s="74" t="s">
        <v>196</v>
      </c>
      <c r="E103" s="74" t="s">
        <v>309</v>
      </c>
      <c r="F103" s="74" t="s">
        <v>550</v>
      </c>
      <c r="G103" s="74" t="s">
        <v>137</v>
      </c>
      <c r="H103" s="74" t="s">
        <v>137</v>
      </c>
      <c r="I103" s="74" t="s">
        <v>66</v>
      </c>
      <c r="J103" s="74" t="s">
        <v>29</v>
      </c>
      <c r="K103" s="82" t="s">
        <v>137</v>
      </c>
      <c r="L103" s="82" t="s">
        <v>137</v>
      </c>
      <c r="M103" s="82" t="s">
        <v>137</v>
      </c>
      <c r="N103" s="82" t="s">
        <v>137</v>
      </c>
      <c r="O103" s="82" t="s">
        <v>137</v>
      </c>
      <c r="P103" s="82" t="s">
        <v>137</v>
      </c>
      <c r="Q103" s="74" t="s">
        <v>87</v>
      </c>
      <c r="R103" s="74" t="s">
        <v>709</v>
      </c>
      <c r="S103" s="74" t="s">
        <v>40</v>
      </c>
      <c r="T103" s="74" t="s">
        <v>2</v>
      </c>
      <c r="U103" s="75"/>
      <c r="V103" s="75">
        <v>0.05</v>
      </c>
      <c r="W103" s="75">
        <v>0.08</v>
      </c>
      <c r="X103" s="75">
        <v>0.15</v>
      </c>
      <c r="Y103" s="75">
        <v>0.2</v>
      </c>
      <c r="Z103" s="75">
        <v>0.25</v>
      </c>
      <c r="AA103" s="75">
        <v>0.37</v>
      </c>
      <c r="AB103" s="75">
        <v>0.42</v>
      </c>
      <c r="AC103" s="75">
        <v>0.57999999999999996</v>
      </c>
      <c r="AD103" s="75">
        <v>0.67</v>
      </c>
      <c r="AE103" s="75">
        <v>0.83</v>
      </c>
      <c r="AF103" s="75">
        <v>1</v>
      </c>
      <c r="AG103" s="74" t="s">
        <v>533</v>
      </c>
      <c r="AH103" s="74" t="s">
        <v>530</v>
      </c>
      <c r="AI103" s="78" t="s">
        <v>539</v>
      </c>
      <c r="AJ103" s="79" t="s">
        <v>539</v>
      </c>
      <c r="AK103" s="80">
        <v>46023</v>
      </c>
      <c r="AL103" s="80">
        <v>46387</v>
      </c>
      <c r="AM103" s="79"/>
      <c r="AN103" s="79"/>
      <c r="AO103" s="79"/>
      <c r="AP103" s="81" t="s">
        <v>540</v>
      </c>
      <c r="AQ103" s="80" cm="1">
        <f t="array" ref="AQ103">IFERROR(DATE(2026, _xlfn.AGGREGATE(15, 6, (COLUMN(CI103:CT103)-COLUMN(CI103)+1)/(CI103:CT103&lt;&gt;0), 1), 1),"N/A")</f>
        <v>46357</v>
      </c>
      <c r="AR103" s="80" cm="1">
        <f t="array" ref="AR103">IFERROR(EOMONTH(DATE(2026, _xlfn.AGGREGATE(14, 6, (COLUMN(CI103:CT103)-COLUMN(CI103)+1)/(CI103:CT103&lt;&gt;0), 1), 1), 0),"N/A")</f>
        <v>46387</v>
      </c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398" t="s">
        <v>604</v>
      </c>
      <c r="BG103" s="74"/>
      <c r="BH103" s="398" t="s">
        <v>1112</v>
      </c>
      <c r="BI103" s="74" t="s">
        <v>137</v>
      </c>
      <c r="BJ103" s="399">
        <v>530803</v>
      </c>
      <c r="BK103" s="400" t="s">
        <v>74</v>
      </c>
      <c r="BL103" s="83"/>
      <c r="BM103" s="73"/>
      <c r="BN103" s="73"/>
      <c r="BO103" s="84"/>
      <c r="BP103" s="72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>
        <v>500</v>
      </c>
      <c r="CC103" s="84"/>
      <c r="CD103" s="84"/>
      <c r="CE103" s="84"/>
      <c r="CF103" s="84"/>
      <c r="CG103" s="84"/>
      <c r="CH103" s="403">
        <f t="shared" si="2"/>
        <v>500</v>
      </c>
      <c r="CI103" s="73"/>
      <c r="CJ103" s="73"/>
      <c r="CK103" s="84"/>
      <c r="CL103" s="72"/>
      <c r="CM103" s="84"/>
      <c r="CN103" s="84"/>
      <c r="CO103" s="84"/>
      <c r="CP103" s="84"/>
      <c r="CQ103" s="84"/>
      <c r="CR103" s="84"/>
      <c r="CS103" s="84"/>
      <c r="CT103" s="404">
        <v>500</v>
      </c>
      <c r="CU103" s="404"/>
      <c r="CV103" s="404">
        <f t="shared" si="3"/>
        <v>0</v>
      </c>
      <c r="CW103" s="404"/>
      <c r="CX103" s="398"/>
      <c r="CY103" s="398"/>
      <c r="CZ103" s="398"/>
      <c r="DA103" s="398"/>
      <c r="DB103" s="398"/>
      <c r="DC103" s="398"/>
      <c r="DD103" s="398"/>
    </row>
    <row r="104" spans="1:108" s="402" customFormat="1" ht="15" hidden="1" customHeight="1" x14ac:dyDescent="0.25">
      <c r="A104" s="398" t="s">
        <v>690</v>
      </c>
      <c r="B104" s="74" t="s">
        <v>154</v>
      </c>
      <c r="C104" s="74" t="s">
        <v>172</v>
      </c>
      <c r="D104" s="74" t="s">
        <v>196</v>
      </c>
      <c r="E104" s="74" t="s">
        <v>309</v>
      </c>
      <c r="F104" s="74" t="s">
        <v>550</v>
      </c>
      <c r="G104" s="74" t="s">
        <v>137</v>
      </c>
      <c r="H104" s="74" t="s">
        <v>137</v>
      </c>
      <c r="I104" s="74" t="s">
        <v>66</v>
      </c>
      <c r="J104" s="74" t="s">
        <v>29</v>
      </c>
      <c r="K104" s="82" t="s">
        <v>137</v>
      </c>
      <c r="L104" s="82" t="s">
        <v>137</v>
      </c>
      <c r="M104" s="82" t="s">
        <v>137</v>
      </c>
      <c r="N104" s="82" t="s">
        <v>137</v>
      </c>
      <c r="O104" s="82" t="s">
        <v>137</v>
      </c>
      <c r="P104" s="82" t="s">
        <v>137</v>
      </c>
      <c r="Q104" s="74" t="s">
        <v>87</v>
      </c>
      <c r="R104" s="74" t="s">
        <v>709</v>
      </c>
      <c r="S104" s="74" t="s">
        <v>40</v>
      </c>
      <c r="T104" s="74" t="s">
        <v>2</v>
      </c>
      <c r="U104" s="75"/>
      <c r="V104" s="75">
        <v>0.05</v>
      </c>
      <c r="W104" s="75">
        <v>0.08</v>
      </c>
      <c r="X104" s="75">
        <v>0.15</v>
      </c>
      <c r="Y104" s="75">
        <v>0.2</v>
      </c>
      <c r="Z104" s="75">
        <v>0.25</v>
      </c>
      <c r="AA104" s="75">
        <v>0.37</v>
      </c>
      <c r="AB104" s="75">
        <v>0.42</v>
      </c>
      <c r="AC104" s="75">
        <v>0.57999999999999996</v>
      </c>
      <c r="AD104" s="75">
        <v>0.67</v>
      </c>
      <c r="AE104" s="75">
        <v>0.83</v>
      </c>
      <c r="AF104" s="75">
        <v>1</v>
      </c>
      <c r="AG104" s="74" t="s">
        <v>533</v>
      </c>
      <c r="AH104" s="74" t="s">
        <v>530</v>
      </c>
      <c r="AI104" s="78" t="s">
        <v>539</v>
      </c>
      <c r="AJ104" s="79" t="s">
        <v>539</v>
      </c>
      <c r="AK104" s="80">
        <v>46023</v>
      </c>
      <c r="AL104" s="80">
        <v>46387</v>
      </c>
      <c r="AM104" s="79"/>
      <c r="AN104" s="79"/>
      <c r="AO104" s="79"/>
      <c r="AP104" s="81" t="s">
        <v>540</v>
      </c>
      <c r="AQ104" s="80" cm="1">
        <f t="array" ref="AQ104">IFERROR(DATE(2026, _xlfn.AGGREGATE(15, 6, (COLUMN(CI104:CT104)-COLUMN(CI104)+1)/(CI104:CT104&lt;&gt;0), 1), 1),"N/A")</f>
        <v>46357</v>
      </c>
      <c r="AR104" s="80" cm="1">
        <f t="array" ref="AR104">IFERROR(EOMONTH(DATE(2026, _xlfn.AGGREGATE(14, 6, (COLUMN(CI104:CT104)-COLUMN(CI104)+1)/(CI104:CT104&lt;&gt;0), 1), 1), 0),"N/A")</f>
        <v>46387</v>
      </c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398" t="s">
        <v>604</v>
      </c>
      <c r="BG104" s="74"/>
      <c r="BH104" s="398" t="s">
        <v>1111</v>
      </c>
      <c r="BI104" s="74" t="s">
        <v>137</v>
      </c>
      <c r="BJ104" s="399">
        <v>530813</v>
      </c>
      <c r="BK104" s="400" t="s">
        <v>74</v>
      </c>
      <c r="BL104" s="83"/>
      <c r="BM104" s="73"/>
      <c r="BN104" s="73"/>
      <c r="BO104" s="84"/>
      <c r="BP104" s="72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>
        <v>1000</v>
      </c>
      <c r="CC104" s="84"/>
      <c r="CD104" s="84"/>
      <c r="CE104" s="84"/>
      <c r="CF104" s="84"/>
      <c r="CG104" s="84"/>
      <c r="CH104" s="403">
        <f t="shared" si="2"/>
        <v>1000</v>
      </c>
      <c r="CI104" s="73"/>
      <c r="CJ104" s="73"/>
      <c r="CK104" s="84"/>
      <c r="CL104" s="72"/>
      <c r="CM104" s="84"/>
      <c r="CN104" s="84"/>
      <c r="CO104" s="84"/>
      <c r="CP104" s="84"/>
      <c r="CQ104" s="84"/>
      <c r="CR104" s="84"/>
      <c r="CS104" s="84"/>
      <c r="CT104" s="404">
        <v>1000</v>
      </c>
      <c r="CU104" s="404"/>
      <c r="CV104" s="404">
        <f t="shared" si="3"/>
        <v>0</v>
      </c>
      <c r="CW104" s="404"/>
      <c r="CX104" s="398"/>
      <c r="CY104" s="398"/>
      <c r="CZ104" s="398"/>
      <c r="DA104" s="398"/>
      <c r="DB104" s="398"/>
      <c r="DC104" s="398"/>
      <c r="DD104" s="398"/>
    </row>
    <row r="105" spans="1:108" s="402" customFormat="1" ht="15" hidden="1" customHeight="1" x14ac:dyDescent="0.25">
      <c r="A105" s="398" t="s">
        <v>690</v>
      </c>
      <c r="B105" s="74" t="s">
        <v>154</v>
      </c>
      <c r="C105" s="74" t="s">
        <v>172</v>
      </c>
      <c r="D105" s="74" t="s">
        <v>196</v>
      </c>
      <c r="E105" s="74" t="s">
        <v>309</v>
      </c>
      <c r="F105" s="74" t="s">
        <v>550</v>
      </c>
      <c r="G105" s="74" t="s">
        <v>137</v>
      </c>
      <c r="H105" s="74" t="s">
        <v>137</v>
      </c>
      <c r="I105" s="74" t="s">
        <v>66</v>
      </c>
      <c r="J105" s="74" t="s">
        <v>29</v>
      </c>
      <c r="K105" s="82" t="s">
        <v>137</v>
      </c>
      <c r="L105" s="82" t="s">
        <v>137</v>
      </c>
      <c r="M105" s="82" t="s">
        <v>137</v>
      </c>
      <c r="N105" s="82" t="s">
        <v>137</v>
      </c>
      <c r="O105" s="82" t="s">
        <v>137</v>
      </c>
      <c r="P105" s="82" t="s">
        <v>137</v>
      </c>
      <c r="Q105" s="74" t="s">
        <v>87</v>
      </c>
      <c r="R105" s="74" t="s">
        <v>709</v>
      </c>
      <c r="S105" s="74" t="s">
        <v>40</v>
      </c>
      <c r="T105" s="74" t="s">
        <v>2</v>
      </c>
      <c r="U105" s="75"/>
      <c r="V105" s="75">
        <v>0.05</v>
      </c>
      <c r="W105" s="75">
        <v>0.08</v>
      </c>
      <c r="X105" s="75">
        <v>0.15</v>
      </c>
      <c r="Y105" s="75">
        <v>0.2</v>
      </c>
      <c r="Z105" s="75">
        <v>0.25</v>
      </c>
      <c r="AA105" s="75">
        <v>0.37</v>
      </c>
      <c r="AB105" s="75">
        <v>0.42</v>
      </c>
      <c r="AC105" s="75">
        <v>0.57999999999999996</v>
      </c>
      <c r="AD105" s="75">
        <v>0.67</v>
      </c>
      <c r="AE105" s="75">
        <v>0.83</v>
      </c>
      <c r="AF105" s="75">
        <v>1</v>
      </c>
      <c r="AG105" s="74" t="s">
        <v>533</v>
      </c>
      <c r="AH105" s="74" t="s">
        <v>530</v>
      </c>
      <c r="AI105" s="78" t="s">
        <v>539</v>
      </c>
      <c r="AJ105" s="79" t="s">
        <v>539</v>
      </c>
      <c r="AK105" s="80">
        <v>46023</v>
      </c>
      <c r="AL105" s="80">
        <v>46387</v>
      </c>
      <c r="AM105" s="79"/>
      <c r="AN105" s="79"/>
      <c r="AO105" s="79"/>
      <c r="AP105" s="81" t="s">
        <v>540</v>
      </c>
      <c r="AQ105" s="80" cm="1">
        <f t="array" ref="AQ105">IFERROR(DATE(2026, _xlfn.AGGREGATE(15, 6, (COLUMN(CI105:CT105)-COLUMN(CI105)+1)/(CI105:CT105&lt;&gt;0), 1), 1),"N/A")</f>
        <v>46357</v>
      </c>
      <c r="AR105" s="80" cm="1">
        <f t="array" ref="AR105">IFERROR(EOMONTH(DATE(2026, _xlfn.AGGREGATE(14, 6, (COLUMN(CI105:CT105)-COLUMN(CI105)+1)/(CI105:CT105&lt;&gt;0), 1), 1), 0),"N/A")</f>
        <v>46387</v>
      </c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398" t="s">
        <v>605</v>
      </c>
      <c r="BG105" s="74"/>
      <c r="BH105" s="398" t="s">
        <v>825</v>
      </c>
      <c r="BI105" s="74" t="s">
        <v>137</v>
      </c>
      <c r="BJ105" s="399">
        <v>530405</v>
      </c>
      <c r="BK105" s="400" t="s">
        <v>74</v>
      </c>
      <c r="BL105" s="83">
        <v>2500</v>
      </c>
      <c r="BM105" s="73">
        <v>0</v>
      </c>
      <c r="BN105" s="73">
        <v>0</v>
      </c>
      <c r="BO105" s="84">
        <v>250</v>
      </c>
      <c r="BP105" s="72">
        <v>250</v>
      </c>
      <c r="BQ105" s="84">
        <v>250</v>
      </c>
      <c r="BR105" s="84">
        <v>250</v>
      </c>
      <c r="BS105" s="84">
        <v>250</v>
      </c>
      <c r="BT105" s="84">
        <v>250</v>
      </c>
      <c r="BU105" s="84">
        <v>250</v>
      </c>
      <c r="BV105" s="84">
        <v>250</v>
      </c>
      <c r="BW105" s="84">
        <v>250</v>
      </c>
      <c r="BX105" s="84">
        <v>250</v>
      </c>
      <c r="BY105" s="84"/>
      <c r="BZ105" s="84"/>
      <c r="CA105" s="84"/>
      <c r="CB105" s="84">
        <v>-1200</v>
      </c>
      <c r="CC105" s="84"/>
      <c r="CD105" s="84"/>
      <c r="CE105" s="84"/>
      <c r="CF105" s="84"/>
      <c r="CG105" s="84"/>
      <c r="CH105" s="403">
        <f t="shared" si="2"/>
        <v>1300</v>
      </c>
      <c r="CI105" s="73"/>
      <c r="CJ105" s="73"/>
      <c r="CK105" s="84"/>
      <c r="CL105" s="72"/>
      <c r="CM105" s="84"/>
      <c r="CN105" s="84"/>
      <c r="CO105" s="84"/>
      <c r="CP105" s="84"/>
      <c r="CQ105" s="84"/>
      <c r="CR105" s="84"/>
      <c r="CS105" s="84"/>
      <c r="CT105" s="404">
        <v>1300</v>
      </c>
      <c r="CU105" s="404"/>
      <c r="CV105" s="404">
        <f t="shared" si="3"/>
        <v>0</v>
      </c>
      <c r="CW105" s="404"/>
      <c r="CX105" s="398"/>
      <c r="CY105" s="398"/>
      <c r="CZ105" s="398"/>
      <c r="DA105" s="398"/>
      <c r="DB105" s="398"/>
      <c r="DC105" s="398"/>
      <c r="DD105" s="398"/>
    </row>
    <row r="106" spans="1:108" s="402" customFormat="1" ht="15" hidden="1" customHeight="1" x14ac:dyDescent="0.25">
      <c r="A106" s="398" t="s">
        <v>690</v>
      </c>
      <c r="B106" s="74" t="s">
        <v>154</v>
      </c>
      <c r="C106" s="74" t="s">
        <v>172</v>
      </c>
      <c r="D106" s="74" t="s">
        <v>196</v>
      </c>
      <c r="E106" s="74" t="s">
        <v>309</v>
      </c>
      <c r="F106" s="74" t="s">
        <v>550</v>
      </c>
      <c r="G106" s="74" t="s">
        <v>137</v>
      </c>
      <c r="H106" s="74" t="s">
        <v>137</v>
      </c>
      <c r="I106" s="74" t="s">
        <v>66</v>
      </c>
      <c r="J106" s="74" t="s">
        <v>29</v>
      </c>
      <c r="K106" s="82" t="s">
        <v>137</v>
      </c>
      <c r="L106" s="82" t="s">
        <v>137</v>
      </c>
      <c r="M106" s="82" t="s">
        <v>137</v>
      </c>
      <c r="N106" s="82" t="s">
        <v>137</v>
      </c>
      <c r="O106" s="82" t="s">
        <v>137</v>
      </c>
      <c r="P106" s="82" t="s">
        <v>137</v>
      </c>
      <c r="Q106" s="74" t="s">
        <v>87</v>
      </c>
      <c r="R106" s="74" t="s">
        <v>709</v>
      </c>
      <c r="S106" s="74" t="s">
        <v>40</v>
      </c>
      <c r="T106" s="74" t="s">
        <v>2</v>
      </c>
      <c r="U106" s="75"/>
      <c r="V106" s="75">
        <v>0.05</v>
      </c>
      <c r="W106" s="75">
        <v>0.08</v>
      </c>
      <c r="X106" s="75">
        <v>0.15</v>
      </c>
      <c r="Y106" s="75">
        <v>0.2</v>
      </c>
      <c r="Z106" s="75">
        <v>0.25</v>
      </c>
      <c r="AA106" s="75">
        <v>0.37</v>
      </c>
      <c r="AB106" s="75">
        <v>0.42</v>
      </c>
      <c r="AC106" s="75">
        <v>0.57999999999999996</v>
      </c>
      <c r="AD106" s="75">
        <v>0.67</v>
      </c>
      <c r="AE106" s="75">
        <v>0.83</v>
      </c>
      <c r="AF106" s="75">
        <v>1</v>
      </c>
      <c r="AG106" s="74" t="s">
        <v>533</v>
      </c>
      <c r="AH106" s="74" t="s">
        <v>530</v>
      </c>
      <c r="AI106" s="78" t="s">
        <v>539</v>
      </c>
      <c r="AJ106" s="79" t="s">
        <v>539</v>
      </c>
      <c r="AK106" s="80">
        <v>46023</v>
      </c>
      <c r="AL106" s="80">
        <v>46387</v>
      </c>
      <c r="AM106" s="79"/>
      <c r="AN106" s="79"/>
      <c r="AO106" s="79"/>
      <c r="AP106" s="81" t="s">
        <v>540</v>
      </c>
      <c r="AQ106" s="80" cm="1">
        <f t="array" ref="AQ106">IFERROR(DATE(2026, _xlfn.AGGREGATE(15, 6, (COLUMN(CI106:CT106)-COLUMN(CI106)+1)/(CI106:CT106&lt;&gt;0), 1), 1),"N/A")</f>
        <v>46357</v>
      </c>
      <c r="AR106" s="80" cm="1">
        <f t="array" ref="AR106">IFERROR(EOMONTH(DATE(2026, _xlfn.AGGREGATE(14, 6, (COLUMN(CI106:CT106)-COLUMN(CI106)+1)/(CI106:CT106&lt;&gt;0), 1), 1), 0),"N/A")</f>
        <v>46387</v>
      </c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398" t="s">
        <v>605</v>
      </c>
      <c r="BG106" s="74"/>
      <c r="BH106" s="398" t="s">
        <v>1110</v>
      </c>
      <c r="BI106" s="74" t="s">
        <v>137</v>
      </c>
      <c r="BJ106" s="399">
        <v>530803</v>
      </c>
      <c r="BK106" s="400" t="s">
        <v>74</v>
      </c>
      <c r="BL106" s="83"/>
      <c r="BM106" s="73"/>
      <c r="BN106" s="73"/>
      <c r="BO106" s="84"/>
      <c r="BP106" s="72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>
        <v>400</v>
      </c>
      <c r="CC106" s="84"/>
      <c r="CD106" s="84"/>
      <c r="CE106" s="84"/>
      <c r="CF106" s="84"/>
      <c r="CG106" s="84"/>
      <c r="CH106" s="403">
        <f t="shared" si="2"/>
        <v>400</v>
      </c>
      <c r="CI106" s="73"/>
      <c r="CJ106" s="73"/>
      <c r="CK106" s="84"/>
      <c r="CL106" s="72"/>
      <c r="CM106" s="84"/>
      <c r="CN106" s="84"/>
      <c r="CO106" s="84"/>
      <c r="CP106" s="84"/>
      <c r="CQ106" s="84"/>
      <c r="CR106" s="84"/>
      <c r="CS106" s="84"/>
      <c r="CT106" s="404">
        <v>400</v>
      </c>
      <c r="CU106" s="404"/>
      <c r="CV106" s="404">
        <f t="shared" si="3"/>
        <v>0</v>
      </c>
      <c r="CW106" s="404"/>
      <c r="CX106" s="398"/>
      <c r="CY106" s="398"/>
      <c r="CZ106" s="398"/>
      <c r="DA106" s="398"/>
      <c r="DB106" s="398"/>
      <c r="DC106" s="398"/>
      <c r="DD106" s="398"/>
    </row>
    <row r="107" spans="1:108" s="402" customFormat="1" ht="15" hidden="1" customHeight="1" x14ac:dyDescent="0.25">
      <c r="A107" s="398" t="s">
        <v>690</v>
      </c>
      <c r="B107" s="74" t="s">
        <v>154</v>
      </c>
      <c r="C107" s="74" t="s">
        <v>172</v>
      </c>
      <c r="D107" s="74" t="s">
        <v>196</v>
      </c>
      <c r="E107" s="74" t="s">
        <v>309</v>
      </c>
      <c r="F107" s="74" t="s">
        <v>550</v>
      </c>
      <c r="G107" s="74" t="s">
        <v>137</v>
      </c>
      <c r="H107" s="74" t="s">
        <v>137</v>
      </c>
      <c r="I107" s="74" t="s">
        <v>66</v>
      </c>
      <c r="J107" s="74" t="s">
        <v>29</v>
      </c>
      <c r="K107" s="82" t="s">
        <v>137</v>
      </c>
      <c r="L107" s="82" t="s">
        <v>137</v>
      </c>
      <c r="M107" s="82" t="s">
        <v>137</v>
      </c>
      <c r="N107" s="82" t="s">
        <v>137</v>
      </c>
      <c r="O107" s="82" t="s">
        <v>137</v>
      </c>
      <c r="P107" s="82" t="s">
        <v>137</v>
      </c>
      <c r="Q107" s="74" t="s">
        <v>87</v>
      </c>
      <c r="R107" s="74" t="s">
        <v>709</v>
      </c>
      <c r="S107" s="74" t="s">
        <v>40</v>
      </c>
      <c r="T107" s="74" t="s">
        <v>2</v>
      </c>
      <c r="U107" s="75"/>
      <c r="V107" s="75">
        <v>0.05</v>
      </c>
      <c r="W107" s="75">
        <v>0.08</v>
      </c>
      <c r="X107" s="75">
        <v>0.15</v>
      </c>
      <c r="Y107" s="75">
        <v>0.2</v>
      </c>
      <c r="Z107" s="75">
        <v>0.25</v>
      </c>
      <c r="AA107" s="75">
        <v>0.37</v>
      </c>
      <c r="AB107" s="75">
        <v>0.42</v>
      </c>
      <c r="AC107" s="75">
        <v>0.57999999999999996</v>
      </c>
      <c r="AD107" s="75">
        <v>0.67</v>
      </c>
      <c r="AE107" s="75">
        <v>0.83</v>
      </c>
      <c r="AF107" s="75">
        <v>1</v>
      </c>
      <c r="AG107" s="74" t="s">
        <v>533</v>
      </c>
      <c r="AH107" s="74" t="s">
        <v>530</v>
      </c>
      <c r="AI107" s="78" t="s">
        <v>539</v>
      </c>
      <c r="AJ107" s="79" t="s">
        <v>539</v>
      </c>
      <c r="AK107" s="80">
        <v>46023</v>
      </c>
      <c r="AL107" s="80">
        <v>46387</v>
      </c>
      <c r="AM107" s="79"/>
      <c r="AN107" s="79"/>
      <c r="AO107" s="79"/>
      <c r="AP107" s="81" t="s">
        <v>540</v>
      </c>
      <c r="AQ107" s="80" cm="1">
        <f t="array" ref="AQ107">IFERROR(DATE(2026, _xlfn.AGGREGATE(15, 6, (COLUMN(CI107:CT107)-COLUMN(CI107)+1)/(CI107:CT107&lt;&gt;0), 1), 1),"N/A")</f>
        <v>46357</v>
      </c>
      <c r="AR107" s="80" cm="1">
        <f t="array" ref="AR107">IFERROR(EOMONTH(DATE(2026, _xlfn.AGGREGATE(14, 6, (COLUMN(CI107:CT107)-COLUMN(CI107)+1)/(CI107:CT107&lt;&gt;0), 1), 1), 0),"N/A")</f>
        <v>46387</v>
      </c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398" t="s">
        <v>605</v>
      </c>
      <c r="BG107" s="74"/>
      <c r="BH107" s="398" t="s">
        <v>1117</v>
      </c>
      <c r="BI107" s="74" t="s">
        <v>137</v>
      </c>
      <c r="BJ107" s="399">
        <v>530813</v>
      </c>
      <c r="BK107" s="400" t="s">
        <v>74</v>
      </c>
      <c r="BL107" s="83"/>
      <c r="BM107" s="73"/>
      <c r="BN107" s="73"/>
      <c r="BO107" s="84"/>
      <c r="BP107" s="72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>
        <v>800</v>
      </c>
      <c r="CC107" s="84"/>
      <c r="CD107" s="84"/>
      <c r="CE107" s="84"/>
      <c r="CF107" s="84"/>
      <c r="CG107" s="84"/>
      <c r="CH107" s="403">
        <f t="shared" si="2"/>
        <v>800</v>
      </c>
      <c r="CI107" s="73"/>
      <c r="CJ107" s="73"/>
      <c r="CK107" s="84"/>
      <c r="CL107" s="72"/>
      <c r="CM107" s="84"/>
      <c r="CN107" s="84"/>
      <c r="CO107" s="84"/>
      <c r="CP107" s="84"/>
      <c r="CQ107" s="84"/>
      <c r="CR107" s="84"/>
      <c r="CS107" s="84"/>
      <c r="CT107" s="404">
        <v>800</v>
      </c>
      <c r="CU107" s="404"/>
      <c r="CV107" s="404">
        <f t="shared" si="3"/>
        <v>0</v>
      </c>
      <c r="CW107" s="404"/>
      <c r="CX107" s="398"/>
      <c r="CY107" s="398"/>
      <c r="CZ107" s="398"/>
      <c r="DA107" s="398"/>
      <c r="DB107" s="398"/>
      <c r="DC107" s="398"/>
      <c r="DD107" s="398"/>
    </row>
    <row r="108" spans="1:108" s="68" customFormat="1" ht="15" hidden="1" customHeight="1" x14ac:dyDescent="0.25">
      <c r="A108" s="74" t="s">
        <v>696</v>
      </c>
      <c r="B108" s="74" t="s">
        <v>154</v>
      </c>
      <c r="C108" s="74" t="s">
        <v>172</v>
      </c>
      <c r="D108" s="74" t="s">
        <v>196</v>
      </c>
      <c r="E108" s="74" t="s">
        <v>309</v>
      </c>
      <c r="F108" s="74" t="s">
        <v>550</v>
      </c>
      <c r="G108" s="74" t="s">
        <v>137</v>
      </c>
      <c r="H108" s="74" t="s">
        <v>137</v>
      </c>
      <c r="I108" s="74" t="s">
        <v>66</v>
      </c>
      <c r="J108" s="74" t="s">
        <v>29</v>
      </c>
      <c r="K108" s="82" t="s">
        <v>137</v>
      </c>
      <c r="L108" s="82" t="s">
        <v>137</v>
      </c>
      <c r="M108" s="82" t="s">
        <v>137</v>
      </c>
      <c r="N108" s="82" t="s">
        <v>137</v>
      </c>
      <c r="O108" s="82" t="s">
        <v>137</v>
      </c>
      <c r="P108" s="82" t="s">
        <v>137</v>
      </c>
      <c r="Q108" s="74" t="s">
        <v>87</v>
      </c>
      <c r="R108" s="74" t="s">
        <v>709</v>
      </c>
      <c r="S108" s="74" t="s">
        <v>40</v>
      </c>
      <c r="T108" s="74" t="s">
        <v>2</v>
      </c>
      <c r="U108" s="75"/>
      <c r="V108" s="75">
        <v>0.05</v>
      </c>
      <c r="W108" s="75">
        <v>0.08</v>
      </c>
      <c r="X108" s="75">
        <v>0.15</v>
      </c>
      <c r="Y108" s="75">
        <v>0.2</v>
      </c>
      <c r="Z108" s="75">
        <v>0.25</v>
      </c>
      <c r="AA108" s="75">
        <v>0.37</v>
      </c>
      <c r="AB108" s="75">
        <v>0.42</v>
      </c>
      <c r="AC108" s="75">
        <v>0.57999999999999996</v>
      </c>
      <c r="AD108" s="75">
        <v>0.67</v>
      </c>
      <c r="AE108" s="75">
        <v>0.83</v>
      </c>
      <c r="AF108" s="75">
        <v>1</v>
      </c>
      <c r="AG108" s="74" t="s">
        <v>533</v>
      </c>
      <c r="AH108" s="74" t="s">
        <v>530</v>
      </c>
      <c r="AI108" s="78" t="s">
        <v>539</v>
      </c>
      <c r="AJ108" s="79" t="s">
        <v>539</v>
      </c>
      <c r="AK108" s="80">
        <v>46023</v>
      </c>
      <c r="AL108" s="80">
        <v>46387</v>
      </c>
      <c r="AM108" s="79"/>
      <c r="AN108" s="79"/>
      <c r="AO108" s="79"/>
      <c r="AP108" s="81" t="s">
        <v>540</v>
      </c>
      <c r="AQ108" s="80" cm="1">
        <f t="array" ref="AQ108">IFERROR(DATE(2026, _xlfn.AGGREGATE(15, 6, (COLUMN(CI108:CT108)-COLUMN(CI108)+1)/(CI108:CT108&lt;&gt;0), 1), 1),"N/A")</f>
        <v>46023</v>
      </c>
      <c r="AR108" s="80" cm="1">
        <f t="array" ref="AR108">IFERROR(EOMONTH(DATE(2026, _xlfn.AGGREGATE(14, 6, (COLUMN(CI108:CT108)-COLUMN(CI108)+1)/(CI108:CT108&lt;&gt;0), 1), 1), 0),"N/A")</f>
        <v>46387</v>
      </c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4" t="s">
        <v>662</v>
      </c>
      <c r="BG108" s="74"/>
      <c r="BH108" s="74" t="s">
        <v>755</v>
      </c>
      <c r="BI108" s="74" t="s">
        <v>137</v>
      </c>
      <c r="BJ108" s="78">
        <v>580101</v>
      </c>
      <c r="BK108" s="82" t="s">
        <v>74</v>
      </c>
      <c r="BL108" s="83">
        <v>29000</v>
      </c>
      <c r="BM108" s="84">
        <v>2416.67</v>
      </c>
      <c r="BN108" s="84">
        <v>2416.67</v>
      </c>
      <c r="BO108" s="84">
        <v>2416.67</v>
      </c>
      <c r="BP108" s="72">
        <v>2416.67</v>
      </c>
      <c r="BQ108" s="84">
        <v>2416.67</v>
      </c>
      <c r="BR108" s="84">
        <v>2416.67</v>
      </c>
      <c r="BS108" s="84">
        <v>2416.67</v>
      </c>
      <c r="BT108" s="84">
        <v>2416.67</v>
      </c>
      <c r="BU108" s="84">
        <v>2416.67</v>
      </c>
      <c r="BV108" s="84">
        <v>2416.67</v>
      </c>
      <c r="BW108" s="84">
        <v>2416.67</v>
      </c>
      <c r="BX108" s="84">
        <v>2416.63</v>
      </c>
      <c r="BY108" s="84"/>
      <c r="BZ108" s="84"/>
      <c r="CA108" s="84"/>
      <c r="CB108" s="84"/>
      <c r="CC108" s="84"/>
      <c r="CD108" s="84"/>
      <c r="CE108" s="84"/>
      <c r="CF108" s="84"/>
      <c r="CG108" s="84"/>
      <c r="CH108" s="73">
        <f t="shared" si="2"/>
        <v>29000</v>
      </c>
      <c r="CI108" s="84">
        <v>2416.67</v>
      </c>
      <c r="CJ108" s="84">
        <v>2416.67</v>
      </c>
      <c r="CK108" s="84">
        <v>2416.67</v>
      </c>
      <c r="CL108" s="72">
        <v>2416.67</v>
      </c>
      <c r="CM108" s="84">
        <v>2416.67</v>
      </c>
      <c r="CN108" s="84">
        <v>2416.67</v>
      </c>
      <c r="CO108" s="84">
        <v>2416.67</v>
      </c>
      <c r="CP108" s="84">
        <v>2416.67</v>
      </c>
      <c r="CQ108" s="84">
        <v>2416.67</v>
      </c>
      <c r="CR108" s="84">
        <v>2416.67</v>
      </c>
      <c r="CS108" s="84">
        <v>2416.67</v>
      </c>
      <c r="CT108" s="84">
        <v>2416.63</v>
      </c>
      <c r="CU108" s="84"/>
      <c r="CV108" s="84">
        <f t="shared" si="3"/>
        <v>0</v>
      </c>
      <c r="CW108" s="84"/>
      <c r="CX108" s="74"/>
      <c r="CY108" s="74"/>
      <c r="CZ108" s="74"/>
      <c r="DA108" s="74"/>
      <c r="DB108" s="74"/>
      <c r="DC108" s="74"/>
      <c r="DD108" s="74"/>
    </row>
    <row r="109" spans="1:108" s="402" customFormat="1" ht="15" hidden="1" customHeight="1" x14ac:dyDescent="0.25">
      <c r="A109" s="398" t="s">
        <v>690</v>
      </c>
      <c r="B109" s="74" t="s">
        <v>154</v>
      </c>
      <c r="C109" s="74" t="s">
        <v>172</v>
      </c>
      <c r="D109" s="74" t="s">
        <v>196</v>
      </c>
      <c r="E109" s="74" t="s">
        <v>309</v>
      </c>
      <c r="F109" s="74" t="s">
        <v>550</v>
      </c>
      <c r="G109" s="74" t="s">
        <v>137</v>
      </c>
      <c r="H109" s="74" t="s">
        <v>137</v>
      </c>
      <c r="I109" s="74" t="s">
        <v>66</v>
      </c>
      <c r="J109" s="74" t="s">
        <v>29</v>
      </c>
      <c r="K109" s="82" t="s">
        <v>137</v>
      </c>
      <c r="L109" s="82" t="s">
        <v>137</v>
      </c>
      <c r="M109" s="82" t="s">
        <v>137</v>
      </c>
      <c r="N109" s="82" t="s">
        <v>137</v>
      </c>
      <c r="O109" s="82" t="s">
        <v>137</v>
      </c>
      <c r="P109" s="82" t="s">
        <v>137</v>
      </c>
      <c r="Q109" s="74" t="s">
        <v>87</v>
      </c>
      <c r="R109" s="74" t="s">
        <v>709</v>
      </c>
      <c r="S109" s="74" t="s">
        <v>40</v>
      </c>
      <c r="T109" s="74" t="s">
        <v>2</v>
      </c>
      <c r="U109" s="75"/>
      <c r="V109" s="75">
        <v>0.05</v>
      </c>
      <c r="W109" s="75">
        <v>0.08</v>
      </c>
      <c r="X109" s="75">
        <v>0.15</v>
      </c>
      <c r="Y109" s="75">
        <v>0.2</v>
      </c>
      <c r="Z109" s="75">
        <v>0.25</v>
      </c>
      <c r="AA109" s="75">
        <v>0.37</v>
      </c>
      <c r="AB109" s="75">
        <v>0.42</v>
      </c>
      <c r="AC109" s="75">
        <v>0.57999999999999996</v>
      </c>
      <c r="AD109" s="75">
        <v>0.67</v>
      </c>
      <c r="AE109" s="75">
        <v>0.83</v>
      </c>
      <c r="AF109" s="75">
        <v>1</v>
      </c>
      <c r="AG109" s="74" t="s">
        <v>533</v>
      </c>
      <c r="AH109" s="74" t="s">
        <v>530</v>
      </c>
      <c r="AI109" s="78" t="s">
        <v>539</v>
      </c>
      <c r="AJ109" s="79" t="s">
        <v>539</v>
      </c>
      <c r="AK109" s="80">
        <v>46023</v>
      </c>
      <c r="AL109" s="80">
        <v>46387</v>
      </c>
      <c r="AM109" s="79"/>
      <c r="AN109" s="79"/>
      <c r="AO109" s="79"/>
      <c r="AP109" s="81" t="s">
        <v>540</v>
      </c>
      <c r="AQ109" s="80" cm="1">
        <f t="array" ref="AQ109">IFERROR(DATE(2026, _xlfn.AGGREGATE(15, 6, (COLUMN(CI109:CT109)-COLUMN(CI109)+1)/(CI109:CT109&lt;&gt;0), 1), 1),"N/A")</f>
        <v>46054</v>
      </c>
      <c r="AR109" s="80" cm="1">
        <f t="array" ref="AR109">IFERROR(EOMONTH(DATE(2026, _xlfn.AGGREGATE(14, 6, (COLUMN(CI109:CT109)-COLUMN(CI109)+1)/(CI109:CT109&lt;&gt;0), 1), 1), 0),"N/A")</f>
        <v>46081</v>
      </c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398" t="s">
        <v>990</v>
      </c>
      <c r="BG109" s="74"/>
      <c r="BH109" s="398" t="s">
        <v>991</v>
      </c>
      <c r="BI109" s="74" t="s">
        <v>137</v>
      </c>
      <c r="BJ109" s="399">
        <v>530606</v>
      </c>
      <c r="BK109" s="400" t="s">
        <v>74</v>
      </c>
      <c r="BL109" s="83">
        <v>0</v>
      </c>
      <c r="BM109" s="73"/>
      <c r="BN109" s="73"/>
      <c r="BO109" s="84"/>
      <c r="BP109" s="72"/>
      <c r="BQ109" s="84"/>
      <c r="BR109" s="84"/>
      <c r="BS109" s="84"/>
      <c r="BT109" s="84"/>
      <c r="BU109" s="84"/>
      <c r="BV109" s="84"/>
      <c r="BW109" s="84"/>
      <c r="BX109" s="84"/>
      <c r="BY109" s="84">
        <v>1100</v>
      </c>
      <c r="BZ109" s="84"/>
      <c r="CA109" s="84"/>
      <c r="CB109" s="84"/>
      <c r="CC109" s="84"/>
      <c r="CD109" s="84"/>
      <c r="CE109" s="84"/>
      <c r="CF109" s="84"/>
      <c r="CG109" s="84"/>
      <c r="CH109" s="403">
        <f t="shared" si="2"/>
        <v>1100</v>
      </c>
      <c r="CI109" s="73"/>
      <c r="CJ109" s="73">
        <v>1100</v>
      </c>
      <c r="CK109" s="84"/>
      <c r="CL109" s="72"/>
      <c r="CM109" s="84"/>
      <c r="CN109" s="84"/>
      <c r="CO109" s="84"/>
      <c r="CP109" s="84"/>
      <c r="CQ109" s="84"/>
      <c r="CR109" s="84"/>
      <c r="CS109" s="84"/>
      <c r="CT109" s="404"/>
      <c r="CU109" s="404"/>
      <c r="CV109" s="404">
        <f t="shared" si="3"/>
        <v>0</v>
      </c>
      <c r="CW109" s="404"/>
      <c r="CX109" s="398"/>
      <c r="CY109" s="398"/>
      <c r="CZ109" s="398"/>
      <c r="DA109" s="398"/>
      <c r="DB109" s="398"/>
      <c r="DC109" s="398"/>
      <c r="DD109" s="398"/>
    </row>
    <row r="110" spans="1:108" s="402" customFormat="1" ht="15" hidden="1" customHeight="1" x14ac:dyDescent="0.25">
      <c r="A110" s="398" t="s">
        <v>690</v>
      </c>
      <c r="B110" s="74" t="s">
        <v>154</v>
      </c>
      <c r="C110" s="74" t="s">
        <v>172</v>
      </c>
      <c r="D110" s="74" t="s">
        <v>196</v>
      </c>
      <c r="E110" s="74" t="s">
        <v>309</v>
      </c>
      <c r="F110" s="74" t="s">
        <v>550</v>
      </c>
      <c r="G110" s="74" t="s">
        <v>137</v>
      </c>
      <c r="H110" s="74" t="s">
        <v>137</v>
      </c>
      <c r="I110" s="74" t="s">
        <v>66</v>
      </c>
      <c r="J110" s="74" t="s">
        <v>29</v>
      </c>
      <c r="K110" s="82" t="s">
        <v>137</v>
      </c>
      <c r="L110" s="82" t="s">
        <v>137</v>
      </c>
      <c r="M110" s="82" t="s">
        <v>137</v>
      </c>
      <c r="N110" s="82" t="s">
        <v>137</v>
      </c>
      <c r="O110" s="82" t="s">
        <v>137</v>
      </c>
      <c r="P110" s="82" t="s">
        <v>137</v>
      </c>
      <c r="Q110" s="74" t="s">
        <v>87</v>
      </c>
      <c r="R110" s="74" t="s">
        <v>709</v>
      </c>
      <c r="S110" s="74" t="s">
        <v>40</v>
      </c>
      <c r="T110" s="74" t="s">
        <v>2</v>
      </c>
      <c r="U110" s="75"/>
      <c r="V110" s="75">
        <v>0.05</v>
      </c>
      <c r="W110" s="75">
        <v>0.08</v>
      </c>
      <c r="X110" s="75">
        <v>0.15</v>
      </c>
      <c r="Y110" s="75">
        <v>0.2</v>
      </c>
      <c r="Z110" s="75">
        <v>0.25</v>
      </c>
      <c r="AA110" s="75">
        <v>0.37</v>
      </c>
      <c r="AB110" s="75">
        <v>0.42</v>
      </c>
      <c r="AC110" s="75">
        <v>0.57999999999999996</v>
      </c>
      <c r="AD110" s="75">
        <v>0.67</v>
      </c>
      <c r="AE110" s="75">
        <v>0.83</v>
      </c>
      <c r="AF110" s="75">
        <v>1</v>
      </c>
      <c r="AG110" s="74" t="s">
        <v>533</v>
      </c>
      <c r="AH110" s="74" t="s">
        <v>788</v>
      </c>
      <c r="AI110" s="78" t="s">
        <v>539</v>
      </c>
      <c r="AJ110" s="79" t="s">
        <v>539</v>
      </c>
      <c r="AK110" s="80">
        <v>46023</v>
      </c>
      <c r="AL110" s="80">
        <v>46387</v>
      </c>
      <c r="AM110" s="79"/>
      <c r="AN110" s="79"/>
      <c r="AO110" s="79"/>
      <c r="AP110" s="81" t="s">
        <v>540</v>
      </c>
      <c r="AQ110" s="80" cm="1">
        <f t="array" ref="AQ110">IFERROR(DATE(2026, _xlfn.AGGREGATE(15, 6, (COLUMN(CI110:CT110)-COLUMN(CI110)+1)/(CI110:CT110&lt;&gt;0), 1), 1),"N/A")</f>
        <v>46082</v>
      </c>
      <c r="AR110" s="80" cm="1">
        <f t="array" ref="AR110">IFERROR(EOMONTH(DATE(2026, _xlfn.AGGREGATE(14, 6, (COLUMN(CI110:CT110)-COLUMN(CI110)+1)/(CI110:CT110&lt;&gt;0), 1), 1), 0),"N/A")</f>
        <v>46112</v>
      </c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398" t="s">
        <v>988</v>
      </c>
      <c r="BG110" s="74"/>
      <c r="BH110" s="398" t="s">
        <v>989</v>
      </c>
      <c r="BI110" s="74" t="s">
        <v>137</v>
      </c>
      <c r="BJ110" s="399">
        <v>530605</v>
      </c>
      <c r="BK110" s="400" t="s">
        <v>74</v>
      </c>
      <c r="BL110" s="83">
        <v>0</v>
      </c>
      <c r="BM110" s="73"/>
      <c r="BN110" s="73"/>
      <c r="BO110" s="84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>
        <v>2800</v>
      </c>
      <c r="BZ110" s="73"/>
      <c r="CA110" s="73"/>
      <c r="CB110" s="73"/>
      <c r="CC110" s="73"/>
      <c r="CD110" s="73"/>
      <c r="CE110" s="73"/>
      <c r="CF110" s="73"/>
      <c r="CG110" s="73"/>
      <c r="CH110" s="403">
        <f t="shared" si="2"/>
        <v>2800</v>
      </c>
      <c r="CI110" s="73"/>
      <c r="CJ110" s="73"/>
      <c r="CK110" s="118">
        <v>2800</v>
      </c>
      <c r="CL110" s="73"/>
      <c r="CM110" s="73"/>
      <c r="CN110" s="73"/>
      <c r="CO110" s="73"/>
      <c r="CP110" s="73"/>
      <c r="CQ110" s="73"/>
      <c r="CR110" s="73"/>
      <c r="CS110" s="73"/>
      <c r="CT110" s="403"/>
      <c r="CU110" s="403"/>
      <c r="CV110" s="404">
        <f t="shared" si="3"/>
        <v>0</v>
      </c>
      <c r="CW110" s="404"/>
      <c r="CX110" s="398"/>
      <c r="CY110" s="398"/>
      <c r="CZ110" s="398"/>
      <c r="DA110" s="398"/>
      <c r="DB110" s="398"/>
      <c r="DC110" s="398"/>
      <c r="DD110" s="398"/>
    </row>
    <row r="111" spans="1:108" s="68" customFormat="1" ht="15" customHeight="1" x14ac:dyDescent="0.25">
      <c r="A111" s="74" t="s">
        <v>691</v>
      </c>
      <c r="B111" s="74" t="s">
        <v>154</v>
      </c>
      <c r="C111" s="74" t="s">
        <v>172</v>
      </c>
      <c r="D111" s="74" t="s">
        <v>196</v>
      </c>
      <c r="E111" s="74" t="s">
        <v>309</v>
      </c>
      <c r="F111" s="74" t="s">
        <v>550</v>
      </c>
      <c r="G111" s="74" t="s">
        <v>137</v>
      </c>
      <c r="H111" s="74" t="s">
        <v>137</v>
      </c>
      <c r="I111" s="74" t="s">
        <v>66</v>
      </c>
      <c r="J111" s="74" t="s">
        <v>29</v>
      </c>
      <c r="K111" s="82" t="s">
        <v>137</v>
      </c>
      <c r="L111" s="82" t="s">
        <v>137</v>
      </c>
      <c r="M111" s="82" t="s">
        <v>137</v>
      </c>
      <c r="N111" s="82" t="s">
        <v>137</v>
      </c>
      <c r="O111" s="82" t="s">
        <v>137</v>
      </c>
      <c r="P111" s="82" t="s">
        <v>137</v>
      </c>
      <c r="Q111" s="74" t="s">
        <v>87</v>
      </c>
      <c r="R111" s="74" t="s">
        <v>709</v>
      </c>
      <c r="S111" s="74" t="s">
        <v>40</v>
      </c>
      <c r="T111" s="74" t="s">
        <v>2</v>
      </c>
      <c r="U111" s="75"/>
      <c r="V111" s="75">
        <v>0.05</v>
      </c>
      <c r="W111" s="75">
        <v>0.08</v>
      </c>
      <c r="X111" s="75">
        <v>0.15</v>
      </c>
      <c r="Y111" s="75">
        <v>0.2</v>
      </c>
      <c r="Z111" s="75">
        <v>0.25</v>
      </c>
      <c r="AA111" s="75">
        <v>0.37</v>
      </c>
      <c r="AB111" s="75">
        <v>0.42</v>
      </c>
      <c r="AC111" s="75">
        <v>0.57999999999999996</v>
      </c>
      <c r="AD111" s="75">
        <v>0.67</v>
      </c>
      <c r="AE111" s="75">
        <v>0.83</v>
      </c>
      <c r="AF111" s="75">
        <v>1</v>
      </c>
      <c r="AG111" s="74" t="s">
        <v>533</v>
      </c>
      <c r="AH111" s="74" t="s">
        <v>530</v>
      </c>
      <c r="AI111" s="78" t="s">
        <v>539</v>
      </c>
      <c r="AJ111" s="79" t="s">
        <v>539</v>
      </c>
      <c r="AK111" s="80">
        <v>46023</v>
      </c>
      <c r="AL111" s="80">
        <v>46387</v>
      </c>
      <c r="AM111" s="79"/>
      <c r="AN111" s="79"/>
      <c r="AO111" s="79"/>
      <c r="AP111" s="81" t="s">
        <v>540</v>
      </c>
      <c r="AQ111" s="80" t="str" cm="1">
        <f t="array" ref="AQ111">IFERROR(DATE(2026, _xlfn.AGGREGATE(15, 6, (COLUMN(CI111:CT111)-COLUMN(CI111)+1)/(CI111:CT111&lt;&gt;0), 1), 1),"N/A")</f>
        <v>N/A</v>
      </c>
      <c r="AR111" s="80" t="str" cm="1">
        <f t="array" ref="AR111">IFERROR(EOMONTH(DATE(2026, _xlfn.AGGREGATE(14, 6, (COLUMN(CI111:CT111)-COLUMN(CI111)+1)/(CI111:CT111&lt;&gt;0), 1), 1), 0),"N/A")</f>
        <v>N/A</v>
      </c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4" t="s">
        <v>645</v>
      </c>
      <c r="BG111" s="74" t="s">
        <v>1009</v>
      </c>
      <c r="BH111" s="74" t="s">
        <v>886</v>
      </c>
      <c r="BI111" s="74" t="s">
        <v>137</v>
      </c>
      <c r="BJ111" s="78">
        <v>530601</v>
      </c>
      <c r="BK111" s="82" t="s">
        <v>74</v>
      </c>
      <c r="BL111" s="83">
        <v>10000</v>
      </c>
      <c r="BM111" s="73">
        <v>0</v>
      </c>
      <c r="BN111" s="73">
        <v>0</v>
      </c>
      <c r="BO111" s="73">
        <v>0</v>
      </c>
      <c r="BP111" s="73">
        <v>0</v>
      </c>
      <c r="BQ111" s="73">
        <v>0</v>
      </c>
      <c r="BR111" s="73">
        <v>0</v>
      </c>
      <c r="BS111" s="73">
        <v>0</v>
      </c>
      <c r="BT111" s="73">
        <v>0</v>
      </c>
      <c r="BU111" s="84">
        <v>3333.3333333333335</v>
      </c>
      <c r="BV111" s="84">
        <v>3333.3333333333335</v>
      </c>
      <c r="BW111" s="84">
        <v>3333.3333333333335</v>
      </c>
      <c r="BX111" s="73">
        <v>0</v>
      </c>
      <c r="BY111" s="73">
        <v>-10000</v>
      </c>
      <c r="BZ111" s="73"/>
      <c r="CA111" s="73"/>
      <c r="CB111" s="73"/>
      <c r="CC111" s="73"/>
      <c r="CD111" s="73"/>
      <c r="CE111" s="73"/>
      <c r="CF111" s="73"/>
      <c r="CG111" s="73"/>
      <c r="CH111" s="73">
        <f t="shared" si="2"/>
        <v>0</v>
      </c>
      <c r="CI111" s="73"/>
      <c r="CJ111" s="73"/>
      <c r="CK111" s="72">
        <v>0</v>
      </c>
      <c r="CL111" s="73">
        <v>0</v>
      </c>
      <c r="CM111" s="73">
        <v>0</v>
      </c>
      <c r="CN111" s="73">
        <v>0</v>
      </c>
      <c r="CO111" s="73">
        <v>0</v>
      </c>
      <c r="CP111" s="73">
        <v>0</v>
      </c>
      <c r="CQ111" s="84">
        <v>0</v>
      </c>
      <c r="CR111" s="84">
        <v>0</v>
      </c>
      <c r="CS111" s="84">
        <v>0</v>
      </c>
      <c r="CT111" s="73">
        <v>0</v>
      </c>
      <c r="CU111" s="73"/>
      <c r="CV111" s="84">
        <f t="shared" si="3"/>
        <v>0</v>
      </c>
      <c r="CW111" s="84"/>
      <c r="CX111" s="74"/>
      <c r="CY111" s="74"/>
      <c r="CZ111" s="74"/>
      <c r="DA111" s="74"/>
      <c r="DB111" s="74"/>
      <c r="DC111" s="74"/>
      <c r="DD111" s="74"/>
    </row>
    <row r="112" spans="1:108" s="68" customFormat="1" ht="15" hidden="1" customHeight="1" x14ac:dyDescent="0.25">
      <c r="A112" s="74" t="s">
        <v>694</v>
      </c>
      <c r="B112" s="74" t="s">
        <v>154</v>
      </c>
      <c r="C112" s="74" t="s">
        <v>172</v>
      </c>
      <c r="D112" s="74" t="s">
        <v>196</v>
      </c>
      <c r="E112" s="74" t="s">
        <v>309</v>
      </c>
      <c r="F112" s="74" t="s">
        <v>550</v>
      </c>
      <c r="G112" s="74" t="s">
        <v>137</v>
      </c>
      <c r="H112" s="74" t="s">
        <v>137</v>
      </c>
      <c r="I112" s="74" t="s">
        <v>66</v>
      </c>
      <c r="J112" s="74" t="s">
        <v>29</v>
      </c>
      <c r="K112" s="82" t="s">
        <v>137</v>
      </c>
      <c r="L112" s="82" t="s">
        <v>137</v>
      </c>
      <c r="M112" s="82" t="s">
        <v>137</v>
      </c>
      <c r="N112" s="82" t="s">
        <v>137</v>
      </c>
      <c r="O112" s="82" t="s">
        <v>137</v>
      </c>
      <c r="P112" s="82" t="s">
        <v>137</v>
      </c>
      <c r="Q112" s="74" t="s">
        <v>87</v>
      </c>
      <c r="R112" s="74" t="s">
        <v>709</v>
      </c>
      <c r="S112" s="74" t="s">
        <v>40</v>
      </c>
      <c r="T112" s="74" t="s">
        <v>2</v>
      </c>
      <c r="U112" s="75"/>
      <c r="V112" s="75">
        <v>0.05</v>
      </c>
      <c r="W112" s="75">
        <v>0.08</v>
      </c>
      <c r="X112" s="75">
        <v>0.15</v>
      </c>
      <c r="Y112" s="75">
        <v>0.2</v>
      </c>
      <c r="Z112" s="75">
        <v>0.25</v>
      </c>
      <c r="AA112" s="75">
        <v>0.37</v>
      </c>
      <c r="AB112" s="75">
        <v>0.42</v>
      </c>
      <c r="AC112" s="75">
        <v>0.57999999999999996</v>
      </c>
      <c r="AD112" s="75">
        <v>0.67</v>
      </c>
      <c r="AE112" s="75">
        <v>0.83</v>
      </c>
      <c r="AF112" s="75">
        <v>1</v>
      </c>
      <c r="AG112" s="74" t="s">
        <v>533</v>
      </c>
      <c r="AH112" s="74" t="s">
        <v>530</v>
      </c>
      <c r="AI112" s="78" t="s">
        <v>539</v>
      </c>
      <c r="AJ112" s="79" t="s">
        <v>539</v>
      </c>
      <c r="AK112" s="80">
        <v>46023</v>
      </c>
      <c r="AL112" s="80">
        <v>46387</v>
      </c>
      <c r="AM112" s="79"/>
      <c r="AN112" s="79"/>
      <c r="AO112" s="79"/>
      <c r="AP112" s="81" t="s">
        <v>540</v>
      </c>
      <c r="AQ112" s="80" cm="1">
        <f t="array" ref="AQ112">IFERROR(DATE(2026, _xlfn.AGGREGATE(15, 6, (COLUMN(CI112:CT112)-COLUMN(CI112)+1)/(CI112:CT112&lt;&gt;0), 1), 1),"N/A")</f>
        <v>46204</v>
      </c>
      <c r="AR112" s="80" cm="1">
        <f t="array" ref="AR112">IFERROR(EOMONTH(DATE(2026, _xlfn.AGGREGATE(14, 6, (COLUMN(CI112:CT112)-COLUMN(CI112)+1)/(CI112:CT112&lt;&gt;0), 1), 1), 0),"N/A")</f>
        <v>46387</v>
      </c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4" t="s">
        <v>608</v>
      </c>
      <c r="BG112" s="74"/>
      <c r="BH112" s="74" t="s">
        <v>833</v>
      </c>
      <c r="BI112" s="74" t="s">
        <v>137</v>
      </c>
      <c r="BJ112" s="78">
        <v>530404</v>
      </c>
      <c r="BK112" s="82" t="s">
        <v>74</v>
      </c>
      <c r="BL112" s="83">
        <v>3000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84">
        <v>1500</v>
      </c>
      <c r="BT112" s="73">
        <v>0</v>
      </c>
      <c r="BU112" s="73">
        <v>0</v>
      </c>
      <c r="BV112" s="73">
        <v>0</v>
      </c>
      <c r="BW112" s="73">
        <v>0</v>
      </c>
      <c r="BX112" s="84">
        <v>1500</v>
      </c>
      <c r="BY112" s="84"/>
      <c r="BZ112" s="84"/>
      <c r="CA112" s="84"/>
      <c r="CB112" s="84">
        <v>1236</v>
      </c>
      <c r="CC112" s="84"/>
      <c r="CD112" s="84"/>
      <c r="CE112" s="84"/>
      <c r="CF112" s="84"/>
      <c r="CG112" s="84"/>
      <c r="CH112" s="73">
        <f t="shared" si="2"/>
        <v>4236</v>
      </c>
      <c r="CI112" s="73"/>
      <c r="CJ112" s="73"/>
      <c r="CK112" s="72">
        <v>0</v>
      </c>
      <c r="CL112" s="73">
        <v>0</v>
      </c>
      <c r="CM112" s="73">
        <v>0</v>
      </c>
      <c r="CN112" s="73">
        <v>0</v>
      </c>
      <c r="CO112" s="84">
        <v>2118</v>
      </c>
      <c r="CP112" s="73">
        <v>0</v>
      </c>
      <c r="CQ112" s="73">
        <v>0</v>
      </c>
      <c r="CR112" s="73">
        <v>0</v>
      </c>
      <c r="CS112" s="73">
        <v>0</v>
      </c>
      <c r="CT112" s="84">
        <v>2118</v>
      </c>
      <c r="CU112" s="84"/>
      <c r="CV112" s="84">
        <f t="shared" si="3"/>
        <v>0</v>
      </c>
      <c r="CW112" s="84"/>
      <c r="CX112" s="74"/>
      <c r="CY112" s="74"/>
      <c r="CZ112" s="74"/>
      <c r="DA112" s="74"/>
      <c r="DB112" s="74"/>
      <c r="DC112" s="74"/>
      <c r="DD112" s="74"/>
    </row>
    <row r="113" spans="1:108" s="68" customFormat="1" ht="15" hidden="1" customHeight="1" x14ac:dyDescent="0.25">
      <c r="A113" s="74" t="s">
        <v>690</v>
      </c>
      <c r="B113" s="74" t="s">
        <v>154</v>
      </c>
      <c r="C113" s="74" t="s">
        <v>172</v>
      </c>
      <c r="D113" s="74" t="s">
        <v>196</v>
      </c>
      <c r="E113" s="74" t="s">
        <v>309</v>
      </c>
      <c r="F113" s="74" t="s">
        <v>550</v>
      </c>
      <c r="G113" s="74" t="s">
        <v>137</v>
      </c>
      <c r="H113" s="74" t="s">
        <v>137</v>
      </c>
      <c r="I113" s="74" t="s">
        <v>66</v>
      </c>
      <c r="J113" s="74" t="s">
        <v>29</v>
      </c>
      <c r="K113" s="82" t="s">
        <v>137</v>
      </c>
      <c r="L113" s="82" t="s">
        <v>137</v>
      </c>
      <c r="M113" s="82" t="s">
        <v>137</v>
      </c>
      <c r="N113" s="82" t="s">
        <v>137</v>
      </c>
      <c r="O113" s="82" t="s">
        <v>137</v>
      </c>
      <c r="P113" s="82" t="s">
        <v>137</v>
      </c>
      <c r="Q113" s="74" t="s">
        <v>87</v>
      </c>
      <c r="R113" s="74" t="s">
        <v>709</v>
      </c>
      <c r="S113" s="74" t="s">
        <v>40</v>
      </c>
      <c r="T113" s="74" t="s">
        <v>2</v>
      </c>
      <c r="U113" s="75"/>
      <c r="V113" s="75">
        <v>0.05</v>
      </c>
      <c r="W113" s="75">
        <v>0.08</v>
      </c>
      <c r="X113" s="75">
        <v>0.15</v>
      </c>
      <c r="Y113" s="75">
        <v>0.2</v>
      </c>
      <c r="Z113" s="75">
        <v>0.25</v>
      </c>
      <c r="AA113" s="75">
        <v>0.37</v>
      </c>
      <c r="AB113" s="75">
        <v>0.42</v>
      </c>
      <c r="AC113" s="75">
        <v>0.57999999999999996</v>
      </c>
      <c r="AD113" s="75">
        <v>0.67</v>
      </c>
      <c r="AE113" s="75">
        <v>0.83</v>
      </c>
      <c r="AF113" s="75">
        <v>1</v>
      </c>
      <c r="AG113" s="74" t="s">
        <v>533</v>
      </c>
      <c r="AH113" s="74" t="s">
        <v>530</v>
      </c>
      <c r="AI113" s="78" t="s">
        <v>539</v>
      </c>
      <c r="AJ113" s="79" t="s">
        <v>539</v>
      </c>
      <c r="AK113" s="80">
        <v>46023</v>
      </c>
      <c r="AL113" s="80">
        <v>46387</v>
      </c>
      <c r="AM113" s="79"/>
      <c r="AN113" s="79"/>
      <c r="AO113" s="79"/>
      <c r="AP113" s="81" t="s">
        <v>540</v>
      </c>
      <c r="AQ113" s="80" cm="1">
        <f t="array" ref="AQ113">IFERROR(DATE(2026, _xlfn.AGGREGATE(15, 6, (COLUMN(CI113:CT113)-COLUMN(CI113)+1)/(CI113:CT113&lt;&gt;0), 1), 1),"N/A")</f>
        <v>46357</v>
      </c>
      <c r="AR113" s="80" cm="1">
        <f t="array" ref="AR113">IFERROR(EOMONTH(DATE(2026, _xlfn.AGGREGATE(14, 6, (COLUMN(CI113:CT113)-COLUMN(CI113)+1)/(CI113:CT113&lt;&gt;0), 1), 1), 0),"N/A")</f>
        <v>46387</v>
      </c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4" t="s">
        <v>981</v>
      </c>
      <c r="BG113" s="74"/>
      <c r="BH113" s="74" t="s">
        <v>982</v>
      </c>
      <c r="BI113" s="74" t="s">
        <v>137</v>
      </c>
      <c r="BJ113" s="78">
        <v>570201</v>
      </c>
      <c r="BK113" s="82" t="s">
        <v>74</v>
      </c>
      <c r="BL113" s="83">
        <v>0</v>
      </c>
      <c r="BM113" s="73"/>
      <c r="BN113" s="73"/>
      <c r="BO113" s="84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>
        <v>150</v>
      </c>
      <c r="BZ113" s="73"/>
      <c r="CA113" s="73"/>
      <c r="CB113" s="73"/>
      <c r="CC113" s="73"/>
      <c r="CD113" s="73"/>
      <c r="CE113" s="73"/>
      <c r="CF113" s="73"/>
      <c r="CG113" s="73"/>
      <c r="CH113" s="73">
        <f t="shared" si="2"/>
        <v>150</v>
      </c>
      <c r="CI113" s="73"/>
      <c r="CJ113" s="73"/>
      <c r="CK113" s="84"/>
      <c r="CL113" s="73"/>
      <c r="CM113" s="73"/>
      <c r="CN113" s="73"/>
      <c r="CO113" s="73"/>
      <c r="CP113" s="73"/>
      <c r="CQ113" s="73"/>
      <c r="CR113" s="73"/>
      <c r="CS113" s="73"/>
      <c r="CT113" s="73">
        <v>150</v>
      </c>
      <c r="CU113" s="73"/>
      <c r="CV113" s="84">
        <f t="shared" si="3"/>
        <v>0</v>
      </c>
      <c r="CW113" s="84"/>
      <c r="CX113" s="74"/>
      <c r="CY113" s="74"/>
      <c r="CZ113" s="74"/>
      <c r="DA113" s="74"/>
      <c r="DB113" s="74"/>
      <c r="DC113" s="74"/>
      <c r="DD113" s="74"/>
    </row>
    <row r="114" spans="1:108" s="68" customFormat="1" ht="15" hidden="1" customHeight="1" x14ac:dyDescent="0.25">
      <c r="A114" s="74" t="s">
        <v>690</v>
      </c>
      <c r="B114" s="74" t="s">
        <v>154</v>
      </c>
      <c r="C114" s="74" t="s">
        <v>172</v>
      </c>
      <c r="D114" s="74" t="s">
        <v>196</v>
      </c>
      <c r="E114" s="74" t="s">
        <v>309</v>
      </c>
      <c r="F114" s="74" t="s">
        <v>550</v>
      </c>
      <c r="G114" s="74" t="s">
        <v>137</v>
      </c>
      <c r="H114" s="74" t="s">
        <v>137</v>
      </c>
      <c r="I114" s="74" t="s">
        <v>66</v>
      </c>
      <c r="J114" s="74" t="s">
        <v>29</v>
      </c>
      <c r="K114" s="82" t="s">
        <v>137</v>
      </c>
      <c r="L114" s="82" t="s">
        <v>137</v>
      </c>
      <c r="M114" s="82" t="s">
        <v>137</v>
      </c>
      <c r="N114" s="82" t="s">
        <v>137</v>
      </c>
      <c r="O114" s="82" t="s">
        <v>137</v>
      </c>
      <c r="P114" s="82" t="s">
        <v>137</v>
      </c>
      <c r="Q114" s="74" t="s">
        <v>87</v>
      </c>
      <c r="R114" s="74" t="s">
        <v>709</v>
      </c>
      <c r="S114" s="74" t="s">
        <v>40</v>
      </c>
      <c r="T114" s="74" t="s">
        <v>2</v>
      </c>
      <c r="U114" s="75"/>
      <c r="V114" s="75">
        <v>0.05</v>
      </c>
      <c r="W114" s="75">
        <v>0.08</v>
      </c>
      <c r="X114" s="75">
        <v>0.15</v>
      </c>
      <c r="Y114" s="75">
        <v>0.2</v>
      </c>
      <c r="Z114" s="75">
        <v>0.25</v>
      </c>
      <c r="AA114" s="75">
        <v>0.37</v>
      </c>
      <c r="AB114" s="75">
        <v>0.42</v>
      </c>
      <c r="AC114" s="75">
        <v>0.57999999999999996</v>
      </c>
      <c r="AD114" s="75">
        <v>0.67</v>
      </c>
      <c r="AE114" s="75">
        <v>0.83</v>
      </c>
      <c r="AF114" s="75">
        <v>1</v>
      </c>
      <c r="AG114" s="74" t="s">
        <v>533</v>
      </c>
      <c r="AH114" s="74" t="s">
        <v>530</v>
      </c>
      <c r="AI114" s="78" t="s">
        <v>539</v>
      </c>
      <c r="AJ114" s="79" t="s">
        <v>539</v>
      </c>
      <c r="AK114" s="80">
        <v>46023</v>
      </c>
      <c r="AL114" s="80">
        <v>46387</v>
      </c>
      <c r="AM114" s="79"/>
      <c r="AN114" s="79"/>
      <c r="AO114" s="79"/>
      <c r="AP114" s="81" t="s">
        <v>540</v>
      </c>
      <c r="AQ114" s="80" cm="1">
        <f t="array" ref="AQ114">IFERROR(DATE(2026, _xlfn.AGGREGATE(15, 6, (COLUMN(CI114:CT114)-COLUMN(CI114)+1)/(CI114:CT114&lt;&gt;0), 1), 1),"N/A")</f>
        <v>46174</v>
      </c>
      <c r="AR114" s="80" cm="1">
        <f t="array" ref="AR114">IFERROR(EOMONTH(DATE(2026, _xlfn.AGGREGATE(14, 6, (COLUMN(CI114:CT114)-COLUMN(CI114)+1)/(CI114:CT114&lt;&gt;0), 1), 1), 0),"N/A")</f>
        <v>46203</v>
      </c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4" t="s">
        <v>1053</v>
      </c>
      <c r="BG114" s="74"/>
      <c r="BH114" s="74" t="s">
        <v>1054</v>
      </c>
      <c r="BI114" s="74" t="s">
        <v>137</v>
      </c>
      <c r="BJ114" s="78">
        <v>530402</v>
      </c>
      <c r="BK114" s="82" t="s">
        <v>74</v>
      </c>
      <c r="BL114" s="83">
        <v>0</v>
      </c>
      <c r="BM114" s="73"/>
      <c r="BN114" s="73"/>
      <c r="BO114" s="73"/>
      <c r="BP114" s="73"/>
      <c r="BQ114" s="73"/>
      <c r="BR114" s="73"/>
      <c r="BS114" s="73"/>
      <c r="BT114" s="73"/>
      <c r="BU114" s="84"/>
      <c r="BV114" s="73"/>
      <c r="BW114" s="73"/>
      <c r="BX114" s="73"/>
      <c r="BY114" s="73"/>
      <c r="BZ114" s="73"/>
      <c r="CA114" s="73">
        <v>10000</v>
      </c>
      <c r="CB114" s="73"/>
      <c r="CC114" s="73"/>
      <c r="CD114" s="73"/>
      <c r="CE114" s="73"/>
      <c r="CF114" s="73"/>
      <c r="CG114" s="73"/>
      <c r="CH114" s="73">
        <f t="shared" si="2"/>
        <v>10000</v>
      </c>
      <c r="CI114" s="73"/>
      <c r="CJ114" s="73"/>
      <c r="CK114" s="72"/>
      <c r="CL114" s="73"/>
      <c r="CM114" s="73"/>
      <c r="CN114" s="73">
        <v>10000</v>
      </c>
      <c r="CO114" s="73"/>
      <c r="CP114" s="73"/>
      <c r="CQ114" s="84"/>
      <c r="CR114" s="73"/>
      <c r="CS114" s="73"/>
      <c r="CT114" s="73"/>
      <c r="CU114" s="73"/>
      <c r="CV114" s="84">
        <f t="shared" si="3"/>
        <v>0</v>
      </c>
      <c r="CW114" s="84"/>
      <c r="CX114" s="74"/>
      <c r="CY114" s="74"/>
      <c r="CZ114" s="74"/>
      <c r="DA114" s="74"/>
      <c r="DB114" s="74"/>
      <c r="DC114" s="74"/>
      <c r="DD114" s="74"/>
    </row>
    <row r="115" spans="1:108" s="68" customFormat="1" ht="15" hidden="1" customHeight="1" x14ac:dyDescent="0.25">
      <c r="A115" s="74" t="s">
        <v>690</v>
      </c>
      <c r="B115" s="74" t="s">
        <v>154</v>
      </c>
      <c r="C115" s="74" t="s">
        <v>172</v>
      </c>
      <c r="D115" s="74" t="s">
        <v>196</v>
      </c>
      <c r="E115" s="74" t="s">
        <v>309</v>
      </c>
      <c r="F115" s="74" t="s">
        <v>550</v>
      </c>
      <c r="G115" s="74" t="s">
        <v>137</v>
      </c>
      <c r="H115" s="74" t="s">
        <v>137</v>
      </c>
      <c r="I115" s="74" t="s">
        <v>66</v>
      </c>
      <c r="J115" s="74" t="s">
        <v>29</v>
      </c>
      <c r="K115" s="82" t="s">
        <v>137</v>
      </c>
      <c r="L115" s="82" t="s">
        <v>137</v>
      </c>
      <c r="M115" s="82" t="s">
        <v>137</v>
      </c>
      <c r="N115" s="82" t="s">
        <v>137</v>
      </c>
      <c r="O115" s="82" t="s">
        <v>137</v>
      </c>
      <c r="P115" s="82" t="s">
        <v>137</v>
      </c>
      <c r="Q115" s="74" t="s">
        <v>87</v>
      </c>
      <c r="R115" s="74" t="s">
        <v>709</v>
      </c>
      <c r="S115" s="74" t="s">
        <v>40</v>
      </c>
      <c r="T115" s="74" t="s">
        <v>2</v>
      </c>
      <c r="U115" s="75"/>
      <c r="V115" s="75">
        <v>0.05</v>
      </c>
      <c r="W115" s="75">
        <v>0.08</v>
      </c>
      <c r="X115" s="75">
        <v>0.15</v>
      </c>
      <c r="Y115" s="75">
        <v>0.2</v>
      </c>
      <c r="Z115" s="75">
        <v>0.25</v>
      </c>
      <c r="AA115" s="75">
        <v>0.37</v>
      </c>
      <c r="AB115" s="75">
        <v>0.42</v>
      </c>
      <c r="AC115" s="75">
        <v>0.57999999999999996</v>
      </c>
      <c r="AD115" s="75">
        <v>0.67</v>
      </c>
      <c r="AE115" s="75">
        <v>0.83</v>
      </c>
      <c r="AF115" s="75">
        <v>1</v>
      </c>
      <c r="AG115" s="74" t="s">
        <v>533</v>
      </c>
      <c r="AH115" s="74" t="s">
        <v>530</v>
      </c>
      <c r="AI115" s="78" t="s">
        <v>539</v>
      </c>
      <c r="AJ115" s="79" t="s">
        <v>539</v>
      </c>
      <c r="AK115" s="80">
        <v>46023</v>
      </c>
      <c r="AL115" s="80">
        <v>46387</v>
      </c>
      <c r="AM115" s="79"/>
      <c r="AN115" s="79"/>
      <c r="AO115" s="79"/>
      <c r="AP115" s="81" t="s">
        <v>540</v>
      </c>
      <c r="AQ115" s="80" t="str" cm="1">
        <f t="array" ref="AQ115">IFERROR(DATE(2026, _xlfn.AGGREGATE(15, 6, (COLUMN(CI115:CT115)-COLUMN(CI115)+1)/(CI115:CT115&lt;&gt;0), 1), 1),"N/A")</f>
        <v>N/A</v>
      </c>
      <c r="AR115" s="80" t="str" cm="1">
        <f t="array" ref="AR115">IFERROR(EOMONTH(DATE(2026, _xlfn.AGGREGATE(14, 6, (COLUMN(CI115:CT115)-COLUMN(CI115)+1)/(CI115:CT115&lt;&gt;0), 1), 1), 0),"N/A")</f>
        <v>N/A</v>
      </c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4" t="s">
        <v>672</v>
      </c>
      <c r="BG115" s="74"/>
      <c r="BH115" s="74" t="s">
        <v>835</v>
      </c>
      <c r="BI115" s="74" t="s">
        <v>137</v>
      </c>
      <c r="BJ115" s="78">
        <v>530402</v>
      </c>
      <c r="BK115" s="82" t="s">
        <v>74</v>
      </c>
      <c r="BL115" s="83">
        <v>102695.5</v>
      </c>
      <c r="BM115" s="73">
        <v>0</v>
      </c>
      <c r="BN115" s="73">
        <v>0</v>
      </c>
      <c r="BO115" s="73">
        <v>0</v>
      </c>
      <c r="BP115" s="73">
        <v>0</v>
      </c>
      <c r="BQ115" s="73">
        <v>0</v>
      </c>
      <c r="BR115" s="73">
        <v>0</v>
      </c>
      <c r="BS115" s="84">
        <v>102695.5</v>
      </c>
      <c r="BT115" s="73">
        <v>0</v>
      </c>
      <c r="BU115" s="73">
        <v>0</v>
      </c>
      <c r="BV115" s="73">
        <v>0</v>
      </c>
      <c r="BW115" s="73">
        <v>0</v>
      </c>
      <c r="BX115" s="73">
        <v>0</v>
      </c>
      <c r="BY115" s="73"/>
      <c r="BZ115" s="73">
        <v>-102695.5</v>
      </c>
      <c r="CA115" s="73"/>
      <c r="CB115" s="73"/>
      <c r="CC115" s="73"/>
      <c r="CD115" s="73"/>
      <c r="CE115" s="73"/>
      <c r="CF115" s="73"/>
      <c r="CG115" s="73"/>
      <c r="CH115" s="73">
        <f t="shared" si="2"/>
        <v>0</v>
      </c>
      <c r="CI115" s="73"/>
      <c r="CJ115" s="73"/>
      <c r="CK115" s="72">
        <v>0</v>
      </c>
      <c r="CL115" s="73">
        <v>0</v>
      </c>
      <c r="CM115" s="73">
        <v>0</v>
      </c>
      <c r="CN115" s="73">
        <v>0</v>
      </c>
      <c r="CO115" s="84">
        <v>0</v>
      </c>
      <c r="CP115" s="73">
        <v>0</v>
      </c>
      <c r="CQ115" s="73">
        <v>0</v>
      </c>
      <c r="CR115" s="73">
        <v>0</v>
      </c>
      <c r="CS115" s="73">
        <v>0</v>
      </c>
      <c r="CT115" s="73">
        <v>0</v>
      </c>
      <c r="CU115" s="73"/>
      <c r="CV115" s="84">
        <f t="shared" si="3"/>
        <v>0</v>
      </c>
      <c r="CW115" s="84"/>
      <c r="CX115" s="74"/>
      <c r="CY115" s="74"/>
      <c r="CZ115" s="74"/>
      <c r="DA115" s="74"/>
      <c r="DB115" s="74"/>
      <c r="DC115" s="74"/>
      <c r="DD115" s="74"/>
    </row>
    <row r="116" spans="1:108" s="68" customFormat="1" ht="15" customHeight="1" x14ac:dyDescent="0.25">
      <c r="A116" s="74" t="s">
        <v>691</v>
      </c>
      <c r="B116" s="74" t="s">
        <v>154</v>
      </c>
      <c r="C116" s="74" t="s">
        <v>172</v>
      </c>
      <c r="D116" s="74" t="s">
        <v>196</v>
      </c>
      <c r="E116" s="74" t="s">
        <v>309</v>
      </c>
      <c r="F116" s="74" t="s">
        <v>550</v>
      </c>
      <c r="G116" s="74" t="s">
        <v>137</v>
      </c>
      <c r="H116" s="74" t="s">
        <v>137</v>
      </c>
      <c r="I116" s="74" t="s">
        <v>66</v>
      </c>
      <c r="J116" s="74" t="s">
        <v>29</v>
      </c>
      <c r="K116" s="82" t="s">
        <v>137</v>
      </c>
      <c r="L116" s="82" t="s">
        <v>137</v>
      </c>
      <c r="M116" s="82" t="s">
        <v>137</v>
      </c>
      <c r="N116" s="82" t="s">
        <v>137</v>
      </c>
      <c r="O116" s="82" t="s">
        <v>137</v>
      </c>
      <c r="P116" s="82" t="s">
        <v>137</v>
      </c>
      <c r="Q116" s="74" t="s">
        <v>87</v>
      </c>
      <c r="R116" s="74" t="s">
        <v>709</v>
      </c>
      <c r="S116" s="74" t="s">
        <v>40</v>
      </c>
      <c r="T116" s="74" t="s">
        <v>2</v>
      </c>
      <c r="U116" s="75"/>
      <c r="V116" s="75">
        <v>0.05</v>
      </c>
      <c r="W116" s="75">
        <v>0.08</v>
      </c>
      <c r="X116" s="75">
        <v>0.15</v>
      </c>
      <c r="Y116" s="75">
        <v>0.2</v>
      </c>
      <c r="Z116" s="75">
        <v>0.25</v>
      </c>
      <c r="AA116" s="75">
        <v>0.37</v>
      </c>
      <c r="AB116" s="75">
        <v>0.42</v>
      </c>
      <c r="AC116" s="75">
        <v>0.57999999999999996</v>
      </c>
      <c r="AD116" s="75">
        <v>0.67</v>
      </c>
      <c r="AE116" s="75">
        <v>0.83</v>
      </c>
      <c r="AF116" s="75">
        <v>1</v>
      </c>
      <c r="AG116" s="74" t="s">
        <v>533</v>
      </c>
      <c r="AH116" s="74" t="s">
        <v>530</v>
      </c>
      <c r="AI116" s="78" t="s">
        <v>539</v>
      </c>
      <c r="AJ116" s="79" t="s">
        <v>539</v>
      </c>
      <c r="AK116" s="80">
        <v>46023</v>
      </c>
      <c r="AL116" s="80">
        <v>46387</v>
      </c>
      <c r="AM116" s="79"/>
      <c r="AN116" s="79"/>
      <c r="AO116" s="79"/>
      <c r="AP116" s="81" t="s">
        <v>540</v>
      </c>
      <c r="AQ116" s="80" cm="1">
        <f t="array" ref="AQ116">IFERROR(DATE(2026, _xlfn.AGGREGATE(15, 6, (COLUMN(CI116:CT116)-COLUMN(CI116)+1)/(CI116:CT116&lt;&gt;0), 1), 1),"N/A")</f>
        <v>46266</v>
      </c>
      <c r="AR116" s="80" cm="1">
        <f t="array" ref="AR116">IFERROR(EOMONTH(DATE(2026, _xlfn.AGGREGATE(14, 6, (COLUMN(CI116:CT116)-COLUMN(CI116)+1)/(CI116:CT116&lt;&gt;0), 1), 1), 0),"N/A")</f>
        <v>46295</v>
      </c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4" t="s">
        <v>600</v>
      </c>
      <c r="BG116" s="74" t="s">
        <v>1009</v>
      </c>
      <c r="BH116" s="74" t="s">
        <v>887</v>
      </c>
      <c r="BI116" s="74" t="s">
        <v>137</v>
      </c>
      <c r="BJ116" s="78">
        <v>530404</v>
      </c>
      <c r="BK116" s="82" t="s">
        <v>74</v>
      </c>
      <c r="BL116" s="83">
        <v>2000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84">
        <v>2000</v>
      </c>
      <c r="BV116" s="73">
        <v>0</v>
      </c>
      <c r="BW116" s="73">
        <v>0</v>
      </c>
      <c r="BX116" s="73">
        <v>0</v>
      </c>
      <c r="BY116" s="73"/>
      <c r="BZ116" s="73"/>
      <c r="CA116" s="73"/>
      <c r="CB116" s="73"/>
      <c r="CC116" s="73"/>
      <c r="CD116" s="73"/>
      <c r="CE116" s="73"/>
      <c r="CF116" s="73"/>
      <c r="CG116" s="73"/>
      <c r="CH116" s="73">
        <f t="shared" si="2"/>
        <v>2000</v>
      </c>
      <c r="CI116" s="73"/>
      <c r="CJ116" s="73"/>
      <c r="CK116" s="72">
        <v>0</v>
      </c>
      <c r="CL116" s="73">
        <v>0</v>
      </c>
      <c r="CM116" s="73">
        <v>0</v>
      </c>
      <c r="CN116" s="73">
        <v>0</v>
      </c>
      <c r="CO116" s="73">
        <v>0</v>
      </c>
      <c r="CP116" s="73">
        <v>0</v>
      </c>
      <c r="CQ116" s="84">
        <v>2000</v>
      </c>
      <c r="CR116" s="73">
        <v>0</v>
      </c>
      <c r="CS116" s="73">
        <v>0</v>
      </c>
      <c r="CT116" s="73">
        <v>0</v>
      </c>
      <c r="CU116" s="73"/>
      <c r="CV116" s="84">
        <f t="shared" si="3"/>
        <v>0</v>
      </c>
      <c r="CW116" s="84"/>
      <c r="CX116" s="74"/>
      <c r="CY116" s="74"/>
      <c r="CZ116" s="74"/>
      <c r="DA116" s="74"/>
      <c r="DB116" s="74"/>
      <c r="DC116" s="74"/>
      <c r="DD116" s="74"/>
    </row>
    <row r="117" spans="1:108" s="68" customFormat="1" ht="15" hidden="1" customHeight="1" x14ac:dyDescent="0.25">
      <c r="A117" s="74" t="s">
        <v>690</v>
      </c>
      <c r="B117" s="74" t="s">
        <v>154</v>
      </c>
      <c r="C117" s="74" t="s">
        <v>172</v>
      </c>
      <c r="D117" s="74" t="s">
        <v>196</v>
      </c>
      <c r="E117" s="74" t="s">
        <v>309</v>
      </c>
      <c r="F117" s="74" t="s">
        <v>550</v>
      </c>
      <c r="G117" s="74" t="s">
        <v>137</v>
      </c>
      <c r="H117" s="74" t="s">
        <v>137</v>
      </c>
      <c r="I117" s="74" t="s">
        <v>66</v>
      </c>
      <c r="J117" s="74" t="s">
        <v>29</v>
      </c>
      <c r="K117" s="82" t="s">
        <v>137</v>
      </c>
      <c r="L117" s="82" t="s">
        <v>137</v>
      </c>
      <c r="M117" s="82" t="s">
        <v>137</v>
      </c>
      <c r="N117" s="82" t="s">
        <v>137</v>
      </c>
      <c r="O117" s="82" t="s">
        <v>137</v>
      </c>
      <c r="P117" s="82" t="s">
        <v>137</v>
      </c>
      <c r="Q117" s="74" t="s">
        <v>87</v>
      </c>
      <c r="R117" s="74" t="s">
        <v>709</v>
      </c>
      <c r="S117" s="74" t="s">
        <v>40</v>
      </c>
      <c r="T117" s="74" t="s">
        <v>2</v>
      </c>
      <c r="U117" s="75"/>
      <c r="V117" s="75">
        <v>0.05</v>
      </c>
      <c r="W117" s="75">
        <v>0.08</v>
      </c>
      <c r="X117" s="75">
        <v>0.15</v>
      </c>
      <c r="Y117" s="75">
        <v>0.2</v>
      </c>
      <c r="Z117" s="75">
        <v>0.25</v>
      </c>
      <c r="AA117" s="75">
        <v>0.37</v>
      </c>
      <c r="AB117" s="75">
        <v>0.42</v>
      </c>
      <c r="AC117" s="75">
        <v>0.57999999999999996</v>
      </c>
      <c r="AD117" s="75">
        <v>0.67</v>
      </c>
      <c r="AE117" s="75">
        <v>0.83</v>
      </c>
      <c r="AF117" s="75">
        <v>1</v>
      </c>
      <c r="AG117" s="74" t="s">
        <v>533</v>
      </c>
      <c r="AH117" s="74" t="s">
        <v>530</v>
      </c>
      <c r="AI117" s="78" t="s">
        <v>539</v>
      </c>
      <c r="AJ117" s="79" t="s">
        <v>539</v>
      </c>
      <c r="AK117" s="80">
        <v>46023</v>
      </c>
      <c r="AL117" s="80">
        <v>46387</v>
      </c>
      <c r="AM117" s="79"/>
      <c r="AN117" s="79"/>
      <c r="AO117" s="79"/>
      <c r="AP117" s="81" t="s">
        <v>540</v>
      </c>
      <c r="AQ117" s="80" t="str" cm="1">
        <f t="array" ref="AQ117">IFERROR(DATE(2026, _xlfn.AGGREGATE(15, 6, (COLUMN(CI117:CT117)-COLUMN(CI117)+1)/(CI117:CT117&lt;&gt;0), 1), 1),"N/A")</f>
        <v>N/A</v>
      </c>
      <c r="AR117" s="80" t="str" cm="1">
        <f t="array" ref="AR117">IFERROR(EOMONTH(DATE(2026, _xlfn.AGGREGATE(14, 6, (COLUMN(CI117:CT117)-COLUMN(CI117)+1)/(CI117:CT117&lt;&gt;0), 1), 1), 0),"N/A")</f>
        <v>N/A</v>
      </c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4" t="s">
        <v>667</v>
      </c>
      <c r="BG117" s="74"/>
      <c r="BH117" s="74" t="s">
        <v>868</v>
      </c>
      <c r="BI117" s="74" t="s">
        <v>137</v>
      </c>
      <c r="BJ117" s="78">
        <v>530404</v>
      </c>
      <c r="BK117" s="82" t="s">
        <v>74</v>
      </c>
      <c r="BL117" s="83">
        <v>40000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84">
        <v>40000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73">
        <v>0</v>
      </c>
      <c r="BY117" s="73"/>
      <c r="BZ117" s="73">
        <v>-40000</v>
      </c>
      <c r="CA117" s="73"/>
      <c r="CB117" s="73"/>
      <c r="CC117" s="73"/>
      <c r="CD117" s="73"/>
      <c r="CE117" s="73"/>
      <c r="CF117" s="73"/>
      <c r="CG117" s="73"/>
      <c r="CH117" s="73">
        <f t="shared" si="2"/>
        <v>0</v>
      </c>
      <c r="CI117" s="73"/>
      <c r="CJ117" s="73"/>
      <c r="CK117" s="72">
        <v>0</v>
      </c>
      <c r="CL117" s="73">
        <v>0</v>
      </c>
      <c r="CM117" s="73">
        <v>0</v>
      </c>
      <c r="CN117" s="84">
        <v>0</v>
      </c>
      <c r="CO117" s="73">
        <v>0</v>
      </c>
      <c r="CP117" s="73">
        <v>0</v>
      </c>
      <c r="CQ117" s="73">
        <v>0</v>
      </c>
      <c r="CR117" s="73">
        <v>0</v>
      </c>
      <c r="CS117" s="73">
        <v>0</v>
      </c>
      <c r="CT117" s="73">
        <v>0</v>
      </c>
      <c r="CU117" s="73"/>
      <c r="CV117" s="84">
        <f t="shared" si="3"/>
        <v>0</v>
      </c>
      <c r="CW117" s="84"/>
      <c r="CX117" s="74"/>
      <c r="CY117" s="74"/>
      <c r="CZ117" s="74"/>
      <c r="DA117" s="74"/>
      <c r="DB117" s="74"/>
      <c r="DC117" s="74"/>
      <c r="DD117" s="74"/>
    </row>
    <row r="118" spans="1:108" s="68" customFormat="1" ht="15" customHeight="1" x14ac:dyDescent="0.25">
      <c r="A118" s="74" t="s">
        <v>691</v>
      </c>
      <c r="B118" s="74" t="s">
        <v>154</v>
      </c>
      <c r="C118" s="74" t="s">
        <v>172</v>
      </c>
      <c r="D118" s="74" t="s">
        <v>196</v>
      </c>
      <c r="E118" s="74" t="s">
        <v>309</v>
      </c>
      <c r="F118" s="74" t="s">
        <v>550</v>
      </c>
      <c r="G118" s="74" t="s">
        <v>137</v>
      </c>
      <c r="H118" s="74" t="s">
        <v>137</v>
      </c>
      <c r="I118" s="74" t="s">
        <v>66</v>
      </c>
      <c r="J118" s="74" t="s">
        <v>29</v>
      </c>
      <c r="K118" s="82" t="s">
        <v>137</v>
      </c>
      <c r="L118" s="82" t="s">
        <v>137</v>
      </c>
      <c r="M118" s="82" t="s">
        <v>137</v>
      </c>
      <c r="N118" s="82" t="s">
        <v>137</v>
      </c>
      <c r="O118" s="82" t="s">
        <v>137</v>
      </c>
      <c r="P118" s="82" t="s">
        <v>137</v>
      </c>
      <c r="Q118" s="74" t="s">
        <v>87</v>
      </c>
      <c r="R118" s="74" t="s">
        <v>709</v>
      </c>
      <c r="S118" s="74" t="s">
        <v>40</v>
      </c>
      <c r="T118" s="74" t="s">
        <v>2</v>
      </c>
      <c r="U118" s="75"/>
      <c r="V118" s="75">
        <v>0.05</v>
      </c>
      <c r="W118" s="75">
        <v>0.08</v>
      </c>
      <c r="X118" s="75">
        <v>0.15</v>
      </c>
      <c r="Y118" s="75">
        <v>0.2</v>
      </c>
      <c r="Z118" s="75">
        <v>0.25</v>
      </c>
      <c r="AA118" s="75">
        <v>0.37</v>
      </c>
      <c r="AB118" s="75">
        <v>0.42</v>
      </c>
      <c r="AC118" s="75">
        <v>0.57999999999999996</v>
      </c>
      <c r="AD118" s="75">
        <v>0.67</v>
      </c>
      <c r="AE118" s="75">
        <v>0.83</v>
      </c>
      <c r="AF118" s="75">
        <v>1</v>
      </c>
      <c r="AG118" s="74" t="s">
        <v>533</v>
      </c>
      <c r="AH118" s="74" t="s">
        <v>530</v>
      </c>
      <c r="AI118" s="78" t="s">
        <v>539</v>
      </c>
      <c r="AJ118" s="79" t="s">
        <v>539</v>
      </c>
      <c r="AK118" s="80">
        <v>46023</v>
      </c>
      <c r="AL118" s="80">
        <v>46387</v>
      </c>
      <c r="AM118" s="79"/>
      <c r="AN118" s="79"/>
      <c r="AO118" s="79"/>
      <c r="AP118" s="81" t="s">
        <v>540</v>
      </c>
      <c r="AQ118" s="80" cm="1">
        <f t="array" ref="AQ118">IFERROR(DATE(2026, _xlfn.AGGREGATE(15, 6, (COLUMN(CI118:CT118)-COLUMN(CI118)+1)/(CI118:CT118&lt;&gt;0), 1), 1),"N/A")</f>
        <v>46266</v>
      </c>
      <c r="AR118" s="80" cm="1">
        <f t="array" ref="AR118">IFERROR(EOMONTH(DATE(2026, _xlfn.AGGREGATE(14, 6, (COLUMN(CI118:CT118)-COLUMN(CI118)+1)/(CI118:CT118&lt;&gt;0), 1), 1), 0),"N/A")</f>
        <v>46295</v>
      </c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4" t="s">
        <v>590</v>
      </c>
      <c r="BG118" s="74" t="s">
        <v>1009</v>
      </c>
      <c r="BH118" s="74" t="s">
        <v>837</v>
      </c>
      <c r="BI118" s="74" t="s">
        <v>137</v>
      </c>
      <c r="BJ118" s="78">
        <v>530404</v>
      </c>
      <c r="BK118" s="82" t="s">
        <v>74</v>
      </c>
      <c r="BL118" s="83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84">
        <v>1000</v>
      </c>
      <c r="BV118" s="73">
        <v>0</v>
      </c>
      <c r="BW118" s="73">
        <v>0</v>
      </c>
      <c r="BX118" s="73">
        <v>0</v>
      </c>
      <c r="BY118" s="73"/>
      <c r="BZ118" s="73"/>
      <c r="CA118" s="73"/>
      <c r="CB118" s="73"/>
      <c r="CC118" s="73"/>
      <c r="CD118" s="73"/>
      <c r="CE118" s="73"/>
      <c r="CF118" s="73"/>
      <c r="CG118" s="73"/>
      <c r="CH118" s="73">
        <f t="shared" si="2"/>
        <v>1000</v>
      </c>
      <c r="CI118" s="73"/>
      <c r="CJ118" s="73"/>
      <c r="CK118" s="72">
        <v>0</v>
      </c>
      <c r="CL118" s="73">
        <v>0</v>
      </c>
      <c r="CM118" s="73">
        <v>0</v>
      </c>
      <c r="CN118" s="73">
        <v>0</v>
      </c>
      <c r="CO118" s="73">
        <v>0</v>
      </c>
      <c r="CP118" s="73">
        <v>0</v>
      </c>
      <c r="CQ118" s="84">
        <v>1000</v>
      </c>
      <c r="CR118" s="73">
        <v>0</v>
      </c>
      <c r="CS118" s="73">
        <v>0</v>
      </c>
      <c r="CT118" s="73">
        <v>0</v>
      </c>
      <c r="CU118" s="73"/>
      <c r="CV118" s="84">
        <f t="shared" si="3"/>
        <v>0</v>
      </c>
      <c r="CW118" s="84"/>
      <c r="CX118" s="74"/>
      <c r="CY118" s="74"/>
      <c r="CZ118" s="74"/>
      <c r="DA118" s="74"/>
      <c r="DB118" s="74"/>
      <c r="DC118" s="74"/>
      <c r="DD118" s="74"/>
    </row>
    <row r="119" spans="1:108" s="68" customFormat="1" ht="15" customHeight="1" x14ac:dyDescent="0.25">
      <c r="A119" s="74" t="s">
        <v>691</v>
      </c>
      <c r="B119" s="74" t="s">
        <v>154</v>
      </c>
      <c r="C119" s="74" t="s">
        <v>172</v>
      </c>
      <c r="D119" s="74" t="s">
        <v>196</v>
      </c>
      <c r="E119" s="74" t="s">
        <v>309</v>
      </c>
      <c r="F119" s="74" t="s">
        <v>550</v>
      </c>
      <c r="G119" s="74" t="s">
        <v>137</v>
      </c>
      <c r="H119" s="74" t="s">
        <v>137</v>
      </c>
      <c r="I119" s="74" t="s">
        <v>66</v>
      </c>
      <c r="J119" s="74" t="s">
        <v>29</v>
      </c>
      <c r="K119" s="82" t="s">
        <v>137</v>
      </c>
      <c r="L119" s="82" t="s">
        <v>137</v>
      </c>
      <c r="M119" s="82" t="s">
        <v>137</v>
      </c>
      <c r="N119" s="82" t="s">
        <v>137</v>
      </c>
      <c r="O119" s="82" t="s">
        <v>137</v>
      </c>
      <c r="P119" s="82" t="s">
        <v>137</v>
      </c>
      <c r="Q119" s="74" t="s">
        <v>87</v>
      </c>
      <c r="R119" s="74" t="s">
        <v>709</v>
      </c>
      <c r="S119" s="74" t="s">
        <v>40</v>
      </c>
      <c r="T119" s="74" t="s">
        <v>2</v>
      </c>
      <c r="U119" s="75"/>
      <c r="V119" s="75">
        <v>0.05</v>
      </c>
      <c r="W119" s="75">
        <v>0.08</v>
      </c>
      <c r="X119" s="75">
        <v>0.15</v>
      </c>
      <c r="Y119" s="75">
        <v>0.2</v>
      </c>
      <c r="Z119" s="75">
        <v>0.25</v>
      </c>
      <c r="AA119" s="75">
        <v>0.37</v>
      </c>
      <c r="AB119" s="75">
        <v>0.42</v>
      </c>
      <c r="AC119" s="75">
        <v>0.57999999999999996</v>
      </c>
      <c r="AD119" s="75">
        <v>0.67</v>
      </c>
      <c r="AE119" s="75">
        <v>0.83</v>
      </c>
      <c r="AF119" s="75">
        <v>1</v>
      </c>
      <c r="AG119" s="74" t="s">
        <v>533</v>
      </c>
      <c r="AH119" s="74" t="s">
        <v>530</v>
      </c>
      <c r="AI119" s="78" t="s">
        <v>539</v>
      </c>
      <c r="AJ119" s="79" t="s">
        <v>539</v>
      </c>
      <c r="AK119" s="80">
        <v>46023</v>
      </c>
      <c r="AL119" s="80">
        <v>46387</v>
      </c>
      <c r="AM119" s="79"/>
      <c r="AN119" s="79"/>
      <c r="AO119" s="79"/>
      <c r="AP119" s="81" t="s">
        <v>540</v>
      </c>
      <c r="AQ119" s="80" t="str" cm="1">
        <f t="array" ref="AQ119">IFERROR(DATE(2026, _xlfn.AGGREGATE(15, 6, (COLUMN(CI119:CT119)-COLUMN(CI119)+1)/(CI119:CT119&lt;&gt;0), 1), 1),"N/A")</f>
        <v>N/A</v>
      </c>
      <c r="AR119" s="80" t="str" cm="1">
        <f t="array" ref="AR119">IFERROR(EOMONTH(DATE(2026, _xlfn.AGGREGATE(14, 6, (COLUMN(CI119:CT119)-COLUMN(CI119)+1)/(CI119:CT119&lt;&gt;0), 1), 1), 0),"N/A")</f>
        <v>N/A</v>
      </c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4" t="s">
        <v>962</v>
      </c>
      <c r="BG119" s="74" t="s">
        <v>1009</v>
      </c>
      <c r="BH119" s="74" t="s">
        <v>963</v>
      </c>
      <c r="BI119" s="74" t="s">
        <v>137</v>
      </c>
      <c r="BJ119" s="78">
        <v>530701</v>
      </c>
      <c r="BK119" s="82" t="s">
        <v>74</v>
      </c>
      <c r="BL119" s="83">
        <v>0</v>
      </c>
      <c r="BM119" s="73"/>
      <c r="BN119" s="73"/>
      <c r="BO119" s="73"/>
      <c r="BP119" s="73"/>
      <c r="BQ119" s="73"/>
      <c r="BR119" s="73"/>
      <c r="BS119" s="73"/>
      <c r="BT119" s="73"/>
      <c r="BU119" s="84"/>
      <c r="BV119" s="73"/>
      <c r="BW119" s="73"/>
      <c r="BX119" s="73"/>
      <c r="BY119" s="73">
        <v>60000</v>
      </c>
      <c r="BZ119" s="73"/>
      <c r="CA119" s="73"/>
      <c r="CB119" s="73"/>
      <c r="CC119" s="73"/>
      <c r="CD119" s="73"/>
      <c r="CE119" s="73"/>
      <c r="CF119" s="73"/>
      <c r="CG119" s="73">
        <v>-60000</v>
      </c>
      <c r="CH119" s="73">
        <f t="shared" si="2"/>
        <v>0</v>
      </c>
      <c r="CI119" s="73"/>
      <c r="CJ119" s="73"/>
      <c r="CK119" s="72"/>
      <c r="CL119" s="73"/>
      <c r="CM119" s="73"/>
      <c r="CN119" s="73"/>
      <c r="CO119" s="73"/>
      <c r="CP119" s="73"/>
      <c r="CQ119" s="84"/>
      <c r="CR119" s="73"/>
      <c r="CS119" s="73"/>
      <c r="CT119" s="73"/>
      <c r="CU119" s="73"/>
      <c r="CV119" s="84">
        <f t="shared" si="3"/>
        <v>0</v>
      </c>
      <c r="CW119" s="84"/>
      <c r="CX119" s="74"/>
      <c r="CY119" s="74"/>
      <c r="CZ119" s="74"/>
      <c r="DA119" s="74"/>
      <c r="DB119" s="74"/>
      <c r="DC119" s="74"/>
      <c r="DD119" s="74"/>
    </row>
    <row r="120" spans="1:108" s="68" customFormat="1" ht="15" hidden="1" customHeight="1" x14ac:dyDescent="0.25">
      <c r="A120" s="74" t="s">
        <v>690</v>
      </c>
      <c r="B120" s="74" t="s">
        <v>154</v>
      </c>
      <c r="C120" s="74" t="s">
        <v>172</v>
      </c>
      <c r="D120" s="74" t="s">
        <v>196</v>
      </c>
      <c r="E120" s="74" t="s">
        <v>309</v>
      </c>
      <c r="F120" s="74" t="s">
        <v>550</v>
      </c>
      <c r="G120" s="74" t="s">
        <v>137</v>
      </c>
      <c r="H120" s="74" t="s">
        <v>137</v>
      </c>
      <c r="I120" s="74" t="s">
        <v>66</v>
      </c>
      <c r="J120" s="74" t="s">
        <v>29</v>
      </c>
      <c r="K120" s="82" t="s">
        <v>137</v>
      </c>
      <c r="L120" s="82" t="s">
        <v>137</v>
      </c>
      <c r="M120" s="82" t="s">
        <v>137</v>
      </c>
      <c r="N120" s="82" t="s">
        <v>137</v>
      </c>
      <c r="O120" s="82" t="s">
        <v>137</v>
      </c>
      <c r="P120" s="82" t="s">
        <v>137</v>
      </c>
      <c r="Q120" s="74" t="s">
        <v>87</v>
      </c>
      <c r="R120" s="74" t="s">
        <v>709</v>
      </c>
      <c r="S120" s="74" t="s">
        <v>40</v>
      </c>
      <c r="T120" s="74" t="s">
        <v>2</v>
      </c>
      <c r="U120" s="75"/>
      <c r="V120" s="75">
        <v>0.05</v>
      </c>
      <c r="W120" s="75">
        <v>0.08</v>
      </c>
      <c r="X120" s="75">
        <v>0.15</v>
      </c>
      <c r="Y120" s="75">
        <v>0.2</v>
      </c>
      <c r="Z120" s="75">
        <v>0.25</v>
      </c>
      <c r="AA120" s="75">
        <v>0.37</v>
      </c>
      <c r="AB120" s="75">
        <v>0.42</v>
      </c>
      <c r="AC120" s="75">
        <v>0.57999999999999996</v>
      </c>
      <c r="AD120" s="75">
        <v>0.67</v>
      </c>
      <c r="AE120" s="75">
        <v>0.83</v>
      </c>
      <c r="AF120" s="75">
        <v>1</v>
      </c>
      <c r="AG120" s="74" t="s">
        <v>533</v>
      </c>
      <c r="AH120" s="74" t="s">
        <v>530</v>
      </c>
      <c r="AI120" s="78" t="s">
        <v>539</v>
      </c>
      <c r="AJ120" s="79" t="s">
        <v>539</v>
      </c>
      <c r="AK120" s="80">
        <v>46023</v>
      </c>
      <c r="AL120" s="80">
        <v>46387</v>
      </c>
      <c r="AM120" s="79"/>
      <c r="AN120" s="79"/>
      <c r="AO120" s="79"/>
      <c r="AP120" s="81" t="s">
        <v>540</v>
      </c>
      <c r="AQ120" s="80" t="str" cm="1">
        <f t="array" ref="AQ120">IFERROR(DATE(2026, _xlfn.AGGREGATE(15, 6, (COLUMN(CI120:CT120)-COLUMN(CI120)+1)/(CI120:CT120&lt;&gt;0), 1), 1),"N/A")</f>
        <v>N/A</v>
      </c>
      <c r="AR120" s="80" t="str" cm="1">
        <f t="array" ref="AR120">IFERROR(EOMONTH(DATE(2026, _xlfn.AGGREGATE(14, 6, (COLUMN(CI120:CT120)-COLUMN(CI120)+1)/(CI120:CT120&lt;&gt;0), 1), 1), 0),"N/A")</f>
        <v>N/A</v>
      </c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4" t="s">
        <v>678</v>
      </c>
      <c r="BG120" s="74"/>
      <c r="BH120" s="74" t="s">
        <v>869</v>
      </c>
      <c r="BI120" s="74" t="s">
        <v>137</v>
      </c>
      <c r="BJ120" s="78">
        <v>530404</v>
      </c>
      <c r="BK120" s="82" t="s">
        <v>74</v>
      </c>
      <c r="BL120" s="83">
        <f>80000-5400</f>
        <v>74600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4">
        <v>74600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73">
        <v>0</v>
      </c>
      <c r="BY120" s="73"/>
      <c r="BZ120" s="73">
        <v>-74600</v>
      </c>
      <c r="CA120" s="73"/>
      <c r="CB120" s="73"/>
      <c r="CC120" s="73"/>
      <c r="CD120" s="73"/>
      <c r="CE120" s="73"/>
      <c r="CF120" s="73"/>
      <c r="CG120" s="73"/>
      <c r="CH120" s="73">
        <f t="shared" si="2"/>
        <v>0</v>
      </c>
      <c r="CI120" s="73"/>
      <c r="CJ120" s="73"/>
      <c r="CK120" s="72">
        <v>0</v>
      </c>
      <c r="CL120" s="73">
        <v>0</v>
      </c>
      <c r="CM120" s="73">
        <v>0</v>
      </c>
      <c r="CN120" s="84">
        <v>0</v>
      </c>
      <c r="CO120" s="73">
        <v>0</v>
      </c>
      <c r="CP120" s="73">
        <v>0</v>
      </c>
      <c r="CQ120" s="73">
        <v>0</v>
      </c>
      <c r="CR120" s="73">
        <v>0</v>
      </c>
      <c r="CS120" s="73">
        <v>0</v>
      </c>
      <c r="CT120" s="73">
        <v>0</v>
      </c>
      <c r="CU120" s="73"/>
      <c r="CV120" s="84">
        <f t="shared" si="3"/>
        <v>0</v>
      </c>
      <c r="CW120" s="84"/>
      <c r="CX120" s="74"/>
      <c r="CY120" s="74"/>
      <c r="CZ120" s="74"/>
      <c r="DA120" s="74"/>
      <c r="DB120" s="74"/>
      <c r="DC120" s="74"/>
      <c r="DD120" s="74"/>
    </row>
    <row r="121" spans="1:108" s="68" customFormat="1" ht="15" customHeight="1" x14ac:dyDescent="0.25">
      <c r="A121" s="74" t="s">
        <v>691</v>
      </c>
      <c r="B121" s="74" t="s">
        <v>154</v>
      </c>
      <c r="C121" s="74" t="s">
        <v>172</v>
      </c>
      <c r="D121" s="74" t="s">
        <v>196</v>
      </c>
      <c r="E121" s="74" t="s">
        <v>309</v>
      </c>
      <c r="F121" s="74" t="s">
        <v>550</v>
      </c>
      <c r="G121" s="74" t="s">
        <v>137</v>
      </c>
      <c r="H121" s="74" t="s">
        <v>137</v>
      </c>
      <c r="I121" s="74" t="s">
        <v>66</v>
      </c>
      <c r="J121" s="74" t="s">
        <v>29</v>
      </c>
      <c r="K121" s="82" t="s">
        <v>137</v>
      </c>
      <c r="L121" s="82" t="s">
        <v>137</v>
      </c>
      <c r="M121" s="82" t="s">
        <v>137</v>
      </c>
      <c r="N121" s="82" t="s">
        <v>137</v>
      </c>
      <c r="O121" s="82" t="s">
        <v>137</v>
      </c>
      <c r="P121" s="82" t="s">
        <v>137</v>
      </c>
      <c r="Q121" s="74" t="s">
        <v>87</v>
      </c>
      <c r="R121" s="74" t="s">
        <v>709</v>
      </c>
      <c r="S121" s="74" t="s">
        <v>40</v>
      </c>
      <c r="T121" s="74" t="s">
        <v>2</v>
      </c>
      <c r="U121" s="75"/>
      <c r="V121" s="75">
        <v>0.05</v>
      </c>
      <c r="W121" s="75">
        <v>0.08</v>
      </c>
      <c r="X121" s="75">
        <v>0.15</v>
      </c>
      <c r="Y121" s="75">
        <v>0.2</v>
      </c>
      <c r="Z121" s="75">
        <v>0.25</v>
      </c>
      <c r="AA121" s="75">
        <v>0.37</v>
      </c>
      <c r="AB121" s="75">
        <v>0.42</v>
      </c>
      <c r="AC121" s="75">
        <v>0.57999999999999996</v>
      </c>
      <c r="AD121" s="75">
        <v>0.67</v>
      </c>
      <c r="AE121" s="75">
        <v>0.83</v>
      </c>
      <c r="AF121" s="75">
        <v>1</v>
      </c>
      <c r="AG121" s="74" t="s">
        <v>533</v>
      </c>
      <c r="AH121" s="74" t="s">
        <v>530</v>
      </c>
      <c r="AI121" s="78" t="s">
        <v>539</v>
      </c>
      <c r="AJ121" s="79" t="s">
        <v>539</v>
      </c>
      <c r="AK121" s="80">
        <v>46023</v>
      </c>
      <c r="AL121" s="80">
        <v>46387</v>
      </c>
      <c r="AM121" s="79"/>
      <c r="AN121" s="79"/>
      <c r="AO121" s="79"/>
      <c r="AP121" s="81" t="s">
        <v>540</v>
      </c>
      <c r="AQ121" s="80" cm="1">
        <f t="array" ref="AQ121">IFERROR(DATE(2026, _xlfn.AGGREGATE(15, 6, (COLUMN(CI121:CT121)-COLUMN(CI121)+1)/(CI121:CT121&lt;&gt;0), 1), 1),"N/A")</f>
        <v>46296</v>
      </c>
      <c r="AR121" s="80" cm="1">
        <f t="array" ref="AR121">IFERROR(EOMONTH(DATE(2026, _xlfn.AGGREGATE(14, 6, (COLUMN(CI121:CT121)-COLUMN(CI121)+1)/(CI121:CT121&lt;&gt;0), 1), 1), 0),"N/A")</f>
        <v>46326</v>
      </c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4" t="s">
        <v>613</v>
      </c>
      <c r="BG121" s="74" t="s">
        <v>1009</v>
      </c>
      <c r="BH121" s="74" t="s">
        <v>756</v>
      </c>
      <c r="BI121" s="74" t="s">
        <v>137</v>
      </c>
      <c r="BJ121" s="78">
        <v>530404</v>
      </c>
      <c r="BK121" s="82" t="s">
        <v>74</v>
      </c>
      <c r="BL121" s="83">
        <v>3500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73">
        <v>0</v>
      </c>
      <c r="BV121" s="84">
        <v>3500</v>
      </c>
      <c r="BW121" s="73">
        <v>0</v>
      </c>
      <c r="BX121" s="73">
        <v>0</v>
      </c>
      <c r="BY121" s="73"/>
      <c r="BZ121" s="73"/>
      <c r="CA121" s="73"/>
      <c r="CB121" s="73"/>
      <c r="CC121" s="73"/>
      <c r="CD121" s="73"/>
      <c r="CE121" s="73"/>
      <c r="CF121" s="73"/>
      <c r="CG121" s="73"/>
      <c r="CH121" s="73">
        <f t="shared" si="2"/>
        <v>3500</v>
      </c>
      <c r="CI121" s="73"/>
      <c r="CJ121" s="73"/>
      <c r="CK121" s="72">
        <v>0</v>
      </c>
      <c r="CL121" s="73">
        <v>0</v>
      </c>
      <c r="CM121" s="73">
        <v>0</v>
      </c>
      <c r="CN121" s="73">
        <v>0</v>
      </c>
      <c r="CO121" s="73">
        <v>0</v>
      </c>
      <c r="CP121" s="73">
        <v>0</v>
      </c>
      <c r="CQ121" s="73">
        <v>0</v>
      </c>
      <c r="CR121" s="84">
        <v>3500</v>
      </c>
      <c r="CS121" s="73">
        <v>0</v>
      </c>
      <c r="CT121" s="73">
        <v>0</v>
      </c>
      <c r="CU121" s="73"/>
      <c r="CV121" s="84">
        <f t="shared" si="3"/>
        <v>0</v>
      </c>
      <c r="CW121" s="84"/>
      <c r="CX121" s="74"/>
      <c r="CY121" s="74"/>
      <c r="CZ121" s="74"/>
      <c r="DA121" s="74"/>
      <c r="DB121" s="74"/>
      <c r="DC121" s="74"/>
      <c r="DD121" s="74"/>
    </row>
    <row r="122" spans="1:108" s="68" customFormat="1" ht="15" customHeight="1" x14ac:dyDescent="0.25">
      <c r="A122" s="74" t="s">
        <v>691</v>
      </c>
      <c r="B122" s="74" t="s">
        <v>154</v>
      </c>
      <c r="C122" s="74" t="s">
        <v>172</v>
      </c>
      <c r="D122" s="74" t="s">
        <v>196</v>
      </c>
      <c r="E122" s="74" t="s">
        <v>309</v>
      </c>
      <c r="F122" s="74" t="s">
        <v>550</v>
      </c>
      <c r="G122" s="74" t="s">
        <v>137</v>
      </c>
      <c r="H122" s="74" t="s">
        <v>137</v>
      </c>
      <c r="I122" s="74" t="s">
        <v>66</v>
      </c>
      <c r="J122" s="74" t="s">
        <v>29</v>
      </c>
      <c r="K122" s="82" t="s">
        <v>137</v>
      </c>
      <c r="L122" s="82" t="s">
        <v>137</v>
      </c>
      <c r="M122" s="82" t="s">
        <v>137</v>
      </c>
      <c r="N122" s="82" t="s">
        <v>137</v>
      </c>
      <c r="O122" s="82" t="s">
        <v>137</v>
      </c>
      <c r="P122" s="82" t="s">
        <v>137</v>
      </c>
      <c r="Q122" s="74" t="s">
        <v>87</v>
      </c>
      <c r="R122" s="74" t="s">
        <v>709</v>
      </c>
      <c r="S122" s="74" t="s">
        <v>40</v>
      </c>
      <c r="T122" s="74" t="s">
        <v>2</v>
      </c>
      <c r="U122" s="75"/>
      <c r="V122" s="75">
        <v>0.05</v>
      </c>
      <c r="W122" s="75">
        <v>0.08</v>
      </c>
      <c r="X122" s="75">
        <v>0.15</v>
      </c>
      <c r="Y122" s="75">
        <v>0.2</v>
      </c>
      <c r="Z122" s="75">
        <v>0.25</v>
      </c>
      <c r="AA122" s="75">
        <v>0.37</v>
      </c>
      <c r="AB122" s="75">
        <v>0.42</v>
      </c>
      <c r="AC122" s="75">
        <v>0.57999999999999996</v>
      </c>
      <c r="AD122" s="75">
        <v>0.67</v>
      </c>
      <c r="AE122" s="75">
        <v>0.83</v>
      </c>
      <c r="AF122" s="75">
        <v>1</v>
      </c>
      <c r="AG122" s="74" t="s">
        <v>533</v>
      </c>
      <c r="AH122" s="74" t="s">
        <v>530</v>
      </c>
      <c r="AI122" s="78" t="s">
        <v>539</v>
      </c>
      <c r="AJ122" s="79" t="s">
        <v>539</v>
      </c>
      <c r="AK122" s="80">
        <v>46023</v>
      </c>
      <c r="AL122" s="80">
        <v>46387</v>
      </c>
      <c r="AM122" s="79"/>
      <c r="AN122" s="79"/>
      <c r="AO122" s="79"/>
      <c r="AP122" s="81" t="s">
        <v>540</v>
      </c>
      <c r="AQ122" s="80" t="str" cm="1">
        <f t="array" ref="AQ122">IFERROR(DATE(2026, _xlfn.AGGREGATE(15, 6, (COLUMN(CI122:CT122)-COLUMN(CI122)+1)/(CI122:CT122&lt;&gt;0), 1), 1),"N/A")</f>
        <v>N/A</v>
      </c>
      <c r="AR122" s="80" t="str" cm="1">
        <f t="array" ref="AR122">IFERROR(EOMONTH(DATE(2026, _xlfn.AGGREGATE(14, 6, (COLUMN(CI122:CT122)-COLUMN(CI122)+1)/(CI122:CT122&lt;&gt;0), 1), 1), 0),"N/A")</f>
        <v>N/A</v>
      </c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4" t="s">
        <v>610</v>
      </c>
      <c r="BG122" s="74" t="s">
        <v>1009</v>
      </c>
      <c r="BH122" s="74" t="s">
        <v>836</v>
      </c>
      <c r="BI122" s="74" t="s">
        <v>137</v>
      </c>
      <c r="BJ122" s="78">
        <v>530404</v>
      </c>
      <c r="BK122" s="82" t="s">
        <v>74</v>
      </c>
      <c r="BL122" s="83">
        <v>3000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4">
        <v>3000</v>
      </c>
      <c r="BW122" s="73">
        <v>0</v>
      </c>
      <c r="BX122" s="73">
        <v>0</v>
      </c>
      <c r="BY122" s="73">
        <v>-3000</v>
      </c>
      <c r="BZ122" s="73"/>
      <c r="CA122" s="73"/>
      <c r="CB122" s="73"/>
      <c r="CC122" s="73"/>
      <c r="CD122" s="73"/>
      <c r="CE122" s="73"/>
      <c r="CF122" s="73"/>
      <c r="CG122" s="73"/>
      <c r="CH122" s="73">
        <f t="shared" si="2"/>
        <v>0</v>
      </c>
      <c r="CI122" s="73"/>
      <c r="CJ122" s="73"/>
      <c r="CK122" s="72">
        <v>0</v>
      </c>
      <c r="CL122" s="73">
        <v>0</v>
      </c>
      <c r="CM122" s="73">
        <v>0</v>
      </c>
      <c r="CN122" s="73">
        <v>0</v>
      </c>
      <c r="CO122" s="73">
        <v>0</v>
      </c>
      <c r="CP122" s="73">
        <v>0</v>
      </c>
      <c r="CQ122" s="73">
        <v>0</v>
      </c>
      <c r="CR122" s="84">
        <v>0</v>
      </c>
      <c r="CS122" s="73">
        <v>0</v>
      </c>
      <c r="CT122" s="73">
        <v>0</v>
      </c>
      <c r="CU122" s="73"/>
      <c r="CV122" s="84">
        <f t="shared" si="3"/>
        <v>0</v>
      </c>
      <c r="CW122" s="84"/>
      <c r="CX122" s="74"/>
      <c r="CY122" s="74"/>
      <c r="CZ122" s="74"/>
      <c r="DA122" s="74"/>
      <c r="DB122" s="74"/>
      <c r="DC122" s="74"/>
      <c r="DD122" s="74"/>
    </row>
    <row r="123" spans="1:108" s="181" customFormat="1" ht="15" customHeight="1" x14ac:dyDescent="0.25">
      <c r="A123" s="179" t="s">
        <v>691</v>
      </c>
      <c r="B123" s="74" t="s">
        <v>154</v>
      </c>
      <c r="C123" s="74" t="s">
        <v>172</v>
      </c>
      <c r="D123" s="74" t="s">
        <v>196</v>
      </c>
      <c r="E123" s="179" t="s">
        <v>309</v>
      </c>
      <c r="F123" s="74" t="s">
        <v>550</v>
      </c>
      <c r="G123" s="74" t="s">
        <v>137</v>
      </c>
      <c r="H123" s="74" t="s">
        <v>137</v>
      </c>
      <c r="I123" s="74" t="s">
        <v>66</v>
      </c>
      <c r="J123" s="74" t="s">
        <v>29</v>
      </c>
      <c r="K123" s="82" t="s">
        <v>137</v>
      </c>
      <c r="L123" s="82" t="s">
        <v>137</v>
      </c>
      <c r="M123" s="82" t="s">
        <v>137</v>
      </c>
      <c r="N123" s="82" t="s">
        <v>137</v>
      </c>
      <c r="O123" s="82" t="s">
        <v>137</v>
      </c>
      <c r="P123" s="82" t="s">
        <v>137</v>
      </c>
      <c r="Q123" s="74" t="s">
        <v>87</v>
      </c>
      <c r="R123" s="74" t="s">
        <v>709</v>
      </c>
      <c r="S123" s="74" t="s">
        <v>40</v>
      </c>
      <c r="T123" s="74" t="s">
        <v>2</v>
      </c>
      <c r="U123" s="75"/>
      <c r="V123" s="75">
        <v>0.05</v>
      </c>
      <c r="W123" s="75">
        <v>0.08</v>
      </c>
      <c r="X123" s="75">
        <v>0.15</v>
      </c>
      <c r="Y123" s="75">
        <v>0.2</v>
      </c>
      <c r="Z123" s="75">
        <v>0.25</v>
      </c>
      <c r="AA123" s="75">
        <v>0.37</v>
      </c>
      <c r="AB123" s="75">
        <v>0.42</v>
      </c>
      <c r="AC123" s="75">
        <v>0.57999999999999996</v>
      </c>
      <c r="AD123" s="75">
        <v>0.67</v>
      </c>
      <c r="AE123" s="75">
        <v>0.83</v>
      </c>
      <c r="AF123" s="75">
        <v>1</v>
      </c>
      <c r="AG123" s="74" t="s">
        <v>533</v>
      </c>
      <c r="AH123" s="74" t="s">
        <v>530</v>
      </c>
      <c r="AI123" s="78" t="s">
        <v>539</v>
      </c>
      <c r="AJ123" s="79" t="s">
        <v>539</v>
      </c>
      <c r="AK123" s="80">
        <v>46023</v>
      </c>
      <c r="AL123" s="80">
        <v>46387</v>
      </c>
      <c r="AM123" s="79"/>
      <c r="AN123" s="79"/>
      <c r="AO123" s="79"/>
      <c r="AP123" s="81" t="s">
        <v>540</v>
      </c>
      <c r="AQ123" s="80" cm="1">
        <f t="array" ref="AQ123">IFERROR(DATE(2026, _xlfn.AGGREGATE(15, 6, (COLUMN(CI123:CT123)-COLUMN(CI123)+1)/(CI123:CT123&lt;&gt;0), 1), 1),"N/A")</f>
        <v>46113</v>
      </c>
      <c r="AR123" s="80" cm="1">
        <f t="array" ref="AR123">IFERROR(EOMONTH(DATE(2026, _xlfn.AGGREGATE(14, 6, (COLUMN(CI123:CT123)-COLUMN(CI123)+1)/(CI123:CT123&lt;&gt;0), 1), 1), 0),"N/A")</f>
        <v>46142</v>
      </c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179" t="s">
        <v>601</v>
      </c>
      <c r="BG123" s="74" t="s">
        <v>1009</v>
      </c>
      <c r="BH123" s="74" t="s">
        <v>888</v>
      </c>
      <c r="BI123" s="74" t="s">
        <v>137</v>
      </c>
      <c r="BJ123" s="78">
        <v>530404</v>
      </c>
      <c r="BK123" s="82" t="s">
        <v>74</v>
      </c>
      <c r="BL123" s="83">
        <v>2000</v>
      </c>
      <c r="BM123" s="73">
        <v>0</v>
      </c>
      <c r="BN123" s="73">
        <v>0</v>
      </c>
      <c r="BO123" s="73">
        <v>0</v>
      </c>
      <c r="BP123" s="72">
        <v>2000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73">
        <v>0</v>
      </c>
      <c r="BW123" s="73">
        <v>0</v>
      </c>
      <c r="BX123" s="73">
        <v>0</v>
      </c>
      <c r="BY123" s="73"/>
      <c r="BZ123" s="73"/>
      <c r="CA123" s="73"/>
      <c r="CB123" s="73"/>
      <c r="CC123" s="73"/>
      <c r="CD123" s="73"/>
      <c r="CE123" s="73"/>
      <c r="CF123" s="73"/>
      <c r="CG123" s="180"/>
      <c r="CH123" s="180">
        <f t="shared" si="2"/>
        <v>2000</v>
      </c>
      <c r="CI123" s="73"/>
      <c r="CJ123" s="73"/>
      <c r="CK123" s="72">
        <v>0</v>
      </c>
      <c r="CL123" s="72">
        <v>2000</v>
      </c>
      <c r="CM123" s="73">
        <v>0</v>
      </c>
      <c r="CN123" s="73">
        <v>0</v>
      </c>
      <c r="CO123" s="73">
        <v>0</v>
      </c>
      <c r="CP123" s="73">
        <v>0</v>
      </c>
      <c r="CQ123" s="73">
        <v>0</v>
      </c>
      <c r="CR123" s="73">
        <v>0</v>
      </c>
      <c r="CS123" s="73">
        <v>0</v>
      </c>
      <c r="CT123" s="73">
        <v>0</v>
      </c>
      <c r="CU123" s="73"/>
      <c r="CV123" s="84">
        <f t="shared" si="3"/>
        <v>0</v>
      </c>
      <c r="CW123" s="84"/>
      <c r="CX123" s="74"/>
      <c r="CY123" s="74"/>
      <c r="CZ123" s="74"/>
      <c r="DA123" s="179"/>
      <c r="DB123" s="179"/>
      <c r="DC123" s="179"/>
      <c r="DD123" s="179"/>
    </row>
    <row r="124" spans="1:108" s="68" customFormat="1" ht="15" customHeight="1" x14ac:dyDescent="0.25">
      <c r="A124" s="74" t="s">
        <v>691</v>
      </c>
      <c r="B124" s="74" t="s">
        <v>154</v>
      </c>
      <c r="C124" s="74" t="s">
        <v>172</v>
      </c>
      <c r="D124" s="74" t="s">
        <v>196</v>
      </c>
      <c r="E124" s="74" t="s">
        <v>309</v>
      </c>
      <c r="F124" s="74" t="s">
        <v>550</v>
      </c>
      <c r="G124" s="74" t="s">
        <v>137</v>
      </c>
      <c r="H124" s="74" t="s">
        <v>137</v>
      </c>
      <c r="I124" s="74" t="s">
        <v>66</v>
      </c>
      <c r="J124" s="74" t="s">
        <v>29</v>
      </c>
      <c r="K124" s="82" t="s">
        <v>137</v>
      </c>
      <c r="L124" s="82" t="s">
        <v>137</v>
      </c>
      <c r="M124" s="82" t="s">
        <v>137</v>
      </c>
      <c r="N124" s="82" t="s">
        <v>137</v>
      </c>
      <c r="O124" s="82" t="s">
        <v>137</v>
      </c>
      <c r="P124" s="82" t="s">
        <v>137</v>
      </c>
      <c r="Q124" s="74" t="s">
        <v>87</v>
      </c>
      <c r="R124" s="74" t="s">
        <v>709</v>
      </c>
      <c r="S124" s="74" t="s">
        <v>40</v>
      </c>
      <c r="T124" s="74" t="s">
        <v>2</v>
      </c>
      <c r="U124" s="75"/>
      <c r="V124" s="75">
        <v>0.05</v>
      </c>
      <c r="W124" s="75">
        <v>0.08</v>
      </c>
      <c r="X124" s="75">
        <v>0.15</v>
      </c>
      <c r="Y124" s="75">
        <v>0.2</v>
      </c>
      <c r="Z124" s="75">
        <v>0.25</v>
      </c>
      <c r="AA124" s="75">
        <v>0.37</v>
      </c>
      <c r="AB124" s="75">
        <v>0.42</v>
      </c>
      <c r="AC124" s="75">
        <v>0.57999999999999996</v>
      </c>
      <c r="AD124" s="75">
        <v>0.67</v>
      </c>
      <c r="AE124" s="75">
        <v>0.83</v>
      </c>
      <c r="AF124" s="75">
        <v>1</v>
      </c>
      <c r="AG124" s="74" t="s">
        <v>533</v>
      </c>
      <c r="AH124" s="74" t="s">
        <v>530</v>
      </c>
      <c r="AI124" s="78" t="s">
        <v>539</v>
      </c>
      <c r="AJ124" s="79" t="s">
        <v>539</v>
      </c>
      <c r="AK124" s="80">
        <v>46023</v>
      </c>
      <c r="AL124" s="80">
        <v>46387</v>
      </c>
      <c r="AM124" s="79"/>
      <c r="AN124" s="79"/>
      <c r="AO124" s="79"/>
      <c r="AP124" s="81" t="s">
        <v>540</v>
      </c>
      <c r="AQ124" s="80" cm="1">
        <f t="array" ref="AQ124">IFERROR(DATE(2026, _xlfn.AGGREGATE(15, 6, (COLUMN(CI124:CT124)-COLUMN(CI124)+1)/(CI124:CT124&lt;&gt;0), 1), 1),"N/A")</f>
        <v>46235</v>
      </c>
      <c r="AR124" s="80" cm="1">
        <f t="array" ref="AR124">IFERROR(EOMONTH(DATE(2026, _xlfn.AGGREGATE(14, 6, (COLUMN(CI124:CT124)-COLUMN(CI124)+1)/(CI124:CT124&lt;&gt;0), 1), 1), 0),"N/A")</f>
        <v>46265</v>
      </c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4" t="s">
        <v>975</v>
      </c>
      <c r="BG124" s="74" t="s">
        <v>1009</v>
      </c>
      <c r="BH124" s="74" t="s">
        <v>976</v>
      </c>
      <c r="BI124" s="74" t="s">
        <v>137</v>
      </c>
      <c r="BJ124" s="78">
        <v>530704</v>
      </c>
      <c r="BK124" s="82" t="s">
        <v>74</v>
      </c>
      <c r="BL124" s="83">
        <v>0</v>
      </c>
      <c r="BM124" s="73"/>
      <c r="BN124" s="73"/>
      <c r="BO124" s="73"/>
      <c r="BP124" s="73"/>
      <c r="BQ124" s="73"/>
      <c r="BR124" s="73"/>
      <c r="BS124" s="73"/>
      <c r="BT124" s="73"/>
      <c r="BU124" s="73"/>
      <c r="BV124" s="84"/>
      <c r="BW124" s="73"/>
      <c r="BX124" s="73"/>
      <c r="BY124" s="73">
        <v>3000</v>
      </c>
      <c r="BZ124" s="73"/>
      <c r="CA124" s="73"/>
      <c r="CB124" s="73"/>
      <c r="CC124" s="73"/>
      <c r="CD124" s="73"/>
      <c r="CE124" s="73"/>
      <c r="CF124" s="73"/>
      <c r="CG124" s="73"/>
      <c r="CH124" s="73">
        <f t="shared" si="2"/>
        <v>3000</v>
      </c>
      <c r="CI124" s="73"/>
      <c r="CJ124" s="73"/>
      <c r="CK124" s="72"/>
      <c r="CL124" s="73"/>
      <c r="CM124" s="73"/>
      <c r="CN124" s="73"/>
      <c r="CO124" s="73"/>
      <c r="CP124" s="73">
        <v>3000</v>
      </c>
      <c r="CQ124" s="73"/>
      <c r="CR124" s="84"/>
      <c r="CS124" s="73"/>
      <c r="CT124" s="73"/>
      <c r="CU124" s="73"/>
      <c r="CV124" s="84">
        <f t="shared" si="3"/>
        <v>0</v>
      </c>
      <c r="CW124" s="84"/>
      <c r="CX124" s="74"/>
      <c r="CY124" s="74"/>
      <c r="CZ124" s="74"/>
      <c r="DA124" s="74"/>
      <c r="DB124" s="74"/>
      <c r="DC124" s="74"/>
      <c r="DD124" s="74"/>
    </row>
    <row r="125" spans="1:108" s="181" customFormat="1" ht="15" customHeight="1" x14ac:dyDescent="0.25">
      <c r="A125" s="179" t="s">
        <v>691</v>
      </c>
      <c r="B125" s="74" t="s">
        <v>154</v>
      </c>
      <c r="C125" s="74" t="s">
        <v>172</v>
      </c>
      <c r="D125" s="74" t="s">
        <v>196</v>
      </c>
      <c r="E125" s="179" t="s">
        <v>309</v>
      </c>
      <c r="F125" s="74" t="s">
        <v>550</v>
      </c>
      <c r="G125" s="74" t="s">
        <v>137</v>
      </c>
      <c r="H125" s="74" t="s">
        <v>137</v>
      </c>
      <c r="I125" s="74" t="s">
        <v>66</v>
      </c>
      <c r="J125" s="74" t="s">
        <v>29</v>
      </c>
      <c r="K125" s="82" t="s">
        <v>137</v>
      </c>
      <c r="L125" s="82" t="s">
        <v>137</v>
      </c>
      <c r="M125" s="82" t="s">
        <v>137</v>
      </c>
      <c r="N125" s="82" t="s">
        <v>137</v>
      </c>
      <c r="O125" s="82" t="s">
        <v>137</v>
      </c>
      <c r="P125" s="82" t="s">
        <v>137</v>
      </c>
      <c r="Q125" s="74" t="s">
        <v>87</v>
      </c>
      <c r="R125" s="74" t="s">
        <v>709</v>
      </c>
      <c r="S125" s="74" t="s">
        <v>40</v>
      </c>
      <c r="T125" s="74" t="s">
        <v>2</v>
      </c>
      <c r="U125" s="75"/>
      <c r="V125" s="75">
        <v>0.05</v>
      </c>
      <c r="W125" s="75">
        <v>0.08</v>
      </c>
      <c r="X125" s="75">
        <v>0.15</v>
      </c>
      <c r="Y125" s="75">
        <v>0.2</v>
      </c>
      <c r="Z125" s="75">
        <v>0.25</v>
      </c>
      <c r="AA125" s="75">
        <v>0.37</v>
      </c>
      <c r="AB125" s="75">
        <v>0.42</v>
      </c>
      <c r="AC125" s="75">
        <v>0.57999999999999996</v>
      </c>
      <c r="AD125" s="75">
        <v>0.67</v>
      </c>
      <c r="AE125" s="75">
        <v>0.83</v>
      </c>
      <c r="AF125" s="75">
        <v>1</v>
      </c>
      <c r="AG125" s="74" t="s">
        <v>533</v>
      </c>
      <c r="AH125" s="74" t="s">
        <v>788</v>
      </c>
      <c r="AI125" s="78" t="s">
        <v>539</v>
      </c>
      <c r="AJ125" s="79" t="s">
        <v>539</v>
      </c>
      <c r="AK125" s="80">
        <v>46023</v>
      </c>
      <c r="AL125" s="80">
        <v>46387</v>
      </c>
      <c r="AM125" s="79"/>
      <c r="AN125" s="79"/>
      <c r="AO125" s="79"/>
      <c r="AP125" s="81" t="s">
        <v>540</v>
      </c>
      <c r="AQ125" s="80" cm="1">
        <f t="array" ref="AQ125">IFERROR(DATE(2026, _xlfn.AGGREGATE(15, 6, (COLUMN(CI125:CT125)-COLUMN(CI125)+1)/(CI125:CT125&lt;&gt;0), 1), 1),"N/A")</f>
        <v>46327</v>
      </c>
      <c r="AR125" s="80" cm="1">
        <f t="array" ref="AR125">IFERROR(EOMONTH(DATE(2026, _xlfn.AGGREGATE(14, 6, (COLUMN(CI125:CT125)-COLUMN(CI125)+1)/(CI125:CT125&lt;&gt;0), 1), 1), 0),"N/A")</f>
        <v>46356</v>
      </c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179" t="s">
        <v>1004</v>
      </c>
      <c r="BG125" s="74" t="s">
        <v>539</v>
      </c>
      <c r="BH125" s="74" t="s">
        <v>966</v>
      </c>
      <c r="BI125" s="74" t="s">
        <v>137</v>
      </c>
      <c r="BJ125" s="78">
        <v>530704</v>
      </c>
      <c r="BK125" s="82" t="s">
        <v>74</v>
      </c>
      <c r="BL125" s="83">
        <v>0</v>
      </c>
      <c r="BM125" s="73"/>
      <c r="BN125" s="73"/>
      <c r="BO125" s="73"/>
      <c r="BP125" s="73"/>
      <c r="BQ125" s="73"/>
      <c r="BR125" s="73"/>
      <c r="BS125" s="73"/>
      <c r="BT125" s="84"/>
      <c r="BU125" s="73"/>
      <c r="BV125" s="73"/>
      <c r="BW125" s="73"/>
      <c r="BX125" s="73"/>
      <c r="BY125" s="73">
        <v>200</v>
      </c>
      <c r="BZ125" s="73"/>
      <c r="CA125" s="73"/>
      <c r="CB125" s="73"/>
      <c r="CC125" s="73"/>
      <c r="CD125" s="73"/>
      <c r="CE125" s="73"/>
      <c r="CF125" s="73"/>
      <c r="CG125" s="180"/>
      <c r="CH125" s="180">
        <f t="shared" si="2"/>
        <v>200</v>
      </c>
      <c r="CI125" s="73"/>
      <c r="CJ125" s="73"/>
      <c r="CK125" s="72"/>
      <c r="CL125" s="73"/>
      <c r="CM125" s="73"/>
      <c r="CN125" s="73"/>
      <c r="CO125" s="73"/>
      <c r="CP125" s="84"/>
      <c r="CQ125" s="73"/>
      <c r="CR125" s="73"/>
      <c r="CS125" s="73">
        <v>200</v>
      </c>
      <c r="CT125" s="73"/>
      <c r="CU125" s="73"/>
      <c r="CV125" s="84">
        <f t="shared" si="3"/>
        <v>0</v>
      </c>
      <c r="CW125" s="84"/>
      <c r="CX125" s="74"/>
      <c r="CY125" s="74"/>
      <c r="CZ125" s="74"/>
      <c r="DA125" s="179"/>
      <c r="DB125" s="179"/>
      <c r="DC125" s="179"/>
      <c r="DD125" s="179"/>
    </row>
    <row r="126" spans="1:108" s="68" customFormat="1" ht="15" hidden="1" customHeight="1" x14ac:dyDescent="0.25">
      <c r="A126" s="74" t="s">
        <v>690</v>
      </c>
      <c r="B126" s="74" t="s">
        <v>154</v>
      </c>
      <c r="C126" s="74" t="s">
        <v>172</v>
      </c>
      <c r="D126" s="74" t="s">
        <v>196</v>
      </c>
      <c r="E126" s="74" t="s">
        <v>309</v>
      </c>
      <c r="F126" s="74" t="s">
        <v>550</v>
      </c>
      <c r="G126" s="74" t="s">
        <v>137</v>
      </c>
      <c r="H126" s="74" t="s">
        <v>137</v>
      </c>
      <c r="I126" s="74" t="s">
        <v>66</v>
      </c>
      <c r="J126" s="74" t="s">
        <v>29</v>
      </c>
      <c r="K126" s="82" t="s">
        <v>137</v>
      </c>
      <c r="L126" s="82" t="s">
        <v>137</v>
      </c>
      <c r="M126" s="82" t="s">
        <v>137</v>
      </c>
      <c r="N126" s="82" t="s">
        <v>137</v>
      </c>
      <c r="O126" s="82" t="s">
        <v>137</v>
      </c>
      <c r="P126" s="82" t="s">
        <v>137</v>
      </c>
      <c r="Q126" s="74" t="s">
        <v>87</v>
      </c>
      <c r="R126" s="74" t="s">
        <v>709</v>
      </c>
      <c r="S126" s="74" t="s">
        <v>40</v>
      </c>
      <c r="T126" s="74" t="s">
        <v>2</v>
      </c>
      <c r="U126" s="75"/>
      <c r="V126" s="75">
        <v>0.05</v>
      </c>
      <c r="W126" s="75">
        <v>0.08</v>
      </c>
      <c r="X126" s="75">
        <v>0.15</v>
      </c>
      <c r="Y126" s="75">
        <v>0.2</v>
      </c>
      <c r="Z126" s="75">
        <v>0.25</v>
      </c>
      <c r="AA126" s="75">
        <v>0.37</v>
      </c>
      <c r="AB126" s="75">
        <v>0.42</v>
      </c>
      <c r="AC126" s="75">
        <v>0.57999999999999996</v>
      </c>
      <c r="AD126" s="75">
        <v>0.67</v>
      </c>
      <c r="AE126" s="75">
        <v>0.83</v>
      </c>
      <c r="AF126" s="75">
        <v>1</v>
      </c>
      <c r="AG126" s="74" t="s">
        <v>533</v>
      </c>
      <c r="AH126" s="74" t="s">
        <v>530</v>
      </c>
      <c r="AI126" s="78" t="s">
        <v>539</v>
      </c>
      <c r="AJ126" s="79" t="s">
        <v>539</v>
      </c>
      <c r="AK126" s="80">
        <v>46023</v>
      </c>
      <c r="AL126" s="80">
        <v>46387</v>
      </c>
      <c r="AM126" s="79"/>
      <c r="AN126" s="79"/>
      <c r="AO126" s="79"/>
      <c r="AP126" s="81" t="s">
        <v>540</v>
      </c>
      <c r="AQ126" s="80" t="str" cm="1">
        <f t="array" ref="AQ126">IFERROR(DATE(2026, _xlfn.AGGREGATE(15, 6, (COLUMN(CI126:CT126)-COLUMN(CI126)+1)/(CI126:CT126&lt;&gt;0), 1), 1),"N/A")</f>
        <v>N/A</v>
      </c>
      <c r="AR126" s="80" t="str" cm="1">
        <f t="array" ref="AR126">IFERROR(EOMONTH(DATE(2026, _xlfn.AGGREGATE(14, 6, (COLUMN(CI126:CT126)-COLUMN(CI126)+1)/(CI126:CT126&lt;&gt;0), 1), 1), 0),"N/A")</f>
        <v>N/A</v>
      </c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4" t="s">
        <v>585</v>
      </c>
      <c r="BG126" s="74"/>
      <c r="BH126" s="74" t="s">
        <v>838</v>
      </c>
      <c r="BI126" s="74" t="s">
        <v>137</v>
      </c>
      <c r="BJ126" s="78">
        <v>530811</v>
      </c>
      <c r="BK126" s="82" t="s">
        <v>74</v>
      </c>
      <c r="BL126" s="83">
        <v>1000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73">
        <v>0</v>
      </c>
      <c r="BT126" s="73">
        <v>0</v>
      </c>
      <c r="BU126" s="73">
        <v>0</v>
      </c>
      <c r="BV126" s="73">
        <v>0</v>
      </c>
      <c r="BW126" s="84">
        <v>1000</v>
      </c>
      <c r="BX126" s="73">
        <v>0</v>
      </c>
      <c r="BY126" s="73"/>
      <c r="BZ126" s="73"/>
      <c r="CA126" s="73">
        <v>-1000</v>
      </c>
      <c r="CB126" s="73"/>
      <c r="CC126" s="73"/>
      <c r="CD126" s="73"/>
      <c r="CE126" s="73"/>
      <c r="CF126" s="73"/>
      <c r="CG126" s="73"/>
      <c r="CH126" s="73">
        <f t="shared" si="2"/>
        <v>0</v>
      </c>
      <c r="CI126" s="73"/>
      <c r="CJ126" s="73"/>
      <c r="CK126" s="72">
        <v>0</v>
      </c>
      <c r="CL126" s="73">
        <v>0</v>
      </c>
      <c r="CM126" s="73">
        <v>0</v>
      </c>
      <c r="CN126" s="73">
        <v>0</v>
      </c>
      <c r="CO126" s="73">
        <v>0</v>
      </c>
      <c r="CP126" s="73">
        <v>0</v>
      </c>
      <c r="CQ126" s="73">
        <v>0</v>
      </c>
      <c r="CR126" s="73">
        <v>0</v>
      </c>
      <c r="CS126" s="84">
        <v>0</v>
      </c>
      <c r="CT126" s="73">
        <v>0</v>
      </c>
      <c r="CU126" s="73"/>
      <c r="CV126" s="84">
        <f t="shared" si="3"/>
        <v>0</v>
      </c>
      <c r="CW126" s="84"/>
      <c r="CX126" s="74"/>
      <c r="CY126" s="74"/>
      <c r="CZ126" s="74"/>
      <c r="DA126" s="74"/>
      <c r="DB126" s="74"/>
      <c r="DC126" s="74"/>
      <c r="DD126" s="74"/>
    </row>
    <row r="127" spans="1:108" s="68" customFormat="1" ht="15" hidden="1" customHeight="1" x14ac:dyDescent="0.25">
      <c r="A127" s="74" t="s">
        <v>696</v>
      </c>
      <c r="B127" s="74" t="s">
        <v>154</v>
      </c>
      <c r="C127" s="74" t="s">
        <v>172</v>
      </c>
      <c r="D127" s="74" t="s">
        <v>196</v>
      </c>
      <c r="E127" s="74" t="s">
        <v>309</v>
      </c>
      <c r="F127" s="74" t="s">
        <v>550</v>
      </c>
      <c r="G127" s="74" t="s">
        <v>137</v>
      </c>
      <c r="H127" s="74" t="s">
        <v>137</v>
      </c>
      <c r="I127" s="74" t="s">
        <v>66</v>
      </c>
      <c r="J127" s="74" t="s">
        <v>29</v>
      </c>
      <c r="K127" s="82" t="s">
        <v>137</v>
      </c>
      <c r="L127" s="82" t="s">
        <v>137</v>
      </c>
      <c r="M127" s="82" t="s">
        <v>137</v>
      </c>
      <c r="N127" s="82" t="s">
        <v>137</v>
      </c>
      <c r="O127" s="82" t="s">
        <v>137</v>
      </c>
      <c r="P127" s="82" t="s">
        <v>137</v>
      </c>
      <c r="Q127" s="74" t="s">
        <v>87</v>
      </c>
      <c r="R127" s="74" t="s">
        <v>709</v>
      </c>
      <c r="S127" s="74" t="s">
        <v>40</v>
      </c>
      <c r="T127" s="74" t="s">
        <v>2</v>
      </c>
      <c r="U127" s="75"/>
      <c r="V127" s="75">
        <v>0.05</v>
      </c>
      <c r="W127" s="75">
        <v>0.08</v>
      </c>
      <c r="X127" s="75">
        <v>0.15</v>
      </c>
      <c r="Y127" s="75">
        <v>0.2</v>
      </c>
      <c r="Z127" s="75">
        <v>0.25</v>
      </c>
      <c r="AA127" s="75">
        <v>0.37</v>
      </c>
      <c r="AB127" s="75">
        <v>0.42</v>
      </c>
      <c r="AC127" s="75">
        <v>0.57999999999999996</v>
      </c>
      <c r="AD127" s="75">
        <v>0.67</v>
      </c>
      <c r="AE127" s="75">
        <v>0.83</v>
      </c>
      <c r="AF127" s="75">
        <v>1</v>
      </c>
      <c r="AG127" s="74" t="s">
        <v>533</v>
      </c>
      <c r="AH127" s="74" t="s">
        <v>530</v>
      </c>
      <c r="AI127" s="78" t="s">
        <v>539</v>
      </c>
      <c r="AJ127" s="79" t="s">
        <v>539</v>
      </c>
      <c r="AK127" s="80">
        <v>46023</v>
      </c>
      <c r="AL127" s="80">
        <v>46387</v>
      </c>
      <c r="AM127" s="79"/>
      <c r="AN127" s="79"/>
      <c r="AO127" s="79"/>
      <c r="AP127" s="81" t="s">
        <v>540</v>
      </c>
      <c r="AQ127" s="80" cm="1">
        <f t="array" ref="AQ127">IFERROR(DATE(2026, _xlfn.AGGREGATE(15, 6, (COLUMN(CI127:CT127)-COLUMN(CI127)+1)/(CI127:CT127&lt;&gt;0), 1), 1),"N/A")</f>
        <v>46023</v>
      </c>
      <c r="AR127" s="80" cm="1">
        <f t="array" ref="AR127">IFERROR(EOMONTH(DATE(2026, _xlfn.AGGREGATE(14, 6, (COLUMN(CI127:CT127)-COLUMN(CI127)+1)/(CI127:CT127&lt;&gt;0), 1), 1), 0),"N/A")</f>
        <v>46387</v>
      </c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4" t="s">
        <v>620</v>
      </c>
      <c r="BG127" s="74"/>
      <c r="BH127" s="74" t="s">
        <v>875</v>
      </c>
      <c r="BI127" s="74" t="s">
        <v>137</v>
      </c>
      <c r="BJ127" s="78">
        <v>570203</v>
      </c>
      <c r="BK127" s="82" t="s">
        <v>74</v>
      </c>
      <c r="BL127" s="83">
        <v>5700</v>
      </c>
      <c r="BM127" s="84">
        <v>466.66</v>
      </c>
      <c r="BN127" s="84">
        <v>466.66</v>
      </c>
      <c r="BO127" s="84">
        <v>466.66</v>
      </c>
      <c r="BP127" s="72">
        <v>466.66</v>
      </c>
      <c r="BQ127" s="84">
        <v>466.66</v>
      </c>
      <c r="BR127" s="84">
        <v>466.66</v>
      </c>
      <c r="BS127" s="84">
        <v>566.66</v>
      </c>
      <c r="BT127" s="84">
        <v>466.66</v>
      </c>
      <c r="BU127" s="84">
        <v>466.66</v>
      </c>
      <c r="BV127" s="84">
        <v>466.66</v>
      </c>
      <c r="BW127" s="84">
        <v>466.66</v>
      </c>
      <c r="BX127" s="84">
        <v>466.74</v>
      </c>
      <c r="BY127" s="84"/>
      <c r="BZ127" s="84"/>
      <c r="CA127" s="84"/>
      <c r="CB127" s="84"/>
      <c r="CC127" s="84"/>
      <c r="CD127" s="84"/>
      <c r="CE127" s="84"/>
      <c r="CF127" s="84"/>
      <c r="CG127" s="84"/>
      <c r="CH127" s="73">
        <f t="shared" si="2"/>
        <v>5700</v>
      </c>
      <c r="CI127" s="84">
        <v>466.66</v>
      </c>
      <c r="CJ127" s="84">
        <v>466.66</v>
      </c>
      <c r="CK127" s="84">
        <v>466.66</v>
      </c>
      <c r="CL127" s="72">
        <v>466.66</v>
      </c>
      <c r="CM127" s="84">
        <v>466.66</v>
      </c>
      <c r="CN127" s="84">
        <v>466.66</v>
      </c>
      <c r="CO127" s="84">
        <v>566.66</v>
      </c>
      <c r="CP127" s="84">
        <v>466.66</v>
      </c>
      <c r="CQ127" s="84">
        <v>466.66</v>
      </c>
      <c r="CR127" s="84">
        <v>466.66</v>
      </c>
      <c r="CS127" s="84">
        <v>466.66</v>
      </c>
      <c r="CT127" s="84">
        <v>466.74</v>
      </c>
      <c r="CU127" s="84"/>
      <c r="CV127" s="84">
        <f t="shared" si="3"/>
        <v>0</v>
      </c>
      <c r="CW127" s="84"/>
      <c r="CX127" s="74"/>
      <c r="CY127" s="74"/>
      <c r="CZ127" s="74"/>
      <c r="DA127" s="74"/>
      <c r="DB127" s="74"/>
      <c r="DC127" s="74"/>
      <c r="DD127" s="74"/>
    </row>
    <row r="128" spans="1:108" s="68" customFormat="1" ht="15" hidden="1" customHeight="1" x14ac:dyDescent="0.25">
      <c r="A128" s="74" t="s">
        <v>696</v>
      </c>
      <c r="B128" s="74" t="s">
        <v>154</v>
      </c>
      <c r="C128" s="74" t="s">
        <v>172</v>
      </c>
      <c r="D128" s="74" t="s">
        <v>196</v>
      </c>
      <c r="E128" s="74" t="s">
        <v>309</v>
      </c>
      <c r="F128" s="74" t="s">
        <v>550</v>
      </c>
      <c r="G128" s="74" t="s">
        <v>137</v>
      </c>
      <c r="H128" s="74" t="s">
        <v>137</v>
      </c>
      <c r="I128" s="74" t="s">
        <v>66</v>
      </c>
      <c r="J128" s="74" t="s">
        <v>29</v>
      </c>
      <c r="K128" s="82" t="s">
        <v>137</v>
      </c>
      <c r="L128" s="82" t="s">
        <v>137</v>
      </c>
      <c r="M128" s="82" t="s">
        <v>137</v>
      </c>
      <c r="N128" s="82" t="s">
        <v>137</v>
      </c>
      <c r="O128" s="82" t="s">
        <v>137</v>
      </c>
      <c r="P128" s="82" t="s">
        <v>137</v>
      </c>
      <c r="Q128" s="74" t="s">
        <v>87</v>
      </c>
      <c r="R128" s="74" t="s">
        <v>709</v>
      </c>
      <c r="S128" s="74" t="s">
        <v>40</v>
      </c>
      <c r="T128" s="74" t="s">
        <v>2</v>
      </c>
      <c r="U128" s="75"/>
      <c r="V128" s="75">
        <v>0.05</v>
      </c>
      <c r="W128" s="75">
        <v>0.08</v>
      </c>
      <c r="X128" s="75">
        <v>0.15</v>
      </c>
      <c r="Y128" s="75">
        <v>0.2</v>
      </c>
      <c r="Z128" s="75">
        <v>0.25</v>
      </c>
      <c r="AA128" s="75">
        <v>0.37</v>
      </c>
      <c r="AB128" s="75">
        <v>0.42</v>
      </c>
      <c r="AC128" s="75">
        <v>0.57999999999999996</v>
      </c>
      <c r="AD128" s="75">
        <v>0.67</v>
      </c>
      <c r="AE128" s="75">
        <v>0.83</v>
      </c>
      <c r="AF128" s="75">
        <v>1</v>
      </c>
      <c r="AG128" s="74" t="s">
        <v>533</v>
      </c>
      <c r="AH128" s="74" t="s">
        <v>530</v>
      </c>
      <c r="AI128" s="78" t="s">
        <v>539</v>
      </c>
      <c r="AJ128" s="79" t="s">
        <v>539</v>
      </c>
      <c r="AK128" s="80">
        <v>46023</v>
      </c>
      <c r="AL128" s="80">
        <v>46387</v>
      </c>
      <c r="AM128" s="79"/>
      <c r="AN128" s="79"/>
      <c r="AO128" s="79"/>
      <c r="AP128" s="81" t="s">
        <v>540</v>
      </c>
      <c r="AQ128" s="80" cm="1">
        <f t="array" ref="AQ128">IFERROR(DATE(2026, _xlfn.AGGREGATE(15, 6, (COLUMN(CI128:CT128)-COLUMN(CI128)+1)/(CI128:CT128&lt;&gt;0), 1), 1),"N/A")</f>
        <v>46023</v>
      </c>
      <c r="AR128" s="80" cm="1">
        <f t="array" ref="AR128">IFERROR(EOMONTH(DATE(2026, _xlfn.AGGREGATE(14, 6, (COLUMN(CI128:CT128)-COLUMN(CI128)+1)/(CI128:CT128&lt;&gt;0), 1), 1), 0),"N/A")</f>
        <v>46387</v>
      </c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4" t="s">
        <v>777</v>
      </c>
      <c r="BG128" s="74"/>
      <c r="BH128" s="74" t="s">
        <v>876</v>
      </c>
      <c r="BI128" s="74" t="s">
        <v>137</v>
      </c>
      <c r="BJ128" s="78">
        <v>570203</v>
      </c>
      <c r="BK128" s="82" t="s">
        <v>74</v>
      </c>
      <c r="BL128" s="83">
        <v>3000</v>
      </c>
      <c r="BM128" s="84">
        <v>250</v>
      </c>
      <c r="BN128" s="84">
        <v>250</v>
      </c>
      <c r="BO128" s="84">
        <v>250</v>
      </c>
      <c r="BP128" s="72">
        <v>250</v>
      </c>
      <c r="BQ128" s="84">
        <v>250</v>
      </c>
      <c r="BR128" s="84">
        <v>250</v>
      </c>
      <c r="BS128" s="84">
        <v>250</v>
      </c>
      <c r="BT128" s="84">
        <v>250</v>
      </c>
      <c r="BU128" s="84">
        <v>250</v>
      </c>
      <c r="BV128" s="84">
        <v>250</v>
      </c>
      <c r="BW128" s="84">
        <v>250</v>
      </c>
      <c r="BX128" s="84">
        <v>250</v>
      </c>
      <c r="BY128" s="84"/>
      <c r="BZ128" s="84"/>
      <c r="CA128" s="84"/>
      <c r="CB128" s="84"/>
      <c r="CC128" s="84"/>
      <c r="CD128" s="84"/>
      <c r="CE128" s="84"/>
      <c r="CF128" s="84"/>
      <c r="CG128" s="84"/>
      <c r="CH128" s="73">
        <f t="shared" si="2"/>
        <v>3000</v>
      </c>
      <c r="CI128" s="84">
        <v>250</v>
      </c>
      <c r="CJ128" s="84">
        <v>250</v>
      </c>
      <c r="CK128" s="84">
        <v>250</v>
      </c>
      <c r="CL128" s="72">
        <v>250</v>
      </c>
      <c r="CM128" s="84">
        <v>250</v>
      </c>
      <c r="CN128" s="84">
        <v>250</v>
      </c>
      <c r="CO128" s="84">
        <v>250</v>
      </c>
      <c r="CP128" s="84">
        <v>250</v>
      </c>
      <c r="CQ128" s="84">
        <v>250</v>
      </c>
      <c r="CR128" s="84">
        <v>250</v>
      </c>
      <c r="CS128" s="84">
        <v>250</v>
      </c>
      <c r="CT128" s="84">
        <v>250</v>
      </c>
      <c r="CU128" s="84"/>
      <c r="CV128" s="84">
        <f t="shared" si="3"/>
        <v>0</v>
      </c>
      <c r="CW128" s="84"/>
      <c r="CX128" s="74"/>
      <c r="CY128" s="74"/>
      <c r="CZ128" s="74"/>
      <c r="DA128" s="74"/>
      <c r="DB128" s="74"/>
      <c r="DC128" s="74"/>
      <c r="DD128" s="74"/>
    </row>
    <row r="129" spans="1:108" s="402" customFormat="1" ht="15" hidden="1" customHeight="1" x14ac:dyDescent="0.25">
      <c r="A129" s="398" t="s">
        <v>690</v>
      </c>
      <c r="B129" s="74" t="s">
        <v>154</v>
      </c>
      <c r="C129" s="74" t="s">
        <v>172</v>
      </c>
      <c r="D129" s="74" t="s">
        <v>196</v>
      </c>
      <c r="E129" s="74" t="s">
        <v>309</v>
      </c>
      <c r="F129" s="74" t="s">
        <v>550</v>
      </c>
      <c r="G129" s="74" t="s">
        <v>137</v>
      </c>
      <c r="H129" s="74" t="s">
        <v>137</v>
      </c>
      <c r="I129" s="74" t="s">
        <v>66</v>
      </c>
      <c r="J129" s="74" t="s">
        <v>29</v>
      </c>
      <c r="K129" s="82" t="s">
        <v>137</v>
      </c>
      <c r="L129" s="82" t="s">
        <v>137</v>
      </c>
      <c r="M129" s="82" t="s">
        <v>137</v>
      </c>
      <c r="N129" s="82" t="s">
        <v>137</v>
      </c>
      <c r="O129" s="82" t="s">
        <v>137</v>
      </c>
      <c r="P129" s="82" t="s">
        <v>137</v>
      </c>
      <c r="Q129" s="74" t="s">
        <v>87</v>
      </c>
      <c r="R129" s="74" t="s">
        <v>709</v>
      </c>
      <c r="S129" s="74" t="s">
        <v>40</v>
      </c>
      <c r="T129" s="74" t="s">
        <v>2</v>
      </c>
      <c r="U129" s="75"/>
      <c r="V129" s="75">
        <v>0.05</v>
      </c>
      <c r="W129" s="75">
        <v>0.08</v>
      </c>
      <c r="X129" s="75">
        <v>0.15</v>
      </c>
      <c r="Y129" s="75">
        <v>0.2</v>
      </c>
      <c r="Z129" s="75">
        <v>0.25</v>
      </c>
      <c r="AA129" s="75">
        <v>0.37</v>
      </c>
      <c r="AB129" s="75">
        <v>0.42</v>
      </c>
      <c r="AC129" s="75">
        <v>0.57999999999999996</v>
      </c>
      <c r="AD129" s="75">
        <v>0.67</v>
      </c>
      <c r="AE129" s="75">
        <v>0.83</v>
      </c>
      <c r="AF129" s="75">
        <v>1</v>
      </c>
      <c r="AG129" s="74" t="s">
        <v>533</v>
      </c>
      <c r="AH129" s="74" t="s">
        <v>530</v>
      </c>
      <c r="AI129" s="78" t="s">
        <v>539</v>
      </c>
      <c r="AJ129" s="79" t="s">
        <v>539</v>
      </c>
      <c r="AK129" s="80">
        <v>46023</v>
      </c>
      <c r="AL129" s="80">
        <v>46387</v>
      </c>
      <c r="AM129" s="79"/>
      <c r="AN129" s="79"/>
      <c r="AO129" s="79"/>
      <c r="AP129" s="81" t="s">
        <v>540</v>
      </c>
      <c r="AQ129" s="80" cm="1">
        <f t="array" ref="AQ129">IFERROR(DATE(2026, _xlfn.AGGREGATE(15, 6, (COLUMN(CI129:CT129)-COLUMN(CI129)+1)/(CI129:CT129&lt;&gt;0), 1), 1),"N/A")</f>
        <v>46113</v>
      </c>
      <c r="AR129" s="80" cm="1">
        <f t="array" ref="AR129">IFERROR(EOMONTH(DATE(2026, _xlfn.AGGREGATE(14, 6, (COLUMN(CI129:CT129)-COLUMN(CI129)+1)/(CI129:CT129&lt;&gt;0), 1), 1), 0),"N/A")</f>
        <v>46387</v>
      </c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398" t="s">
        <v>663</v>
      </c>
      <c r="BG129" s="74"/>
      <c r="BH129" s="398" t="s">
        <v>853</v>
      </c>
      <c r="BI129" s="74" t="s">
        <v>137</v>
      </c>
      <c r="BJ129" s="399">
        <v>570102</v>
      </c>
      <c r="BK129" s="400" t="s">
        <v>74</v>
      </c>
      <c r="BL129" s="83">
        <v>29311</v>
      </c>
      <c r="BM129" s="73">
        <v>0</v>
      </c>
      <c r="BN129" s="73">
        <v>0</v>
      </c>
      <c r="BO129" s="73">
        <v>0</v>
      </c>
      <c r="BP129" s="73">
        <v>0</v>
      </c>
      <c r="BQ129" s="84">
        <v>29311</v>
      </c>
      <c r="BR129" s="73">
        <v>0</v>
      </c>
      <c r="BS129" s="73">
        <v>0</v>
      </c>
      <c r="BT129" s="73">
        <v>0</v>
      </c>
      <c r="BU129" s="73">
        <v>0</v>
      </c>
      <c r="BV129" s="73">
        <v>0</v>
      </c>
      <c r="BW129" s="73">
        <v>0</v>
      </c>
      <c r="BX129" s="73">
        <v>0</v>
      </c>
      <c r="BY129" s="73"/>
      <c r="BZ129" s="73"/>
      <c r="CA129" s="73"/>
      <c r="CB129" s="73">
        <v>-9000</v>
      </c>
      <c r="CC129" s="73"/>
      <c r="CD129" s="73">
        <v>-2173</v>
      </c>
      <c r="CE129" s="73">
        <v>-1300</v>
      </c>
      <c r="CF129" s="73"/>
      <c r="CG129" s="73"/>
      <c r="CH129" s="403">
        <f t="shared" si="2"/>
        <v>16838</v>
      </c>
      <c r="CI129" s="73"/>
      <c r="CJ129" s="73"/>
      <c r="CK129" s="73">
        <v>0</v>
      </c>
      <c r="CL129" s="73">
        <v>14426.06</v>
      </c>
      <c r="CM129" s="84"/>
      <c r="CN129" s="73">
        <v>0</v>
      </c>
      <c r="CO129" s="73">
        <v>0</v>
      </c>
      <c r="CP129" s="73">
        <v>0</v>
      </c>
      <c r="CQ129" s="73">
        <v>0</v>
      </c>
      <c r="CR129" s="73">
        <v>0</v>
      </c>
      <c r="CS129" s="73">
        <v>0</v>
      </c>
      <c r="CT129" s="403">
        <v>2411.94</v>
      </c>
      <c r="CU129" s="403"/>
      <c r="CV129" s="404">
        <f t="shared" si="3"/>
        <v>0</v>
      </c>
      <c r="CW129" s="404"/>
      <c r="CX129" s="398"/>
      <c r="CY129" s="398"/>
      <c r="CZ129" s="398"/>
      <c r="DA129" s="398"/>
      <c r="DB129" s="398"/>
      <c r="DC129" s="398"/>
      <c r="DD129" s="398"/>
    </row>
    <row r="130" spans="1:108" s="417" customFormat="1" ht="15" hidden="1" customHeight="1" x14ac:dyDescent="0.25">
      <c r="A130" s="412" t="s">
        <v>690</v>
      </c>
      <c r="B130" s="74" t="s">
        <v>154</v>
      </c>
      <c r="C130" s="74" t="s">
        <v>172</v>
      </c>
      <c r="D130" s="74" t="s">
        <v>196</v>
      </c>
      <c r="E130" s="74" t="s">
        <v>309</v>
      </c>
      <c r="F130" s="74" t="s">
        <v>550</v>
      </c>
      <c r="G130" s="74" t="s">
        <v>137</v>
      </c>
      <c r="H130" s="74" t="s">
        <v>137</v>
      </c>
      <c r="I130" s="74" t="s">
        <v>66</v>
      </c>
      <c r="J130" s="74" t="s">
        <v>29</v>
      </c>
      <c r="K130" s="82" t="s">
        <v>137</v>
      </c>
      <c r="L130" s="82" t="s">
        <v>137</v>
      </c>
      <c r="M130" s="82" t="s">
        <v>137</v>
      </c>
      <c r="N130" s="82" t="s">
        <v>137</v>
      </c>
      <c r="O130" s="82" t="s">
        <v>137</v>
      </c>
      <c r="P130" s="82" t="s">
        <v>137</v>
      </c>
      <c r="Q130" s="74" t="s">
        <v>87</v>
      </c>
      <c r="R130" s="74" t="s">
        <v>709</v>
      </c>
      <c r="S130" s="74" t="s">
        <v>40</v>
      </c>
      <c r="T130" s="74" t="s">
        <v>2</v>
      </c>
      <c r="U130" s="75"/>
      <c r="V130" s="75">
        <v>0.05</v>
      </c>
      <c r="W130" s="75">
        <v>0.08</v>
      </c>
      <c r="X130" s="75">
        <v>0.15</v>
      </c>
      <c r="Y130" s="75">
        <v>0.2</v>
      </c>
      <c r="Z130" s="75">
        <v>0.25</v>
      </c>
      <c r="AA130" s="75">
        <v>0.37</v>
      </c>
      <c r="AB130" s="75">
        <v>0.42</v>
      </c>
      <c r="AC130" s="75">
        <v>0.57999999999999996</v>
      </c>
      <c r="AD130" s="75">
        <v>0.67</v>
      </c>
      <c r="AE130" s="75">
        <v>0.83</v>
      </c>
      <c r="AF130" s="75">
        <v>1</v>
      </c>
      <c r="AG130" s="74" t="s">
        <v>533</v>
      </c>
      <c r="AH130" s="74" t="s">
        <v>530</v>
      </c>
      <c r="AI130" s="78" t="s">
        <v>539</v>
      </c>
      <c r="AJ130" s="79" t="s">
        <v>539</v>
      </c>
      <c r="AK130" s="80">
        <v>46023</v>
      </c>
      <c r="AL130" s="80">
        <v>46387</v>
      </c>
      <c r="AM130" s="79"/>
      <c r="AN130" s="79"/>
      <c r="AO130" s="79"/>
      <c r="AP130" s="81" t="s">
        <v>540</v>
      </c>
      <c r="AQ130" s="80" cm="1">
        <f t="array" ref="AQ130">IFERROR(DATE(2026, _xlfn.AGGREGATE(15, 6, (COLUMN(CI130:CT130)-COLUMN(CI130)+1)/(CI130:CT130&lt;&gt;0), 1), 1),"N/A")</f>
        <v>46054</v>
      </c>
      <c r="AR130" s="80" cm="1">
        <f t="array" ref="AR130">IFERROR(EOMONTH(DATE(2026, _xlfn.AGGREGATE(14, 6, (COLUMN(CI130:CT130)-COLUMN(CI130)+1)/(CI130:CT130&lt;&gt;0), 1), 1), 0),"N/A")</f>
        <v>46387</v>
      </c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412" t="s">
        <v>622</v>
      </c>
      <c r="BG130" s="74"/>
      <c r="BH130" s="412" t="s">
        <v>839</v>
      </c>
      <c r="BI130" s="74" t="s">
        <v>137</v>
      </c>
      <c r="BJ130" s="413">
        <v>530101</v>
      </c>
      <c r="BK130" s="414" t="s">
        <v>74</v>
      </c>
      <c r="BL130" s="83">
        <v>6000</v>
      </c>
      <c r="BM130" s="84">
        <v>500</v>
      </c>
      <c r="BN130" s="84">
        <v>500</v>
      </c>
      <c r="BO130" s="84">
        <v>500</v>
      </c>
      <c r="BP130" s="72">
        <v>500</v>
      </c>
      <c r="BQ130" s="84">
        <v>500</v>
      </c>
      <c r="BR130" s="84">
        <v>500</v>
      </c>
      <c r="BS130" s="84">
        <v>500</v>
      </c>
      <c r="BT130" s="84">
        <v>500</v>
      </c>
      <c r="BU130" s="84">
        <v>500</v>
      </c>
      <c r="BV130" s="84">
        <v>500</v>
      </c>
      <c r="BW130" s="84">
        <v>500</v>
      </c>
      <c r="BX130" s="84">
        <v>500</v>
      </c>
      <c r="BY130" s="84"/>
      <c r="BZ130" s="84"/>
      <c r="CA130" s="84">
        <v>3170</v>
      </c>
      <c r="CB130" s="84"/>
      <c r="CC130" s="84"/>
      <c r="CD130" s="84"/>
      <c r="CE130" s="84"/>
      <c r="CF130" s="84"/>
      <c r="CG130" s="84"/>
      <c r="CH130" s="415">
        <f t="shared" si="2"/>
        <v>9170</v>
      </c>
      <c r="CI130" s="102"/>
      <c r="CJ130" s="102">
        <v>513.08000000000004</v>
      </c>
      <c r="CK130" s="102">
        <v>769.24</v>
      </c>
      <c r="CL130" s="73">
        <v>815</v>
      </c>
      <c r="CM130" s="84"/>
      <c r="CN130" s="84"/>
      <c r="CO130" s="84"/>
      <c r="CP130" s="84"/>
      <c r="CQ130" s="84"/>
      <c r="CR130" s="84"/>
      <c r="CS130" s="84"/>
      <c r="CT130" s="416">
        <v>7072.68</v>
      </c>
      <c r="CU130" s="416"/>
      <c r="CV130" s="416">
        <f t="shared" si="3"/>
        <v>0</v>
      </c>
      <c r="CW130" s="416"/>
      <c r="CX130" s="412"/>
      <c r="CY130" s="412"/>
      <c r="CZ130" s="412"/>
      <c r="DA130" s="412"/>
      <c r="DB130" s="412"/>
      <c r="DC130" s="412"/>
      <c r="DD130" s="412"/>
    </row>
    <row r="131" spans="1:108" s="417" customFormat="1" ht="15" hidden="1" customHeight="1" x14ac:dyDescent="0.25">
      <c r="A131" s="412" t="s">
        <v>690</v>
      </c>
      <c r="B131" s="74" t="s">
        <v>154</v>
      </c>
      <c r="C131" s="74" t="s">
        <v>172</v>
      </c>
      <c r="D131" s="74" t="s">
        <v>196</v>
      </c>
      <c r="E131" s="74" t="s">
        <v>309</v>
      </c>
      <c r="F131" s="74" t="s">
        <v>550</v>
      </c>
      <c r="G131" s="74" t="s">
        <v>137</v>
      </c>
      <c r="H131" s="74" t="s">
        <v>137</v>
      </c>
      <c r="I131" s="74" t="s">
        <v>66</v>
      </c>
      <c r="J131" s="74" t="s">
        <v>29</v>
      </c>
      <c r="K131" s="82" t="s">
        <v>137</v>
      </c>
      <c r="L131" s="82" t="s">
        <v>137</v>
      </c>
      <c r="M131" s="82" t="s">
        <v>137</v>
      </c>
      <c r="N131" s="82" t="s">
        <v>137</v>
      </c>
      <c r="O131" s="82" t="s">
        <v>137</v>
      </c>
      <c r="P131" s="82" t="s">
        <v>137</v>
      </c>
      <c r="Q131" s="74" t="s">
        <v>87</v>
      </c>
      <c r="R131" s="74" t="s">
        <v>709</v>
      </c>
      <c r="S131" s="74" t="s">
        <v>40</v>
      </c>
      <c r="T131" s="74" t="s">
        <v>2</v>
      </c>
      <c r="U131" s="75"/>
      <c r="V131" s="75">
        <v>0.05</v>
      </c>
      <c r="W131" s="75">
        <v>0.08</v>
      </c>
      <c r="X131" s="75">
        <v>0.15</v>
      </c>
      <c r="Y131" s="75">
        <v>0.2</v>
      </c>
      <c r="Z131" s="75">
        <v>0.25</v>
      </c>
      <c r="AA131" s="75">
        <v>0.37</v>
      </c>
      <c r="AB131" s="75">
        <v>0.42</v>
      </c>
      <c r="AC131" s="75">
        <v>0.57999999999999996</v>
      </c>
      <c r="AD131" s="75">
        <v>0.67</v>
      </c>
      <c r="AE131" s="75">
        <v>0.83</v>
      </c>
      <c r="AF131" s="75">
        <v>1</v>
      </c>
      <c r="AG131" s="74" t="s">
        <v>533</v>
      </c>
      <c r="AH131" s="74" t="s">
        <v>530</v>
      </c>
      <c r="AI131" s="78" t="s">
        <v>539</v>
      </c>
      <c r="AJ131" s="79" t="s">
        <v>539</v>
      </c>
      <c r="AK131" s="80">
        <v>46023</v>
      </c>
      <c r="AL131" s="80">
        <v>46387</v>
      </c>
      <c r="AM131" s="79"/>
      <c r="AN131" s="79"/>
      <c r="AO131" s="79"/>
      <c r="AP131" s="81" t="s">
        <v>540</v>
      </c>
      <c r="AQ131" s="80" cm="1">
        <f t="array" ref="AQ131">IFERROR(DATE(2026, _xlfn.AGGREGATE(15, 6, (COLUMN(CI131:CT131)-COLUMN(CI131)+1)/(CI131:CT131&lt;&gt;0), 1), 1),"N/A")</f>
        <v>46023</v>
      </c>
      <c r="AR131" s="80" cm="1">
        <f t="array" ref="AR131">IFERROR(EOMONTH(DATE(2026, _xlfn.AGGREGATE(14, 6, (COLUMN(CI131:CT131)-COLUMN(CI131)+1)/(CI131:CT131&lt;&gt;0), 1), 1), 0),"N/A")</f>
        <v>46387</v>
      </c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412" t="s">
        <v>661</v>
      </c>
      <c r="BG131" s="74"/>
      <c r="BH131" s="412" t="s">
        <v>840</v>
      </c>
      <c r="BI131" s="74" t="s">
        <v>137</v>
      </c>
      <c r="BJ131" s="413">
        <v>530104</v>
      </c>
      <c r="BK131" s="414" t="s">
        <v>74</v>
      </c>
      <c r="BL131" s="83">
        <v>28000</v>
      </c>
      <c r="BM131" s="84">
        <v>2300</v>
      </c>
      <c r="BN131" s="84">
        <v>2300</v>
      </c>
      <c r="BO131" s="84">
        <v>2300</v>
      </c>
      <c r="BP131" s="72">
        <v>2300</v>
      </c>
      <c r="BQ131" s="84">
        <v>2300</v>
      </c>
      <c r="BR131" s="84">
        <v>2300</v>
      </c>
      <c r="BS131" s="84">
        <v>2300</v>
      </c>
      <c r="BT131" s="84">
        <v>2300</v>
      </c>
      <c r="BU131" s="84">
        <v>2300</v>
      </c>
      <c r="BV131" s="84">
        <v>2400</v>
      </c>
      <c r="BW131" s="84">
        <v>2400</v>
      </c>
      <c r="BX131" s="84">
        <v>2500</v>
      </c>
      <c r="BY131" s="84"/>
      <c r="BZ131" s="84"/>
      <c r="CA131" s="84"/>
      <c r="CB131" s="84"/>
      <c r="CC131" s="84"/>
      <c r="CD131" s="84"/>
      <c r="CE131" s="84"/>
      <c r="CF131" s="84"/>
      <c r="CG131" s="84"/>
      <c r="CH131" s="415">
        <f t="shared" si="2"/>
        <v>28000</v>
      </c>
      <c r="CI131" s="102">
        <v>2300</v>
      </c>
      <c r="CJ131" s="102">
        <v>2300</v>
      </c>
      <c r="CK131" s="102">
        <v>2300</v>
      </c>
      <c r="CL131" s="73">
        <v>2300</v>
      </c>
      <c r="CM131" s="84">
        <v>2300</v>
      </c>
      <c r="CN131" s="84">
        <v>2300</v>
      </c>
      <c r="CO131" s="84">
        <v>2300</v>
      </c>
      <c r="CP131" s="84">
        <v>2300</v>
      </c>
      <c r="CQ131" s="84">
        <v>2300</v>
      </c>
      <c r="CR131" s="84">
        <v>2400</v>
      </c>
      <c r="CS131" s="84">
        <v>2400</v>
      </c>
      <c r="CT131" s="416">
        <v>2500</v>
      </c>
      <c r="CU131" s="416"/>
      <c r="CV131" s="416">
        <f t="shared" si="3"/>
        <v>0</v>
      </c>
      <c r="CW131" s="416"/>
      <c r="CX131" s="412"/>
      <c r="CY131" s="412"/>
      <c r="CZ131" s="412"/>
      <c r="DA131" s="412"/>
      <c r="DB131" s="412"/>
      <c r="DC131" s="412"/>
      <c r="DD131" s="412"/>
    </row>
    <row r="132" spans="1:108" s="68" customFormat="1" ht="15" hidden="1" customHeight="1" x14ac:dyDescent="0.25">
      <c r="A132" s="74" t="s">
        <v>699</v>
      </c>
      <c r="B132" s="74" t="s">
        <v>154</v>
      </c>
      <c r="C132" s="74" t="s">
        <v>172</v>
      </c>
      <c r="D132" s="74" t="s">
        <v>196</v>
      </c>
      <c r="E132" s="74" t="s">
        <v>309</v>
      </c>
      <c r="F132" s="74" t="s">
        <v>550</v>
      </c>
      <c r="G132" s="74" t="s">
        <v>137</v>
      </c>
      <c r="H132" s="74" t="s">
        <v>137</v>
      </c>
      <c r="I132" s="74" t="s">
        <v>66</v>
      </c>
      <c r="J132" s="74" t="s">
        <v>29</v>
      </c>
      <c r="K132" s="82" t="s">
        <v>137</v>
      </c>
      <c r="L132" s="82" t="s">
        <v>137</v>
      </c>
      <c r="M132" s="82" t="s">
        <v>137</v>
      </c>
      <c r="N132" s="82" t="s">
        <v>137</v>
      </c>
      <c r="O132" s="82" t="s">
        <v>137</v>
      </c>
      <c r="P132" s="82" t="s">
        <v>137</v>
      </c>
      <c r="Q132" s="74" t="s">
        <v>87</v>
      </c>
      <c r="R132" s="74" t="s">
        <v>709</v>
      </c>
      <c r="S132" s="74" t="s">
        <v>40</v>
      </c>
      <c r="T132" s="74" t="s">
        <v>2</v>
      </c>
      <c r="U132" s="75"/>
      <c r="V132" s="75">
        <v>0.05</v>
      </c>
      <c r="W132" s="75">
        <v>0.08</v>
      </c>
      <c r="X132" s="75">
        <v>0.15</v>
      </c>
      <c r="Y132" s="75">
        <v>0.2</v>
      </c>
      <c r="Z132" s="75">
        <v>0.25</v>
      </c>
      <c r="AA132" s="75">
        <v>0.37</v>
      </c>
      <c r="AB132" s="75">
        <v>0.42</v>
      </c>
      <c r="AC132" s="75">
        <v>0.57999999999999996</v>
      </c>
      <c r="AD132" s="75">
        <v>0.67</v>
      </c>
      <c r="AE132" s="75">
        <v>0.83</v>
      </c>
      <c r="AF132" s="75">
        <v>1</v>
      </c>
      <c r="AG132" s="74" t="s">
        <v>533</v>
      </c>
      <c r="AH132" s="74" t="s">
        <v>530</v>
      </c>
      <c r="AI132" s="78" t="s">
        <v>539</v>
      </c>
      <c r="AJ132" s="79" t="s">
        <v>539</v>
      </c>
      <c r="AK132" s="80">
        <v>46023</v>
      </c>
      <c r="AL132" s="80">
        <v>46387</v>
      </c>
      <c r="AM132" s="79"/>
      <c r="AN132" s="79"/>
      <c r="AO132" s="79"/>
      <c r="AP132" s="81" t="s">
        <v>540</v>
      </c>
      <c r="AQ132" s="80" cm="1">
        <f t="array" ref="AQ132">IFERROR(DATE(2026, _xlfn.AGGREGATE(15, 6, (COLUMN(CI132:CT132)-COLUMN(CI132)+1)/(CI132:CT132&lt;&gt;0), 1), 1),"N/A")</f>
        <v>46235</v>
      </c>
      <c r="AR132" s="80" cm="1">
        <f t="array" ref="AR132">IFERROR(EOMONTH(DATE(2026, _xlfn.AGGREGATE(14, 6, (COLUMN(CI132:CT132)-COLUMN(CI132)+1)/(CI132:CT132&lt;&gt;0), 1), 1), 0),"N/A")</f>
        <v>46387</v>
      </c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85" t="s">
        <v>1211</v>
      </c>
      <c r="BG132" s="74"/>
      <c r="BH132" s="74" t="s">
        <v>1213</v>
      </c>
      <c r="BI132" s="74" t="s">
        <v>137</v>
      </c>
      <c r="BJ132" s="78">
        <v>530104</v>
      </c>
      <c r="BK132" s="82" t="s">
        <v>74</v>
      </c>
      <c r="BL132" s="83"/>
      <c r="BM132" s="84"/>
      <c r="BN132" s="84"/>
      <c r="BO132" s="84"/>
      <c r="BP132" s="72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>
        <v>200</v>
      </c>
      <c r="CH132" s="73">
        <f t="shared" si="2"/>
        <v>200</v>
      </c>
      <c r="CI132" s="102"/>
      <c r="CJ132" s="102"/>
      <c r="CK132" s="102"/>
      <c r="CL132" s="73"/>
      <c r="CM132" s="84"/>
      <c r="CN132" s="84"/>
      <c r="CO132" s="84"/>
      <c r="CP132" s="84">
        <v>100</v>
      </c>
      <c r="CQ132" s="84">
        <v>25</v>
      </c>
      <c r="CR132" s="84">
        <v>25</v>
      </c>
      <c r="CS132" s="84">
        <v>25</v>
      </c>
      <c r="CT132" s="84">
        <v>25</v>
      </c>
      <c r="CU132" s="84"/>
      <c r="CV132" s="84">
        <f t="shared" si="3"/>
        <v>0</v>
      </c>
      <c r="CW132" s="84"/>
      <c r="CX132" s="74" t="s">
        <v>1231</v>
      </c>
      <c r="CY132" s="74"/>
      <c r="CZ132" s="74"/>
      <c r="DA132" s="74" t="s">
        <v>1235</v>
      </c>
      <c r="DB132" s="74"/>
      <c r="DC132" s="74"/>
      <c r="DD132" s="74"/>
    </row>
    <row r="133" spans="1:108" s="397" customFormat="1" ht="15" hidden="1" customHeight="1" x14ac:dyDescent="0.25">
      <c r="A133" s="385" t="s">
        <v>699</v>
      </c>
      <c r="B133" s="385" t="s">
        <v>154</v>
      </c>
      <c r="C133" s="385" t="s">
        <v>172</v>
      </c>
      <c r="D133" s="385" t="s">
        <v>196</v>
      </c>
      <c r="E133" s="385" t="s">
        <v>309</v>
      </c>
      <c r="F133" s="385" t="s">
        <v>550</v>
      </c>
      <c r="G133" s="385" t="s">
        <v>137</v>
      </c>
      <c r="H133" s="385" t="s">
        <v>137</v>
      </c>
      <c r="I133" s="385" t="s">
        <v>66</v>
      </c>
      <c r="J133" s="385" t="s">
        <v>29</v>
      </c>
      <c r="K133" s="386" t="s">
        <v>137</v>
      </c>
      <c r="L133" s="386" t="s">
        <v>137</v>
      </c>
      <c r="M133" s="386" t="s">
        <v>137</v>
      </c>
      <c r="N133" s="386" t="s">
        <v>137</v>
      </c>
      <c r="O133" s="386" t="s">
        <v>137</v>
      </c>
      <c r="P133" s="386" t="s">
        <v>137</v>
      </c>
      <c r="Q133" s="385" t="s">
        <v>87</v>
      </c>
      <c r="R133" s="385" t="s">
        <v>709</v>
      </c>
      <c r="S133" s="385" t="s">
        <v>40</v>
      </c>
      <c r="T133" s="385" t="s">
        <v>2</v>
      </c>
      <c r="U133" s="387"/>
      <c r="V133" s="387">
        <v>0.05</v>
      </c>
      <c r="W133" s="387">
        <v>0.08</v>
      </c>
      <c r="X133" s="387">
        <v>0.15</v>
      </c>
      <c r="Y133" s="387">
        <v>0.2</v>
      </c>
      <c r="Z133" s="387">
        <v>0.25</v>
      </c>
      <c r="AA133" s="387">
        <v>0.37</v>
      </c>
      <c r="AB133" s="387">
        <v>0.42</v>
      </c>
      <c r="AC133" s="387">
        <v>0.57999999999999996</v>
      </c>
      <c r="AD133" s="387">
        <v>0.67</v>
      </c>
      <c r="AE133" s="387">
        <v>0.83</v>
      </c>
      <c r="AF133" s="387">
        <v>1</v>
      </c>
      <c r="AG133" s="385" t="s">
        <v>533</v>
      </c>
      <c r="AH133" s="385" t="s">
        <v>530</v>
      </c>
      <c r="AI133" s="388" t="s">
        <v>539</v>
      </c>
      <c r="AJ133" s="389" t="s">
        <v>539</v>
      </c>
      <c r="AK133" s="390">
        <v>46023</v>
      </c>
      <c r="AL133" s="390">
        <v>46387</v>
      </c>
      <c r="AM133" s="389"/>
      <c r="AN133" s="389"/>
      <c r="AO133" s="389"/>
      <c r="AP133" s="391" t="s">
        <v>540</v>
      </c>
      <c r="AQ133" s="390" cm="1">
        <f t="array" ref="AQ133">IFERROR(DATE(2026, _xlfn.AGGREGATE(15, 6, (COLUMN(CI133:CT133)-COLUMN(CI133)+1)/(CI133:CT133&lt;&gt;0), 1), 1),"N/A")</f>
        <v>46235</v>
      </c>
      <c r="AR133" s="390" cm="1">
        <f t="array" ref="AR133">IFERROR(EOMONTH(DATE(2026, _xlfn.AGGREGATE(14, 6, (COLUMN(CI133:CT133)-COLUMN(CI133)+1)/(CI133:CT133&lt;&gt;0), 1), 1), 0),"N/A")</f>
        <v>46387</v>
      </c>
      <c r="AS133" s="389"/>
      <c r="AT133" s="389"/>
      <c r="AU133" s="389"/>
      <c r="AV133" s="389"/>
      <c r="AW133" s="389"/>
      <c r="AX133" s="389"/>
      <c r="AY133" s="389"/>
      <c r="AZ133" s="389"/>
      <c r="BA133" s="389"/>
      <c r="BB133" s="389"/>
      <c r="BC133" s="389"/>
      <c r="BD133" s="389"/>
      <c r="BE133" s="389"/>
      <c r="BF133" s="392" t="s">
        <v>1212</v>
      </c>
      <c r="BG133" s="385"/>
      <c r="BH133" s="385" t="s">
        <v>1214</v>
      </c>
      <c r="BI133" s="385" t="s">
        <v>137</v>
      </c>
      <c r="BJ133" s="388">
        <v>530101</v>
      </c>
      <c r="BK133" s="386" t="s">
        <v>74</v>
      </c>
      <c r="BL133" s="393"/>
      <c r="BM133" s="394"/>
      <c r="BN133" s="394"/>
      <c r="BO133" s="394"/>
      <c r="BP133" s="395"/>
      <c r="BQ133" s="394"/>
      <c r="BR133" s="394"/>
      <c r="BS133" s="394"/>
      <c r="BT133" s="394"/>
      <c r="BU133" s="394"/>
      <c r="BV133" s="394"/>
      <c r="BW133" s="394"/>
      <c r="BX133" s="394"/>
      <c r="BY133" s="394"/>
      <c r="BZ133" s="394"/>
      <c r="CA133" s="394"/>
      <c r="CB133" s="394"/>
      <c r="CC133" s="394"/>
      <c r="CD133" s="394"/>
      <c r="CE133" s="394"/>
      <c r="CF133" s="394"/>
      <c r="CG133" s="394">
        <v>300</v>
      </c>
      <c r="CH133" s="396">
        <f t="shared" si="2"/>
        <v>300</v>
      </c>
      <c r="CI133" s="396"/>
      <c r="CJ133" s="396"/>
      <c r="CK133" s="396"/>
      <c r="CL133" s="396"/>
      <c r="CM133" s="394"/>
      <c r="CN133" s="394"/>
      <c r="CO133" s="394"/>
      <c r="CP133" s="394">
        <v>200</v>
      </c>
      <c r="CQ133" s="394">
        <v>25</v>
      </c>
      <c r="CR133" s="394">
        <v>25</v>
      </c>
      <c r="CS133" s="394">
        <v>25</v>
      </c>
      <c r="CT133" s="394">
        <v>25</v>
      </c>
      <c r="CU133" s="394"/>
      <c r="CV133" s="394">
        <f t="shared" si="3"/>
        <v>0</v>
      </c>
      <c r="CW133" s="394"/>
      <c r="CX133" s="385" t="s">
        <v>1231</v>
      </c>
      <c r="CY133" s="385"/>
      <c r="CZ133" s="385"/>
      <c r="DA133" s="385" t="s">
        <v>1235</v>
      </c>
      <c r="DB133" s="385"/>
      <c r="DC133" s="385"/>
      <c r="DD133" s="385"/>
    </row>
    <row r="134" spans="1:108" s="417" customFormat="1" ht="15" hidden="1" customHeight="1" x14ac:dyDescent="0.25">
      <c r="A134" s="412" t="s">
        <v>690</v>
      </c>
      <c r="B134" s="74" t="s">
        <v>154</v>
      </c>
      <c r="C134" s="74" t="s">
        <v>172</v>
      </c>
      <c r="D134" s="74" t="s">
        <v>196</v>
      </c>
      <c r="E134" s="74" t="s">
        <v>309</v>
      </c>
      <c r="F134" s="74" t="s">
        <v>550</v>
      </c>
      <c r="G134" s="74" t="s">
        <v>137</v>
      </c>
      <c r="H134" s="74" t="s">
        <v>137</v>
      </c>
      <c r="I134" s="74" t="s">
        <v>66</v>
      </c>
      <c r="J134" s="74" t="s">
        <v>29</v>
      </c>
      <c r="K134" s="82" t="s">
        <v>137</v>
      </c>
      <c r="L134" s="82" t="s">
        <v>137</v>
      </c>
      <c r="M134" s="82" t="s">
        <v>137</v>
      </c>
      <c r="N134" s="82" t="s">
        <v>137</v>
      </c>
      <c r="O134" s="82" t="s">
        <v>137</v>
      </c>
      <c r="P134" s="82" t="s">
        <v>137</v>
      </c>
      <c r="Q134" s="74" t="s">
        <v>87</v>
      </c>
      <c r="R134" s="74" t="s">
        <v>709</v>
      </c>
      <c r="S134" s="74" t="s">
        <v>40</v>
      </c>
      <c r="T134" s="74" t="s">
        <v>2</v>
      </c>
      <c r="U134" s="75"/>
      <c r="V134" s="75">
        <v>0.05</v>
      </c>
      <c r="W134" s="75">
        <v>0.08</v>
      </c>
      <c r="X134" s="75">
        <v>0.15</v>
      </c>
      <c r="Y134" s="75">
        <v>0.2</v>
      </c>
      <c r="Z134" s="75">
        <v>0.25</v>
      </c>
      <c r="AA134" s="75">
        <v>0.37</v>
      </c>
      <c r="AB134" s="75">
        <v>0.42</v>
      </c>
      <c r="AC134" s="75">
        <v>0.57999999999999996</v>
      </c>
      <c r="AD134" s="75">
        <v>0.67</v>
      </c>
      <c r="AE134" s="75">
        <v>0.83</v>
      </c>
      <c r="AF134" s="75">
        <v>1</v>
      </c>
      <c r="AG134" s="74" t="s">
        <v>533</v>
      </c>
      <c r="AH134" s="74" t="s">
        <v>530</v>
      </c>
      <c r="AI134" s="78" t="s">
        <v>539</v>
      </c>
      <c r="AJ134" s="79" t="s">
        <v>539</v>
      </c>
      <c r="AK134" s="80">
        <v>46023</v>
      </c>
      <c r="AL134" s="80">
        <v>46387</v>
      </c>
      <c r="AM134" s="79"/>
      <c r="AN134" s="79"/>
      <c r="AO134" s="79"/>
      <c r="AP134" s="81" t="s">
        <v>540</v>
      </c>
      <c r="AQ134" s="80" cm="1">
        <f t="array" ref="AQ134">IFERROR(DATE(2026, _xlfn.AGGREGATE(15, 6, (COLUMN(CI134:CT134)-COLUMN(CI134)+1)/(CI134:CT134&lt;&gt;0), 1), 1),"N/A")</f>
        <v>46023</v>
      </c>
      <c r="AR134" s="80" cm="1">
        <f t="array" ref="AR134">IFERROR(EOMONTH(DATE(2026, _xlfn.AGGREGATE(14, 6, (COLUMN(CI134:CT134)-COLUMN(CI134)+1)/(CI134:CT134&lt;&gt;0), 1), 1), 0),"N/A")</f>
        <v>46387</v>
      </c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412" t="s">
        <v>623</v>
      </c>
      <c r="BG134" s="74"/>
      <c r="BH134" s="412" t="s">
        <v>841</v>
      </c>
      <c r="BI134" s="74" t="s">
        <v>137</v>
      </c>
      <c r="BJ134" s="413">
        <v>530105</v>
      </c>
      <c r="BK134" s="414" t="s">
        <v>74</v>
      </c>
      <c r="BL134" s="83">
        <v>6000</v>
      </c>
      <c r="BM134" s="84">
        <v>500</v>
      </c>
      <c r="BN134" s="84">
        <v>500</v>
      </c>
      <c r="BO134" s="84">
        <v>500</v>
      </c>
      <c r="BP134" s="72">
        <v>500</v>
      </c>
      <c r="BQ134" s="84">
        <v>500</v>
      </c>
      <c r="BR134" s="84">
        <v>500</v>
      </c>
      <c r="BS134" s="84">
        <v>500</v>
      </c>
      <c r="BT134" s="84">
        <v>500</v>
      </c>
      <c r="BU134" s="84">
        <v>500</v>
      </c>
      <c r="BV134" s="84">
        <v>500</v>
      </c>
      <c r="BW134" s="84">
        <v>500</v>
      </c>
      <c r="BX134" s="84">
        <v>500</v>
      </c>
      <c r="BY134" s="84"/>
      <c r="BZ134" s="84"/>
      <c r="CA134" s="84"/>
      <c r="CB134" s="84"/>
      <c r="CC134" s="84"/>
      <c r="CD134" s="84"/>
      <c r="CE134" s="84"/>
      <c r="CF134" s="84"/>
      <c r="CG134" s="84"/>
      <c r="CH134" s="415">
        <f t="shared" si="2"/>
        <v>6000</v>
      </c>
      <c r="CI134" s="84">
        <v>500</v>
      </c>
      <c r="CJ134" s="84">
        <v>500</v>
      </c>
      <c r="CK134" s="84">
        <v>500</v>
      </c>
      <c r="CL134" s="72">
        <v>500</v>
      </c>
      <c r="CM134" s="84">
        <v>500</v>
      </c>
      <c r="CN134" s="84">
        <v>500</v>
      </c>
      <c r="CO134" s="84">
        <v>500</v>
      </c>
      <c r="CP134" s="84">
        <v>500</v>
      </c>
      <c r="CQ134" s="84">
        <v>500</v>
      </c>
      <c r="CR134" s="84">
        <v>500</v>
      </c>
      <c r="CS134" s="84">
        <v>500</v>
      </c>
      <c r="CT134" s="416">
        <v>500</v>
      </c>
      <c r="CU134" s="416"/>
      <c r="CV134" s="416">
        <f t="shared" si="3"/>
        <v>0</v>
      </c>
      <c r="CW134" s="416"/>
      <c r="CX134" s="412"/>
      <c r="CY134" s="412"/>
      <c r="CZ134" s="412"/>
      <c r="DA134" s="412"/>
      <c r="DB134" s="412"/>
      <c r="DC134" s="412"/>
      <c r="DD134" s="412"/>
    </row>
    <row r="135" spans="1:108" s="68" customFormat="1" ht="15" hidden="1" customHeight="1" x14ac:dyDescent="0.25">
      <c r="A135" s="74" t="s">
        <v>690</v>
      </c>
      <c r="B135" s="74" t="s">
        <v>154</v>
      </c>
      <c r="C135" s="74" t="s">
        <v>172</v>
      </c>
      <c r="D135" s="74" t="s">
        <v>196</v>
      </c>
      <c r="E135" s="74" t="s">
        <v>309</v>
      </c>
      <c r="F135" s="74" t="s">
        <v>550</v>
      </c>
      <c r="G135" s="74" t="s">
        <v>137</v>
      </c>
      <c r="H135" s="74" t="s">
        <v>137</v>
      </c>
      <c r="I135" s="74" t="s">
        <v>66</v>
      </c>
      <c r="J135" s="74" t="s">
        <v>29</v>
      </c>
      <c r="K135" s="82" t="s">
        <v>137</v>
      </c>
      <c r="L135" s="82" t="s">
        <v>137</v>
      </c>
      <c r="M135" s="82" t="s">
        <v>137</v>
      </c>
      <c r="N135" s="82" t="s">
        <v>137</v>
      </c>
      <c r="O135" s="82" t="s">
        <v>137</v>
      </c>
      <c r="P135" s="82" t="s">
        <v>137</v>
      </c>
      <c r="Q135" s="74" t="s">
        <v>87</v>
      </c>
      <c r="R135" s="74" t="s">
        <v>709</v>
      </c>
      <c r="S135" s="74" t="s">
        <v>40</v>
      </c>
      <c r="T135" s="74" t="s">
        <v>2</v>
      </c>
      <c r="U135" s="75"/>
      <c r="V135" s="75">
        <v>0.05</v>
      </c>
      <c r="W135" s="75">
        <v>0.08</v>
      </c>
      <c r="X135" s="75">
        <v>0.15</v>
      </c>
      <c r="Y135" s="75">
        <v>0.2</v>
      </c>
      <c r="Z135" s="75">
        <v>0.25</v>
      </c>
      <c r="AA135" s="75">
        <v>0.37</v>
      </c>
      <c r="AB135" s="75">
        <v>0.42</v>
      </c>
      <c r="AC135" s="75">
        <v>0.57999999999999996</v>
      </c>
      <c r="AD135" s="75">
        <v>0.67</v>
      </c>
      <c r="AE135" s="75">
        <v>0.83</v>
      </c>
      <c r="AF135" s="75">
        <v>1</v>
      </c>
      <c r="AG135" s="74" t="s">
        <v>533</v>
      </c>
      <c r="AH135" s="74" t="s">
        <v>530</v>
      </c>
      <c r="AI135" s="78" t="s">
        <v>539</v>
      </c>
      <c r="AJ135" s="79" t="s">
        <v>539</v>
      </c>
      <c r="AK135" s="80">
        <v>46023</v>
      </c>
      <c r="AL135" s="80">
        <v>46387</v>
      </c>
      <c r="AM135" s="79"/>
      <c r="AN135" s="79"/>
      <c r="AO135" s="79"/>
      <c r="AP135" s="81" t="s">
        <v>540</v>
      </c>
      <c r="AQ135" s="80" t="str" cm="1">
        <f t="array" ref="AQ135">IFERROR(DATE(2026, _xlfn.AGGREGATE(15, 6, (COLUMN(CI135:CT135)-COLUMN(CI135)+1)/(CI135:CT135&lt;&gt;0), 1), 1),"N/A")</f>
        <v>N/A</v>
      </c>
      <c r="AR135" s="80" t="str" cm="1">
        <f t="array" ref="AR135">IFERROR(EOMONTH(DATE(2026, _xlfn.AGGREGATE(14, 6, (COLUMN(CI135:CT135)-COLUMN(CI135)+1)/(CI135:CT135&lt;&gt;0), 1), 1), 0),"N/A")</f>
        <v>N/A</v>
      </c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4" t="s">
        <v>657</v>
      </c>
      <c r="BG135" s="74"/>
      <c r="BH135" s="74" t="s">
        <v>870</v>
      </c>
      <c r="BI135" s="74" t="s">
        <v>137</v>
      </c>
      <c r="BJ135" s="78">
        <v>570102</v>
      </c>
      <c r="BK135" s="82" t="s">
        <v>74</v>
      </c>
      <c r="BL135" s="83">
        <v>49020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49020</v>
      </c>
      <c r="BW135" s="73">
        <v>0</v>
      </c>
      <c r="BX135" s="73">
        <v>0</v>
      </c>
      <c r="BY135" s="73"/>
      <c r="BZ135" s="73">
        <v>-49020</v>
      </c>
      <c r="CA135" s="73"/>
      <c r="CB135" s="73"/>
      <c r="CC135" s="73"/>
      <c r="CD135" s="73"/>
      <c r="CE135" s="73"/>
      <c r="CF135" s="73"/>
      <c r="CG135" s="73"/>
      <c r="CH135" s="73">
        <f t="shared" ref="CH135:CH198" si="4">+BL135+BY135+BZ135+CA135+CB135+CC135+CD135+CE135+CF135+CG135</f>
        <v>0</v>
      </c>
      <c r="CI135" s="73"/>
      <c r="CJ135" s="73"/>
      <c r="CK135" s="72">
        <v>0</v>
      </c>
      <c r="CL135" s="73">
        <v>0</v>
      </c>
      <c r="CM135" s="73">
        <v>0</v>
      </c>
      <c r="CN135" s="73">
        <v>0</v>
      </c>
      <c r="CO135" s="73">
        <v>0</v>
      </c>
      <c r="CP135" s="73">
        <v>0</v>
      </c>
      <c r="CQ135" s="73">
        <v>0</v>
      </c>
      <c r="CR135" s="73">
        <v>0</v>
      </c>
      <c r="CS135" s="73">
        <v>0</v>
      </c>
      <c r="CT135" s="73">
        <v>0</v>
      </c>
      <c r="CU135" s="73"/>
      <c r="CV135" s="84">
        <f t="shared" ref="CV135:CV198" si="5">+CH135-SUM(CI135:CU135)</f>
        <v>0</v>
      </c>
      <c r="CW135" s="84"/>
      <c r="CX135" s="74"/>
      <c r="CY135" s="74"/>
      <c r="CZ135" s="74"/>
      <c r="DA135" s="74"/>
      <c r="DB135" s="74"/>
      <c r="DC135" s="74"/>
      <c r="DD135" s="74"/>
    </row>
    <row r="136" spans="1:108" s="402" customFormat="1" ht="15" hidden="1" customHeight="1" x14ac:dyDescent="0.25">
      <c r="A136" s="398" t="s">
        <v>690</v>
      </c>
      <c r="B136" s="74" t="s">
        <v>154</v>
      </c>
      <c r="C136" s="74" t="s">
        <v>172</v>
      </c>
      <c r="D136" s="74" t="s">
        <v>196</v>
      </c>
      <c r="E136" s="74" t="s">
        <v>309</v>
      </c>
      <c r="F136" s="74" t="s">
        <v>550</v>
      </c>
      <c r="G136" s="74" t="s">
        <v>137</v>
      </c>
      <c r="H136" s="74" t="s">
        <v>137</v>
      </c>
      <c r="I136" s="74" t="s">
        <v>66</v>
      </c>
      <c r="J136" s="74" t="s">
        <v>29</v>
      </c>
      <c r="K136" s="82" t="s">
        <v>137</v>
      </c>
      <c r="L136" s="82" t="s">
        <v>137</v>
      </c>
      <c r="M136" s="82" t="s">
        <v>137</v>
      </c>
      <c r="N136" s="82" t="s">
        <v>137</v>
      </c>
      <c r="O136" s="82" t="s">
        <v>137</v>
      </c>
      <c r="P136" s="82" t="s">
        <v>137</v>
      </c>
      <c r="Q136" s="74" t="s">
        <v>87</v>
      </c>
      <c r="R136" s="74" t="s">
        <v>709</v>
      </c>
      <c r="S136" s="74" t="s">
        <v>40</v>
      </c>
      <c r="T136" s="74" t="s">
        <v>2</v>
      </c>
      <c r="U136" s="75"/>
      <c r="V136" s="75">
        <v>0.05</v>
      </c>
      <c r="W136" s="75">
        <v>0.08</v>
      </c>
      <c r="X136" s="75">
        <v>0.15</v>
      </c>
      <c r="Y136" s="75">
        <v>0.2</v>
      </c>
      <c r="Z136" s="75">
        <v>0.25</v>
      </c>
      <c r="AA136" s="75">
        <v>0.37</v>
      </c>
      <c r="AB136" s="75">
        <v>0.42</v>
      </c>
      <c r="AC136" s="75">
        <v>0.57999999999999996</v>
      </c>
      <c r="AD136" s="75">
        <v>0.67</v>
      </c>
      <c r="AE136" s="75">
        <v>0.83</v>
      </c>
      <c r="AF136" s="75">
        <v>1</v>
      </c>
      <c r="AG136" s="74" t="s">
        <v>533</v>
      </c>
      <c r="AH136" s="74" t="s">
        <v>530</v>
      </c>
      <c r="AI136" s="78" t="s">
        <v>539</v>
      </c>
      <c r="AJ136" s="79" t="s">
        <v>539</v>
      </c>
      <c r="AK136" s="80">
        <v>46023</v>
      </c>
      <c r="AL136" s="80">
        <v>46387</v>
      </c>
      <c r="AM136" s="79"/>
      <c r="AN136" s="79"/>
      <c r="AO136" s="79"/>
      <c r="AP136" s="81" t="s">
        <v>540</v>
      </c>
      <c r="AQ136" s="80" cm="1">
        <f t="array" ref="AQ136">IFERROR(DATE(2026, _xlfn.AGGREGATE(15, 6, (COLUMN(CI136:CT136)-COLUMN(CI136)+1)/(CI136:CT136&lt;&gt;0), 1), 1),"N/A")</f>
        <v>46357</v>
      </c>
      <c r="AR136" s="80" cm="1">
        <f t="array" ref="AR136">IFERROR(EOMONTH(DATE(2026, _xlfn.AGGREGATE(14, 6, (COLUMN(CI136:CT136)-COLUMN(CI136)+1)/(CI136:CT136&lt;&gt;0), 1), 1), 0),"N/A")</f>
        <v>46387</v>
      </c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398" t="s">
        <v>1044</v>
      </c>
      <c r="BG136" s="74"/>
      <c r="BH136" s="398" t="s">
        <v>1045</v>
      </c>
      <c r="BI136" s="74" t="s">
        <v>137</v>
      </c>
      <c r="BJ136" s="399">
        <v>570201</v>
      </c>
      <c r="BK136" s="400" t="s">
        <v>74</v>
      </c>
      <c r="BL136" s="83">
        <v>0</v>
      </c>
      <c r="BM136" s="73"/>
      <c r="BN136" s="73"/>
      <c r="BO136" s="73"/>
      <c r="BP136" s="73"/>
      <c r="BQ136" s="73"/>
      <c r="BR136" s="73"/>
      <c r="BS136" s="73"/>
      <c r="BT136" s="73"/>
      <c r="BU136" s="84"/>
      <c r="BV136" s="73"/>
      <c r="BW136" s="73"/>
      <c r="BX136" s="73"/>
      <c r="BY136" s="73"/>
      <c r="BZ136" s="73"/>
      <c r="CA136" s="73">
        <v>2000</v>
      </c>
      <c r="CB136" s="73"/>
      <c r="CC136" s="73"/>
      <c r="CD136" s="73"/>
      <c r="CE136" s="73"/>
      <c r="CF136" s="73"/>
      <c r="CG136" s="73"/>
      <c r="CH136" s="403">
        <f t="shared" si="4"/>
        <v>2000</v>
      </c>
      <c r="CI136" s="73"/>
      <c r="CJ136" s="73"/>
      <c r="CK136" s="72"/>
      <c r="CL136" s="73"/>
      <c r="CM136" s="73"/>
      <c r="CN136" s="73"/>
      <c r="CO136" s="73"/>
      <c r="CP136" s="73"/>
      <c r="CQ136" s="84"/>
      <c r="CR136" s="73"/>
      <c r="CS136" s="73"/>
      <c r="CT136" s="403">
        <v>2000</v>
      </c>
      <c r="CU136" s="403"/>
      <c r="CV136" s="404">
        <f t="shared" si="5"/>
        <v>0</v>
      </c>
      <c r="CW136" s="404"/>
      <c r="CX136" s="398"/>
      <c r="CY136" s="398"/>
      <c r="CZ136" s="398"/>
      <c r="DA136" s="398"/>
      <c r="DB136" s="398"/>
      <c r="DC136" s="398"/>
      <c r="DD136" s="398"/>
    </row>
    <row r="137" spans="1:108" s="181" customFormat="1" ht="15" customHeight="1" x14ac:dyDescent="0.25">
      <c r="A137" s="179" t="s">
        <v>691</v>
      </c>
      <c r="B137" s="74" t="s">
        <v>154</v>
      </c>
      <c r="C137" s="74" t="s">
        <v>172</v>
      </c>
      <c r="D137" s="74" t="s">
        <v>196</v>
      </c>
      <c r="E137" s="179" t="s">
        <v>309</v>
      </c>
      <c r="F137" s="74" t="s">
        <v>550</v>
      </c>
      <c r="G137" s="74" t="s">
        <v>137</v>
      </c>
      <c r="H137" s="74" t="s">
        <v>137</v>
      </c>
      <c r="I137" s="74" t="s">
        <v>66</v>
      </c>
      <c r="J137" s="74" t="s">
        <v>29</v>
      </c>
      <c r="K137" s="82" t="s">
        <v>137</v>
      </c>
      <c r="L137" s="82" t="s">
        <v>137</v>
      </c>
      <c r="M137" s="82" t="s">
        <v>137</v>
      </c>
      <c r="N137" s="82" t="s">
        <v>137</v>
      </c>
      <c r="O137" s="82" t="s">
        <v>137</v>
      </c>
      <c r="P137" s="82" t="s">
        <v>137</v>
      </c>
      <c r="Q137" s="74" t="s">
        <v>87</v>
      </c>
      <c r="R137" s="74" t="s">
        <v>709</v>
      </c>
      <c r="S137" s="74" t="s">
        <v>40</v>
      </c>
      <c r="T137" s="74" t="s">
        <v>2</v>
      </c>
      <c r="U137" s="75"/>
      <c r="V137" s="75">
        <v>0.05</v>
      </c>
      <c r="W137" s="75">
        <v>0.08</v>
      </c>
      <c r="X137" s="75">
        <v>0.15</v>
      </c>
      <c r="Y137" s="75">
        <v>0.2</v>
      </c>
      <c r="Z137" s="75">
        <v>0.25</v>
      </c>
      <c r="AA137" s="75">
        <v>0.37</v>
      </c>
      <c r="AB137" s="75">
        <v>0.42</v>
      </c>
      <c r="AC137" s="75">
        <v>0.57999999999999996</v>
      </c>
      <c r="AD137" s="75">
        <v>0.67</v>
      </c>
      <c r="AE137" s="75">
        <v>0.83</v>
      </c>
      <c r="AF137" s="75">
        <v>1</v>
      </c>
      <c r="AG137" s="74" t="s">
        <v>533</v>
      </c>
      <c r="AH137" s="74" t="s">
        <v>530</v>
      </c>
      <c r="AI137" s="78" t="s">
        <v>539</v>
      </c>
      <c r="AJ137" s="79" t="s">
        <v>539</v>
      </c>
      <c r="AK137" s="80">
        <v>46023</v>
      </c>
      <c r="AL137" s="80">
        <v>46387</v>
      </c>
      <c r="AM137" s="79"/>
      <c r="AN137" s="79"/>
      <c r="AO137" s="79"/>
      <c r="AP137" s="81" t="s">
        <v>540</v>
      </c>
      <c r="AQ137" s="80" cm="1">
        <f t="array" ref="AQ137">IFERROR(DATE(2026, _xlfn.AGGREGATE(15, 6, (COLUMN(CI137:CT137)-COLUMN(CI137)+1)/(CI137:CT137&lt;&gt;0), 1), 1),"N/A")</f>
        <v>46113</v>
      </c>
      <c r="AR137" s="80" cm="1">
        <f t="array" ref="AR137">IFERROR(EOMONTH(DATE(2026, _xlfn.AGGREGATE(14, 6, (COLUMN(CI137:CT137)-COLUMN(CI137)+1)/(CI137:CT137&lt;&gt;0), 1), 1), 0),"N/A")</f>
        <v>46265</v>
      </c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179" t="s">
        <v>631</v>
      </c>
      <c r="BG137" s="74" t="s">
        <v>1009</v>
      </c>
      <c r="BH137" s="74" t="s">
        <v>842</v>
      </c>
      <c r="BI137" s="74" t="s">
        <v>137</v>
      </c>
      <c r="BJ137" s="78">
        <v>530702</v>
      </c>
      <c r="BK137" s="82" t="s">
        <v>74</v>
      </c>
      <c r="BL137" s="83">
        <v>6600</v>
      </c>
      <c r="BM137" s="73">
        <v>0</v>
      </c>
      <c r="BN137" s="73">
        <v>0</v>
      </c>
      <c r="BO137" s="73">
        <v>0</v>
      </c>
      <c r="BP137" s="72">
        <v>3000</v>
      </c>
      <c r="BQ137" s="73">
        <v>0</v>
      </c>
      <c r="BR137" s="73">
        <v>0</v>
      </c>
      <c r="BS137" s="73">
        <v>0</v>
      </c>
      <c r="BT137" s="84">
        <v>3600</v>
      </c>
      <c r="BU137" s="73">
        <v>0</v>
      </c>
      <c r="BV137" s="73">
        <v>0</v>
      </c>
      <c r="BW137" s="73">
        <v>0</v>
      </c>
      <c r="BX137" s="73">
        <v>0</v>
      </c>
      <c r="BY137" s="73"/>
      <c r="BZ137" s="73"/>
      <c r="CA137" s="73"/>
      <c r="CB137" s="73"/>
      <c r="CC137" s="73"/>
      <c r="CD137" s="73"/>
      <c r="CE137" s="73"/>
      <c r="CF137" s="73"/>
      <c r="CG137" s="180"/>
      <c r="CH137" s="180">
        <f t="shared" si="4"/>
        <v>6600</v>
      </c>
      <c r="CI137" s="73"/>
      <c r="CJ137" s="73"/>
      <c r="CK137" s="72">
        <v>0</v>
      </c>
      <c r="CL137" s="72">
        <v>3000</v>
      </c>
      <c r="CM137" s="73">
        <v>0</v>
      </c>
      <c r="CN137" s="73">
        <v>0</v>
      </c>
      <c r="CO137" s="73">
        <v>0</v>
      </c>
      <c r="CP137" s="84">
        <v>3600</v>
      </c>
      <c r="CQ137" s="73">
        <v>0</v>
      </c>
      <c r="CR137" s="73">
        <v>0</v>
      </c>
      <c r="CS137" s="73">
        <v>0</v>
      </c>
      <c r="CT137" s="73">
        <v>0</v>
      </c>
      <c r="CU137" s="73"/>
      <c r="CV137" s="84">
        <f t="shared" si="5"/>
        <v>0</v>
      </c>
      <c r="CW137" s="84"/>
      <c r="CX137" s="74"/>
      <c r="CY137" s="74"/>
      <c r="CZ137" s="74"/>
      <c r="DA137" s="179"/>
      <c r="DB137" s="179"/>
      <c r="DC137" s="179"/>
      <c r="DD137" s="179"/>
    </row>
    <row r="138" spans="1:108" s="68" customFormat="1" ht="15" customHeight="1" x14ac:dyDescent="0.25">
      <c r="A138" s="74" t="s">
        <v>691</v>
      </c>
      <c r="B138" s="74" t="s">
        <v>154</v>
      </c>
      <c r="C138" s="74" t="s">
        <v>172</v>
      </c>
      <c r="D138" s="74" t="s">
        <v>196</v>
      </c>
      <c r="E138" s="74" t="s">
        <v>309</v>
      </c>
      <c r="F138" s="74" t="s">
        <v>550</v>
      </c>
      <c r="G138" s="74" t="s">
        <v>137</v>
      </c>
      <c r="H138" s="74" t="s">
        <v>137</v>
      </c>
      <c r="I138" s="74" t="s">
        <v>66</v>
      </c>
      <c r="J138" s="74" t="s">
        <v>29</v>
      </c>
      <c r="K138" s="82" t="s">
        <v>137</v>
      </c>
      <c r="L138" s="82" t="s">
        <v>137</v>
      </c>
      <c r="M138" s="82" t="s">
        <v>137</v>
      </c>
      <c r="N138" s="82" t="s">
        <v>137</v>
      </c>
      <c r="O138" s="82" t="s">
        <v>137</v>
      </c>
      <c r="P138" s="82" t="s">
        <v>137</v>
      </c>
      <c r="Q138" s="74" t="s">
        <v>87</v>
      </c>
      <c r="R138" s="74" t="s">
        <v>709</v>
      </c>
      <c r="S138" s="74" t="s">
        <v>40</v>
      </c>
      <c r="T138" s="74" t="s">
        <v>2</v>
      </c>
      <c r="U138" s="75"/>
      <c r="V138" s="75">
        <v>0.05</v>
      </c>
      <c r="W138" s="75">
        <v>0.08</v>
      </c>
      <c r="X138" s="75">
        <v>0.15</v>
      </c>
      <c r="Y138" s="75">
        <v>0.2</v>
      </c>
      <c r="Z138" s="75">
        <v>0.25</v>
      </c>
      <c r="AA138" s="75">
        <v>0.37</v>
      </c>
      <c r="AB138" s="75">
        <v>0.42</v>
      </c>
      <c r="AC138" s="75">
        <v>0.57999999999999996</v>
      </c>
      <c r="AD138" s="75">
        <v>0.67</v>
      </c>
      <c r="AE138" s="75">
        <v>0.83</v>
      </c>
      <c r="AF138" s="75">
        <v>1</v>
      </c>
      <c r="AG138" s="74" t="s">
        <v>533</v>
      </c>
      <c r="AH138" s="74" t="s">
        <v>530</v>
      </c>
      <c r="AI138" s="78" t="s">
        <v>539</v>
      </c>
      <c r="AJ138" s="79" t="s">
        <v>539</v>
      </c>
      <c r="AK138" s="80">
        <v>46023</v>
      </c>
      <c r="AL138" s="80">
        <v>46387</v>
      </c>
      <c r="AM138" s="79"/>
      <c r="AN138" s="79"/>
      <c r="AO138" s="79"/>
      <c r="AP138" s="81" t="s">
        <v>540</v>
      </c>
      <c r="AQ138" s="80" t="str" cm="1">
        <f t="array" ref="AQ138">IFERROR(DATE(2026, _xlfn.AGGREGATE(15, 6, (COLUMN(CI138:CT138)-COLUMN(CI138)+1)/(CI138:CT138&lt;&gt;0), 1), 1),"N/A")</f>
        <v>N/A</v>
      </c>
      <c r="AR138" s="80" t="str" cm="1">
        <f t="array" ref="AR138">IFERROR(EOMONTH(DATE(2026, _xlfn.AGGREGATE(14, 6, (COLUMN(CI138:CT138)-COLUMN(CI138)+1)/(CI138:CT138&lt;&gt;0), 1), 1), 0),"N/A")</f>
        <v>N/A</v>
      </c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4" t="s">
        <v>664</v>
      </c>
      <c r="BG138" s="74" t="s">
        <v>1009</v>
      </c>
      <c r="BH138" s="74" t="s">
        <v>857</v>
      </c>
      <c r="BI138" s="74" t="s">
        <v>137</v>
      </c>
      <c r="BJ138" s="78">
        <v>530702</v>
      </c>
      <c r="BK138" s="82" t="s">
        <v>74</v>
      </c>
      <c r="BL138" s="83">
        <v>33000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84">
        <v>33000</v>
      </c>
      <c r="BV138" s="73">
        <v>0</v>
      </c>
      <c r="BW138" s="73">
        <v>0</v>
      </c>
      <c r="BX138" s="73">
        <v>0</v>
      </c>
      <c r="BY138" s="73">
        <v>-33000</v>
      </c>
      <c r="BZ138" s="73"/>
      <c r="CA138" s="73"/>
      <c r="CB138" s="73"/>
      <c r="CC138" s="73"/>
      <c r="CD138" s="73"/>
      <c r="CE138" s="73"/>
      <c r="CF138" s="73"/>
      <c r="CG138" s="73"/>
      <c r="CH138" s="73">
        <f t="shared" si="4"/>
        <v>0</v>
      </c>
      <c r="CI138" s="73"/>
      <c r="CJ138" s="73"/>
      <c r="CK138" s="72">
        <v>0</v>
      </c>
      <c r="CL138" s="73">
        <v>0</v>
      </c>
      <c r="CM138" s="73">
        <v>0</v>
      </c>
      <c r="CN138" s="73">
        <v>0</v>
      </c>
      <c r="CO138" s="73">
        <v>0</v>
      </c>
      <c r="CP138" s="73">
        <v>0</v>
      </c>
      <c r="CQ138" s="84">
        <v>0</v>
      </c>
      <c r="CR138" s="73">
        <v>0</v>
      </c>
      <c r="CS138" s="73">
        <v>0</v>
      </c>
      <c r="CT138" s="73">
        <v>0</v>
      </c>
      <c r="CU138" s="73"/>
      <c r="CV138" s="84">
        <f t="shared" si="5"/>
        <v>0</v>
      </c>
      <c r="CW138" s="84"/>
      <c r="CX138" s="74"/>
      <c r="CY138" s="74"/>
      <c r="CZ138" s="74"/>
      <c r="DA138" s="74"/>
      <c r="DB138" s="74"/>
      <c r="DC138" s="74"/>
      <c r="DD138" s="74"/>
    </row>
    <row r="139" spans="1:108" s="68" customFormat="1" ht="15" customHeight="1" x14ac:dyDescent="0.25">
      <c r="A139" s="74" t="s">
        <v>691</v>
      </c>
      <c r="B139" s="74" t="s">
        <v>154</v>
      </c>
      <c r="C139" s="74" t="s">
        <v>172</v>
      </c>
      <c r="D139" s="74" t="s">
        <v>196</v>
      </c>
      <c r="E139" s="74" t="s">
        <v>309</v>
      </c>
      <c r="F139" s="74" t="s">
        <v>550</v>
      </c>
      <c r="G139" s="74" t="s">
        <v>137</v>
      </c>
      <c r="H139" s="74" t="s">
        <v>137</v>
      </c>
      <c r="I139" s="74" t="s">
        <v>66</v>
      </c>
      <c r="J139" s="74" t="s">
        <v>29</v>
      </c>
      <c r="K139" s="82" t="s">
        <v>137</v>
      </c>
      <c r="L139" s="82" t="s">
        <v>137</v>
      </c>
      <c r="M139" s="82" t="s">
        <v>137</v>
      </c>
      <c r="N139" s="82" t="s">
        <v>137</v>
      </c>
      <c r="O139" s="82" t="s">
        <v>137</v>
      </c>
      <c r="P139" s="82" t="s">
        <v>137</v>
      </c>
      <c r="Q139" s="74" t="s">
        <v>87</v>
      </c>
      <c r="R139" s="74" t="s">
        <v>709</v>
      </c>
      <c r="S139" s="74" t="s">
        <v>40</v>
      </c>
      <c r="T139" s="74" t="s">
        <v>2</v>
      </c>
      <c r="U139" s="75"/>
      <c r="V139" s="75">
        <v>0.05</v>
      </c>
      <c r="W139" s="75">
        <v>0.08</v>
      </c>
      <c r="X139" s="75">
        <v>0.15</v>
      </c>
      <c r="Y139" s="75">
        <v>0.2</v>
      </c>
      <c r="Z139" s="75">
        <v>0.25</v>
      </c>
      <c r="AA139" s="75">
        <v>0.37</v>
      </c>
      <c r="AB139" s="75">
        <v>0.42</v>
      </c>
      <c r="AC139" s="75">
        <v>0.57999999999999996</v>
      </c>
      <c r="AD139" s="75">
        <v>0.67</v>
      </c>
      <c r="AE139" s="75">
        <v>0.83</v>
      </c>
      <c r="AF139" s="75">
        <v>1</v>
      </c>
      <c r="AG139" s="74" t="s">
        <v>533</v>
      </c>
      <c r="AH139" s="74" t="s">
        <v>530</v>
      </c>
      <c r="AI139" s="78" t="s">
        <v>539</v>
      </c>
      <c r="AJ139" s="79" t="s">
        <v>539</v>
      </c>
      <c r="AK139" s="80">
        <v>46023</v>
      </c>
      <c r="AL139" s="80">
        <v>46387</v>
      </c>
      <c r="AM139" s="79"/>
      <c r="AN139" s="79"/>
      <c r="AO139" s="79"/>
      <c r="AP139" s="81" t="s">
        <v>540</v>
      </c>
      <c r="AQ139" s="80" t="str" cm="1">
        <f t="array" ref="AQ139">IFERROR(DATE(2026, _xlfn.AGGREGATE(15, 6, (COLUMN(CI139:CT139)-COLUMN(CI139)+1)/(CI139:CT139&lt;&gt;0), 1), 1),"N/A")</f>
        <v>N/A</v>
      </c>
      <c r="AR139" s="80" t="str" cm="1">
        <f t="array" ref="AR139">IFERROR(EOMONTH(DATE(2026, _xlfn.AGGREGATE(14, 6, (COLUMN(CI139:CT139)-COLUMN(CI139)+1)/(CI139:CT139&lt;&gt;0), 1), 1), 0),"N/A")</f>
        <v>N/A</v>
      </c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4" t="s">
        <v>602</v>
      </c>
      <c r="BG139" s="74" t="s">
        <v>1009</v>
      </c>
      <c r="BH139" s="74" t="s">
        <v>807</v>
      </c>
      <c r="BI139" s="74" t="s">
        <v>137</v>
      </c>
      <c r="BJ139" s="78">
        <v>530702</v>
      </c>
      <c r="BK139" s="82" t="s">
        <v>74</v>
      </c>
      <c r="BL139" s="83">
        <v>2000</v>
      </c>
      <c r="BM139" s="73">
        <v>0</v>
      </c>
      <c r="BN139" s="73">
        <v>0</v>
      </c>
      <c r="BO139" s="73">
        <v>0</v>
      </c>
      <c r="BP139" s="73">
        <v>0</v>
      </c>
      <c r="BQ139" s="84">
        <v>2000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73">
        <v>0</v>
      </c>
      <c r="BY139" s="73">
        <v>-2000</v>
      </c>
      <c r="BZ139" s="73"/>
      <c r="CA139" s="73"/>
      <c r="CB139" s="73"/>
      <c r="CC139" s="73"/>
      <c r="CD139" s="73"/>
      <c r="CE139" s="73"/>
      <c r="CF139" s="73"/>
      <c r="CG139" s="73"/>
      <c r="CH139" s="73">
        <f t="shared" si="4"/>
        <v>0</v>
      </c>
      <c r="CI139" s="73"/>
      <c r="CJ139" s="73"/>
      <c r="CK139" s="72">
        <v>0</v>
      </c>
      <c r="CL139" s="73">
        <v>0</v>
      </c>
      <c r="CM139" s="84">
        <v>0</v>
      </c>
      <c r="CN139" s="73">
        <v>0</v>
      </c>
      <c r="CO139" s="73">
        <v>0</v>
      </c>
      <c r="CP139" s="73">
        <v>0</v>
      </c>
      <c r="CQ139" s="73">
        <v>0</v>
      </c>
      <c r="CR139" s="73">
        <v>0</v>
      </c>
      <c r="CS139" s="73">
        <v>0</v>
      </c>
      <c r="CT139" s="73">
        <v>0</v>
      </c>
      <c r="CU139" s="73"/>
      <c r="CV139" s="84">
        <f t="shared" si="5"/>
        <v>0</v>
      </c>
      <c r="CW139" s="84"/>
      <c r="CX139" s="74"/>
      <c r="CY139" s="74"/>
      <c r="CZ139" s="74"/>
      <c r="DA139" s="74"/>
      <c r="DB139" s="74"/>
      <c r="DC139" s="74"/>
      <c r="DD139" s="74"/>
    </row>
    <row r="140" spans="1:108" s="68" customFormat="1" ht="15" customHeight="1" x14ac:dyDescent="0.25">
      <c r="A140" s="74" t="s">
        <v>691</v>
      </c>
      <c r="B140" s="74" t="s">
        <v>154</v>
      </c>
      <c r="C140" s="74" t="s">
        <v>172</v>
      </c>
      <c r="D140" s="74" t="s">
        <v>196</v>
      </c>
      <c r="E140" s="74" t="s">
        <v>309</v>
      </c>
      <c r="F140" s="74" t="s">
        <v>550</v>
      </c>
      <c r="G140" s="74" t="s">
        <v>137</v>
      </c>
      <c r="H140" s="74" t="s">
        <v>137</v>
      </c>
      <c r="I140" s="74" t="s">
        <v>66</v>
      </c>
      <c r="J140" s="74" t="s">
        <v>29</v>
      </c>
      <c r="K140" s="82" t="s">
        <v>137</v>
      </c>
      <c r="L140" s="82" t="s">
        <v>137</v>
      </c>
      <c r="M140" s="82" t="s">
        <v>137</v>
      </c>
      <c r="N140" s="82" t="s">
        <v>137</v>
      </c>
      <c r="O140" s="82" t="s">
        <v>137</v>
      </c>
      <c r="P140" s="82" t="s">
        <v>137</v>
      </c>
      <c r="Q140" s="74" t="s">
        <v>87</v>
      </c>
      <c r="R140" s="74" t="s">
        <v>709</v>
      </c>
      <c r="S140" s="74" t="s">
        <v>40</v>
      </c>
      <c r="T140" s="74" t="s">
        <v>2</v>
      </c>
      <c r="U140" s="75"/>
      <c r="V140" s="75">
        <v>0.05</v>
      </c>
      <c r="W140" s="75">
        <v>0.08</v>
      </c>
      <c r="X140" s="75">
        <v>0.15</v>
      </c>
      <c r="Y140" s="75">
        <v>0.2</v>
      </c>
      <c r="Z140" s="75">
        <v>0.25</v>
      </c>
      <c r="AA140" s="75">
        <v>0.37</v>
      </c>
      <c r="AB140" s="75">
        <v>0.42</v>
      </c>
      <c r="AC140" s="75">
        <v>0.57999999999999996</v>
      </c>
      <c r="AD140" s="75">
        <v>0.67</v>
      </c>
      <c r="AE140" s="75">
        <v>0.83</v>
      </c>
      <c r="AF140" s="75">
        <v>1</v>
      </c>
      <c r="AG140" s="74" t="s">
        <v>533</v>
      </c>
      <c r="AH140" s="74" t="s">
        <v>530</v>
      </c>
      <c r="AI140" s="78" t="s">
        <v>539</v>
      </c>
      <c r="AJ140" s="79" t="s">
        <v>539</v>
      </c>
      <c r="AK140" s="80">
        <v>46023</v>
      </c>
      <c r="AL140" s="80">
        <v>46387</v>
      </c>
      <c r="AM140" s="79"/>
      <c r="AN140" s="79"/>
      <c r="AO140" s="79"/>
      <c r="AP140" s="81" t="s">
        <v>540</v>
      </c>
      <c r="AQ140" s="80" cm="1">
        <f t="array" ref="AQ140">IFERROR(DATE(2026, _xlfn.AGGREGATE(15, 6, (COLUMN(CI140:CT140)-COLUMN(CI140)+1)/(CI140:CT140&lt;&gt;0), 1), 1),"N/A")</f>
        <v>46235</v>
      </c>
      <c r="AR140" s="80" cm="1">
        <f t="array" ref="AR140">IFERROR(EOMONTH(DATE(2026, _xlfn.AGGREGATE(14, 6, (COLUMN(CI140:CT140)-COLUMN(CI140)+1)/(CI140:CT140&lt;&gt;0), 1), 1), 0),"N/A")</f>
        <v>46265</v>
      </c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4" t="s">
        <v>632</v>
      </c>
      <c r="BG140" s="74" t="s">
        <v>1009</v>
      </c>
      <c r="BH140" s="74" t="s">
        <v>834</v>
      </c>
      <c r="BI140" s="74" t="s">
        <v>137</v>
      </c>
      <c r="BJ140" s="78">
        <v>530702</v>
      </c>
      <c r="BK140" s="82" t="s">
        <v>74</v>
      </c>
      <c r="BL140" s="83">
        <v>7000</v>
      </c>
      <c r="BM140" s="73">
        <v>0</v>
      </c>
      <c r="BN140" s="73">
        <v>0</v>
      </c>
      <c r="BO140" s="73">
        <v>0</v>
      </c>
      <c r="BP140" s="73">
        <v>0</v>
      </c>
      <c r="BQ140" s="73">
        <v>0</v>
      </c>
      <c r="BR140" s="73">
        <v>0</v>
      </c>
      <c r="BS140" s="73">
        <v>0</v>
      </c>
      <c r="BT140" s="84">
        <v>7000</v>
      </c>
      <c r="BU140" s="73">
        <v>0</v>
      </c>
      <c r="BV140" s="73">
        <v>0</v>
      </c>
      <c r="BW140" s="73">
        <v>0</v>
      </c>
      <c r="BX140" s="73">
        <v>0</v>
      </c>
      <c r="BY140" s="73"/>
      <c r="BZ140" s="73"/>
      <c r="CA140" s="73"/>
      <c r="CB140" s="73"/>
      <c r="CC140" s="73"/>
      <c r="CD140" s="73"/>
      <c r="CE140" s="73"/>
      <c r="CF140" s="73"/>
      <c r="CG140" s="73"/>
      <c r="CH140" s="73">
        <f t="shared" si="4"/>
        <v>7000</v>
      </c>
      <c r="CI140" s="73"/>
      <c r="CJ140" s="73"/>
      <c r="CK140" s="72">
        <v>0</v>
      </c>
      <c r="CL140" s="73">
        <v>0</v>
      </c>
      <c r="CM140" s="73">
        <v>0</v>
      </c>
      <c r="CN140" s="73">
        <v>0</v>
      </c>
      <c r="CO140" s="73">
        <v>0</v>
      </c>
      <c r="CP140" s="84">
        <v>7000</v>
      </c>
      <c r="CQ140" s="73">
        <v>0</v>
      </c>
      <c r="CR140" s="73">
        <v>0</v>
      </c>
      <c r="CS140" s="73">
        <v>0</v>
      </c>
      <c r="CT140" s="73">
        <v>0</v>
      </c>
      <c r="CU140" s="73"/>
      <c r="CV140" s="84">
        <f t="shared" si="5"/>
        <v>0</v>
      </c>
      <c r="CW140" s="84"/>
      <c r="CX140" s="74"/>
      <c r="CY140" s="74"/>
      <c r="CZ140" s="74"/>
      <c r="DA140" s="74"/>
      <c r="DB140" s="74"/>
      <c r="DC140" s="74"/>
      <c r="DD140" s="74"/>
    </row>
    <row r="141" spans="1:108" s="68" customFormat="1" ht="15" customHeight="1" x14ac:dyDescent="0.25">
      <c r="A141" s="74" t="s">
        <v>691</v>
      </c>
      <c r="B141" s="74" t="s">
        <v>154</v>
      </c>
      <c r="C141" s="74" t="s">
        <v>172</v>
      </c>
      <c r="D141" s="74" t="s">
        <v>196</v>
      </c>
      <c r="E141" s="74" t="s">
        <v>309</v>
      </c>
      <c r="F141" s="74" t="s">
        <v>550</v>
      </c>
      <c r="G141" s="74" t="s">
        <v>137</v>
      </c>
      <c r="H141" s="74" t="s">
        <v>137</v>
      </c>
      <c r="I141" s="74" t="s">
        <v>66</v>
      </c>
      <c r="J141" s="74" t="s">
        <v>29</v>
      </c>
      <c r="K141" s="82" t="s">
        <v>137</v>
      </c>
      <c r="L141" s="82" t="s">
        <v>137</v>
      </c>
      <c r="M141" s="82" t="s">
        <v>137</v>
      </c>
      <c r="N141" s="82" t="s">
        <v>137</v>
      </c>
      <c r="O141" s="82" t="s">
        <v>137</v>
      </c>
      <c r="P141" s="82" t="s">
        <v>137</v>
      </c>
      <c r="Q141" s="74" t="s">
        <v>87</v>
      </c>
      <c r="R141" s="74" t="s">
        <v>709</v>
      </c>
      <c r="S141" s="74" t="s">
        <v>40</v>
      </c>
      <c r="T141" s="74" t="s">
        <v>2</v>
      </c>
      <c r="U141" s="75"/>
      <c r="V141" s="75">
        <v>0.05</v>
      </c>
      <c r="W141" s="75">
        <v>0.08</v>
      </c>
      <c r="X141" s="75">
        <v>0.15</v>
      </c>
      <c r="Y141" s="75">
        <v>0.2</v>
      </c>
      <c r="Z141" s="75">
        <v>0.25</v>
      </c>
      <c r="AA141" s="75">
        <v>0.37</v>
      </c>
      <c r="AB141" s="75">
        <v>0.42</v>
      </c>
      <c r="AC141" s="75">
        <v>0.57999999999999996</v>
      </c>
      <c r="AD141" s="75">
        <v>0.67</v>
      </c>
      <c r="AE141" s="75">
        <v>0.83</v>
      </c>
      <c r="AF141" s="75">
        <v>1</v>
      </c>
      <c r="AG141" s="74" t="s">
        <v>533</v>
      </c>
      <c r="AH141" s="74" t="s">
        <v>530</v>
      </c>
      <c r="AI141" s="78" t="s">
        <v>539</v>
      </c>
      <c r="AJ141" s="79" t="s">
        <v>539</v>
      </c>
      <c r="AK141" s="80">
        <v>46023</v>
      </c>
      <c r="AL141" s="80">
        <v>46387</v>
      </c>
      <c r="AM141" s="79"/>
      <c r="AN141" s="79"/>
      <c r="AO141" s="79"/>
      <c r="AP141" s="81" t="s">
        <v>540</v>
      </c>
      <c r="AQ141" s="80" cm="1">
        <f t="array" ref="AQ141">IFERROR(DATE(2026, _xlfn.AGGREGATE(15, 6, (COLUMN(CI141:CT141)-COLUMN(CI141)+1)/(CI141:CT141&lt;&gt;0), 1), 1),"N/A")</f>
        <v>46357</v>
      </c>
      <c r="AR141" s="80" cm="1">
        <f t="array" ref="AR141">IFERROR(EOMONTH(DATE(2026, _xlfn.AGGREGATE(14, 6, (COLUMN(CI141:CT141)-COLUMN(CI141)+1)/(CI141:CT141&lt;&gt;0), 1), 1), 0),"N/A")</f>
        <v>46387</v>
      </c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4" t="s">
        <v>635</v>
      </c>
      <c r="BG141" s="74" t="s">
        <v>1009</v>
      </c>
      <c r="BH141" s="74" t="s">
        <v>758</v>
      </c>
      <c r="BI141" s="74" t="s">
        <v>137</v>
      </c>
      <c r="BJ141" s="78">
        <v>530702</v>
      </c>
      <c r="BK141" s="82" t="s">
        <v>74</v>
      </c>
      <c r="BL141" s="83">
        <v>7200</v>
      </c>
      <c r="BM141" s="73">
        <v>0</v>
      </c>
      <c r="BN141" s="73">
        <v>0</v>
      </c>
      <c r="BO141" s="73">
        <v>0</v>
      </c>
      <c r="BP141" s="73">
        <v>0</v>
      </c>
      <c r="BQ141" s="73">
        <v>0</v>
      </c>
      <c r="BR141" s="73">
        <v>0</v>
      </c>
      <c r="BS141" s="73">
        <v>0</v>
      </c>
      <c r="BT141" s="73">
        <v>0</v>
      </c>
      <c r="BU141" s="73">
        <v>0</v>
      </c>
      <c r="BV141" s="73">
        <v>0</v>
      </c>
      <c r="BW141" s="73">
        <v>0</v>
      </c>
      <c r="BX141" s="84">
        <v>7200</v>
      </c>
      <c r="BY141" s="84"/>
      <c r="BZ141" s="84"/>
      <c r="CA141" s="84"/>
      <c r="CB141" s="84"/>
      <c r="CC141" s="84"/>
      <c r="CD141" s="84"/>
      <c r="CE141" s="84"/>
      <c r="CF141" s="84"/>
      <c r="CG141" s="84"/>
      <c r="CH141" s="73">
        <f t="shared" si="4"/>
        <v>7200</v>
      </c>
      <c r="CI141" s="73"/>
      <c r="CJ141" s="73"/>
      <c r="CK141" s="72">
        <v>0</v>
      </c>
      <c r="CL141" s="73">
        <v>0</v>
      </c>
      <c r="CM141" s="73">
        <v>0</v>
      </c>
      <c r="CN141" s="73">
        <v>0</v>
      </c>
      <c r="CO141" s="73">
        <v>0</v>
      </c>
      <c r="CP141" s="73">
        <v>0</v>
      </c>
      <c r="CQ141" s="73">
        <v>0</v>
      </c>
      <c r="CR141" s="73">
        <v>0</v>
      </c>
      <c r="CS141" s="73">
        <v>0</v>
      </c>
      <c r="CT141" s="84">
        <v>7200</v>
      </c>
      <c r="CU141" s="84"/>
      <c r="CV141" s="84">
        <f t="shared" si="5"/>
        <v>0</v>
      </c>
      <c r="CW141" s="84"/>
      <c r="CX141" s="74"/>
      <c r="CY141" s="74"/>
      <c r="CZ141" s="74"/>
      <c r="DA141" s="74"/>
      <c r="DB141" s="74"/>
      <c r="DC141" s="74"/>
      <c r="DD141" s="74"/>
    </row>
    <row r="142" spans="1:108" s="68" customFormat="1" ht="15" customHeight="1" x14ac:dyDescent="0.25">
      <c r="A142" s="74" t="s">
        <v>691</v>
      </c>
      <c r="B142" s="74" t="s">
        <v>154</v>
      </c>
      <c r="C142" s="74" t="s">
        <v>172</v>
      </c>
      <c r="D142" s="74" t="s">
        <v>196</v>
      </c>
      <c r="E142" s="74" t="s">
        <v>309</v>
      </c>
      <c r="F142" s="74" t="s">
        <v>550</v>
      </c>
      <c r="G142" s="74" t="s">
        <v>137</v>
      </c>
      <c r="H142" s="74" t="s">
        <v>137</v>
      </c>
      <c r="I142" s="74" t="s">
        <v>66</v>
      </c>
      <c r="J142" s="74" t="s">
        <v>29</v>
      </c>
      <c r="K142" s="82" t="s">
        <v>137</v>
      </c>
      <c r="L142" s="82" t="s">
        <v>137</v>
      </c>
      <c r="M142" s="82" t="s">
        <v>137</v>
      </c>
      <c r="N142" s="82" t="s">
        <v>137</v>
      </c>
      <c r="O142" s="82" t="s">
        <v>137</v>
      </c>
      <c r="P142" s="82" t="s">
        <v>137</v>
      </c>
      <c r="Q142" s="74" t="s">
        <v>87</v>
      </c>
      <c r="R142" s="74" t="s">
        <v>709</v>
      </c>
      <c r="S142" s="74" t="s">
        <v>40</v>
      </c>
      <c r="T142" s="74" t="s">
        <v>2</v>
      </c>
      <c r="U142" s="75"/>
      <c r="V142" s="75">
        <v>0.05</v>
      </c>
      <c r="W142" s="75">
        <v>0.08</v>
      </c>
      <c r="X142" s="75">
        <v>0.15</v>
      </c>
      <c r="Y142" s="75">
        <v>0.2</v>
      </c>
      <c r="Z142" s="75">
        <v>0.25</v>
      </c>
      <c r="AA142" s="75">
        <v>0.37</v>
      </c>
      <c r="AB142" s="75">
        <v>0.42</v>
      </c>
      <c r="AC142" s="75">
        <v>0.57999999999999996</v>
      </c>
      <c r="AD142" s="75">
        <v>0.67</v>
      </c>
      <c r="AE142" s="75">
        <v>0.83</v>
      </c>
      <c r="AF142" s="75">
        <v>1</v>
      </c>
      <c r="AG142" s="74" t="s">
        <v>533</v>
      </c>
      <c r="AH142" s="74" t="s">
        <v>530</v>
      </c>
      <c r="AI142" s="78" t="s">
        <v>539</v>
      </c>
      <c r="AJ142" s="79" t="s">
        <v>539</v>
      </c>
      <c r="AK142" s="80">
        <v>46023</v>
      </c>
      <c r="AL142" s="80">
        <v>46387</v>
      </c>
      <c r="AM142" s="79"/>
      <c r="AN142" s="79"/>
      <c r="AO142" s="79"/>
      <c r="AP142" s="81" t="s">
        <v>540</v>
      </c>
      <c r="AQ142" s="80" cm="1">
        <f t="array" ref="AQ142">IFERROR(DATE(2026, _xlfn.AGGREGATE(15, 6, (COLUMN(CI142:CT142)-COLUMN(CI142)+1)/(CI142:CT142&lt;&gt;0), 1), 1),"N/A")</f>
        <v>46174</v>
      </c>
      <c r="AR142" s="80" cm="1">
        <f t="array" ref="AR142">IFERROR(EOMONTH(DATE(2026, _xlfn.AGGREGATE(14, 6, (COLUMN(CI142:CT142)-COLUMN(CI142)+1)/(CI142:CT142&lt;&gt;0), 1), 1), 0),"N/A")</f>
        <v>46203</v>
      </c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4" t="s">
        <v>637</v>
      </c>
      <c r="BG142" s="74" t="s">
        <v>1009</v>
      </c>
      <c r="BH142" s="74" t="s">
        <v>847</v>
      </c>
      <c r="BI142" s="74" t="s">
        <v>137</v>
      </c>
      <c r="BJ142" s="78">
        <v>530702</v>
      </c>
      <c r="BK142" s="82" t="s">
        <v>74</v>
      </c>
      <c r="BL142" s="83">
        <v>8000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84">
        <v>8000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73">
        <v>0</v>
      </c>
      <c r="BY142" s="73"/>
      <c r="BZ142" s="73"/>
      <c r="CA142" s="73"/>
      <c r="CB142" s="73"/>
      <c r="CC142" s="73"/>
      <c r="CD142" s="73"/>
      <c r="CE142" s="73"/>
      <c r="CF142" s="73"/>
      <c r="CG142" s="73"/>
      <c r="CH142" s="73">
        <f t="shared" si="4"/>
        <v>8000</v>
      </c>
      <c r="CI142" s="73"/>
      <c r="CJ142" s="73"/>
      <c r="CK142" s="72">
        <v>0</v>
      </c>
      <c r="CL142" s="73">
        <v>0</v>
      </c>
      <c r="CM142" s="73">
        <v>0</v>
      </c>
      <c r="CN142" s="84">
        <v>8000</v>
      </c>
      <c r="CO142" s="73">
        <v>0</v>
      </c>
      <c r="CP142" s="73">
        <v>0</v>
      </c>
      <c r="CQ142" s="73">
        <v>0</v>
      </c>
      <c r="CR142" s="73">
        <v>0</v>
      </c>
      <c r="CS142" s="73">
        <v>0</v>
      </c>
      <c r="CT142" s="73">
        <v>0</v>
      </c>
      <c r="CU142" s="73"/>
      <c r="CV142" s="84">
        <f t="shared" si="5"/>
        <v>0</v>
      </c>
      <c r="CW142" s="84"/>
      <c r="CX142" s="74"/>
      <c r="CY142" s="74"/>
      <c r="CZ142" s="74"/>
      <c r="DA142" s="74"/>
      <c r="DB142" s="74"/>
      <c r="DC142" s="74"/>
      <c r="DD142" s="74"/>
    </row>
    <row r="143" spans="1:108" s="68" customFormat="1" ht="15" customHeight="1" x14ac:dyDescent="0.25">
      <c r="A143" s="74" t="s">
        <v>691</v>
      </c>
      <c r="B143" s="74" t="s">
        <v>154</v>
      </c>
      <c r="C143" s="74" t="s">
        <v>172</v>
      </c>
      <c r="D143" s="74" t="s">
        <v>196</v>
      </c>
      <c r="E143" s="74" t="s">
        <v>309</v>
      </c>
      <c r="F143" s="74" t="s">
        <v>550</v>
      </c>
      <c r="G143" s="74" t="s">
        <v>137</v>
      </c>
      <c r="H143" s="74" t="s">
        <v>137</v>
      </c>
      <c r="I143" s="74" t="s">
        <v>66</v>
      </c>
      <c r="J143" s="74" t="s">
        <v>29</v>
      </c>
      <c r="K143" s="82" t="s">
        <v>137</v>
      </c>
      <c r="L143" s="82" t="s">
        <v>137</v>
      </c>
      <c r="M143" s="82" t="s">
        <v>137</v>
      </c>
      <c r="N143" s="82" t="s">
        <v>137</v>
      </c>
      <c r="O143" s="82" t="s">
        <v>137</v>
      </c>
      <c r="P143" s="82" t="s">
        <v>137</v>
      </c>
      <c r="Q143" s="74" t="s">
        <v>87</v>
      </c>
      <c r="R143" s="74" t="s">
        <v>709</v>
      </c>
      <c r="S143" s="74" t="s">
        <v>40</v>
      </c>
      <c r="T143" s="74" t="s">
        <v>2</v>
      </c>
      <c r="U143" s="75"/>
      <c r="V143" s="75">
        <v>0.05</v>
      </c>
      <c r="W143" s="75">
        <v>0.08</v>
      </c>
      <c r="X143" s="75">
        <v>0.15</v>
      </c>
      <c r="Y143" s="75">
        <v>0.2</v>
      </c>
      <c r="Z143" s="75">
        <v>0.25</v>
      </c>
      <c r="AA143" s="75">
        <v>0.37</v>
      </c>
      <c r="AB143" s="75">
        <v>0.42</v>
      </c>
      <c r="AC143" s="75">
        <v>0.57999999999999996</v>
      </c>
      <c r="AD143" s="75">
        <v>0.67</v>
      </c>
      <c r="AE143" s="75">
        <v>0.83</v>
      </c>
      <c r="AF143" s="75">
        <v>1</v>
      </c>
      <c r="AG143" s="74" t="s">
        <v>533</v>
      </c>
      <c r="AH143" s="74" t="s">
        <v>530</v>
      </c>
      <c r="AI143" s="78" t="s">
        <v>539</v>
      </c>
      <c r="AJ143" s="79" t="s">
        <v>539</v>
      </c>
      <c r="AK143" s="80">
        <v>46023</v>
      </c>
      <c r="AL143" s="80">
        <v>46387</v>
      </c>
      <c r="AM143" s="79"/>
      <c r="AN143" s="79"/>
      <c r="AO143" s="79"/>
      <c r="AP143" s="81" t="s">
        <v>540</v>
      </c>
      <c r="AQ143" s="80" cm="1">
        <f t="array" ref="AQ143">IFERROR(DATE(2026, _xlfn.AGGREGATE(15, 6, (COLUMN(CI143:CT143)-COLUMN(CI143)+1)/(CI143:CT143&lt;&gt;0), 1), 1),"N/A")</f>
        <v>46266</v>
      </c>
      <c r="AR143" s="80" cm="1">
        <f t="array" ref="AR143">IFERROR(EOMONTH(DATE(2026, _xlfn.AGGREGATE(14, 6, (COLUMN(CI143:CT143)-COLUMN(CI143)+1)/(CI143:CT143&lt;&gt;0), 1), 1), 0),"N/A")</f>
        <v>46295</v>
      </c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4" t="s">
        <v>633</v>
      </c>
      <c r="BG143" s="74" t="s">
        <v>1009</v>
      </c>
      <c r="BH143" s="74" t="s">
        <v>757</v>
      </c>
      <c r="BI143" s="74" t="s">
        <v>137</v>
      </c>
      <c r="BJ143" s="78">
        <v>530702</v>
      </c>
      <c r="BK143" s="82" t="s">
        <v>74</v>
      </c>
      <c r="BL143" s="83">
        <v>7000</v>
      </c>
      <c r="BM143" s="73">
        <v>0</v>
      </c>
      <c r="BN143" s="73">
        <v>0</v>
      </c>
      <c r="BO143" s="73">
        <v>0</v>
      </c>
      <c r="BP143" s="73">
        <v>0</v>
      </c>
      <c r="BQ143" s="73">
        <v>0</v>
      </c>
      <c r="BR143" s="73">
        <v>0</v>
      </c>
      <c r="BS143" s="73">
        <v>0</v>
      </c>
      <c r="BT143" s="73">
        <v>0</v>
      </c>
      <c r="BU143" s="84">
        <v>7000</v>
      </c>
      <c r="BV143" s="73">
        <v>0</v>
      </c>
      <c r="BW143" s="73">
        <v>0</v>
      </c>
      <c r="BX143" s="73">
        <v>0</v>
      </c>
      <c r="BY143" s="73"/>
      <c r="BZ143" s="73"/>
      <c r="CA143" s="73"/>
      <c r="CB143" s="73"/>
      <c r="CC143" s="73"/>
      <c r="CD143" s="73"/>
      <c r="CE143" s="73"/>
      <c r="CF143" s="73"/>
      <c r="CG143" s="73"/>
      <c r="CH143" s="73">
        <f t="shared" si="4"/>
        <v>7000</v>
      </c>
      <c r="CI143" s="73"/>
      <c r="CJ143" s="73"/>
      <c r="CK143" s="72">
        <v>0</v>
      </c>
      <c r="CL143" s="73">
        <v>0</v>
      </c>
      <c r="CM143" s="73">
        <v>0</v>
      </c>
      <c r="CN143" s="73">
        <v>0</v>
      </c>
      <c r="CO143" s="73">
        <v>0</v>
      </c>
      <c r="CP143" s="73">
        <v>0</v>
      </c>
      <c r="CQ143" s="84">
        <v>7000</v>
      </c>
      <c r="CR143" s="73">
        <v>0</v>
      </c>
      <c r="CS143" s="73">
        <v>0</v>
      </c>
      <c r="CT143" s="73">
        <v>0</v>
      </c>
      <c r="CU143" s="73"/>
      <c r="CV143" s="84">
        <f t="shared" si="5"/>
        <v>0</v>
      </c>
      <c r="CW143" s="84"/>
      <c r="CX143" s="74"/>
      <c r="CY143" s="74"/>
      <c r="CZ143" s="74"/>
      <c r="DA143" s="74"/>
      <c r="DB143" s="74"/>
      <c r="DC143" s="74"/>
      <c r="DD143" s="74"/>
    </row>
    <row r="144" spans="1:108" s="68" customFormat="1" ht="15" customHeight="1" x14ac:dyDescent="0.25">
      <c r="A144" s="74" t="s">
        <v>691</v>
      </c>
      <c r="B144" s="74" t="s">
        <v>154</v>
      </c>
      <c r="C144" s="74" t="s">
        <v>172</v>
      </c>
      <c r="D144" s="74" t="s">
        <v>196</v>
      </c>
      <c r="E144" s="74" t="s">
        <v>309</v>
      </c>
      <c r="F144" s="74" t="s">
        <v>550</v>
      </c>
      <c r="G144" s="74" t="s">
        <v>137</v>
      </c>
      <c r="H144" s="74" t="s">
        <v>137</v>
      </c>
      <c r="I144" s="74" t="s">
        <v>66</v>
      </c>
      <c r="J144" s="74" t="s">
        <v>29</v>
      </c>
      <c r="K144" s="82" t="s">
        <v>137</v>
      </c>
      <c r="L144" s="82" t="s">
        <v>137</v>
      </c>
      <c r="M144" s="82" t="s">
        <v>137</v>
      </c>
      <c r="N144" s="82" t="s">
        <v>137</v>
      </c>
      <c r="O144" s="82" t="s">
        <v>137</v>
      </c>
      <c r="P144" s="82" t="s">
        <v>137</v>
      </c>
      <c r="Q144" s="74" t="s">
        <v>87</v>
      </c>
      <c r="R144" s="74" t="s">
        <v>709</v>
      </c>
      <c r="S144" s="74" t="s">
        <v>40</v>
      </c>
      <c r="T144" s="74" t="s">
        <v>2</v>
      </c>
      <c r="U144" s="75"/>
      <c r="V144" s="75">
        <v>0.05</v>
      </c>
      <c r="W144" s="75">
        <v>0.08</v>
      </c>
      <c r="X144" s="75">
        <v>0.15</v>
      </c>
      <c r="Y144" s="75">
        <v>0.2</v>
      </c>
      <c r="Z144" s="75">
        <v>0.25</v>
      </c>
      <c r="AA144" s="75">
        <v>0.37</v>
      </c>
      <c r="AB144" s="75">
        <v>0.42</v>
      </c>
      <c r="AC144" s="75">
        <v>0.57999999999999996</v>
      </c>
      <c r="AD144" s="75">
        <v>0.67</v>
      </c>
      <c r="AE144" s="75">
        <v>0.83</v>
      </c>
      <c r="AF144" s="75">
        <v>1</v>
      </c>
      <c r="AG144" s="74" t="s">
        <v>533</v>
      </c>
      <c r="AH144" s="74" t="s">
        <v>530</v>
      </c>
      <c r="AI144" s="78" t="s">
        <v>539</v>
      </c>
      <c r="AJ144" s="79" t="s">
        <v>539</v>
      </c>
      <c r="AK144" s="80">
        <v>46023</v>
      </c>
      <c r="AL144" s="80">
        <v>46387</v>
      </c>
      <c r="AM144" s="79"/>
      <c r="AN144" s="79"/>
      <c r="AO144" s="79"/>
      <c r="AP144" s="81" t="s">
        <v>540</v>
      </c>
      <c r="AQ144" s="80" cm="1">
        <f t="array" ref="AQ144">IFERROR(DATE(2026, _xlfn.AGGREGATE(15, 6, (COLUMN(CI144:CT144)-COLUMN(CI144)+1)/(CI144:CT144&lt;&gt;0), 1), 1),"N/A")</f>
        <v>46327</v>
      </c>
      <c r="AR144" s="80" cm="1">
        <f t="array" ref="AR144">IFERROR(EOMONTH(DATE(2026, _xlfn.AGGREGATE(14, 6, (COLUMN(CI144:CT144)-COLUMN(CI144)+1)/(CI144:CT144&lt;&gt;0), 1), 1), 0),"N/A")</f>
        <v>46356</v>
      </c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4" t="s">
        <v>634</v>
      </c>
      <c r="BG144" s="74" t="s">
        <v>1009</v>
      </c>
      <c r="BH144" s="74" t="s">
        <v>759</v>
      </c>
      <c r="BI144" s="74" t="s">
        <v>137</v>
      </c>
      <c r="BJ144" s="78">
        <v>530702</v>
      </c>
      <c r="BK144" s="82" t="s">
        <v>74</v>
      </c>
      <c r="BL144" s="83">
        <v>7000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73">
        <v>0</v>
      </c>
      <c r="BU144" s="73">
        <v>0</v>
      </c>
      <c r="BV144" s="73">
        <v>0</v>
      </c>
      <c r="BW144" s="84">
        <v>7000</v>
      </c>
      <c r="BX144" s="73">
        <v>0</v>
      </c>
      <c r="BY144" s="73"/>
      <c r="BZ144" s="73"/>
      <c r="CA144" s="73"/>
      <c r="CB144" s="73"/>
      <c r="CC144" s="73"/>
      <c r="CD144" s="73">
        <v>-3209.95</v>
      </c>
      <c r="CE144" s="73"/>
      <c r="CF144" s="73"/>
      <c r="CG144" s="73"/>
      <c r="CH144" s="73">
        <f t="shared" si="4"/>
        <v>3790.05</v>
      </c>
      <c r="CI144" s="73"/>
      <c r="CJ144" s="73"/>
      <c r="CK144" s="72">
        <v>0</v>
      </c>
      <c r="CL144" s="73">
        <v>0</v>
      </c>
      <c r="CM144" s="73">
        <v>0</v>
      </c>
      <c r="CN144" s="73">
        <v>0</v>
      </c>
      <c r="CO144" s="73">
        <v>0</v>
      </c>
      <c r="CP144" s="73">
        <v>0</v>
      </c>
      <c r="CQ144" s="73">
        <v>0</v>
      </c>
      <c r="CR144" s="73">
        <v>0</v>
      </c>
      <c r="CS144" s="84">
        <v>3790.05</v>
      </c>
      <c r="CT144" s="73">
        <v>0</v>
      </c>
      <c r="CU144" s="73"/>
      <c r="CV144" s="84">
        <f t="shared" si="5"/>
        <v>0</v>
      </c>
      <c r="CW144" s="84"/>
      <c r="CX144" s="74"/>
      <c r="CY144" s="74"/>
      <c r="CZ144" s="74"/>
      <c r="DA144" s="74"/>
      <c r="DB144" s="74"/>
      <c r="DC144" s="74"/>
      <c r="DD144" s="74"/>
    </row>
    <row r="145" spans="1:108" s="68" customFormat="1" ht="15" hidden="1" customHeight="1" x14ac:dyDescent="0.25">
      <c r="A145" s="74" t="s">
        <v>690</v>
      </c>
      <c r="B145" s="74" t="s">
        <v>154</v>
      </c>
      <c r="C145" s="74" t="s">
        <v>172</v>
      </c>
      <c r="D145" s="74" t="s">
        <v>196</v>
      </c>
      <c r="E145" s="74" t="s">
        <v>309</v>
      </c>
      <c r="F145" s="74" t="s">
        <v>550</v>
      </c>
      <c r="G145" s="74" t="s">
        <v>137</v>
      </c>
      <c r="H145" s="74" t="s">
        <v>137</v>
      </c>
      <c r="I145" s="74" t="s">
        <v>66</v>
      </c>
      <c r="J145" s="74" t="s">
        <v>29</v>
      </c>
      <c r="K145" s="82" t="s">
        <v>137</v>
      </c>
      <c r="L145" s="82" t="s">
        <v>137</v>
      </c>
      <c r="M145" s="82" t="s">
        <v>137</v>
      </c>
      <c r="N145" s="82" t="s">
        <v>137</v>
      </c>
      <c r="O145" s="82" t="s">
        <v>137</v>
      </c>
      <c r="P145" s="82" t="s">
        <v>137</v>
      </c>
      <c r="Q145" s="74" t="s">
        <v>87</v>
      </c>
      <c r="R145" s="74" t="s">
        <v>709</v>
      </c>
      <c r="S145" s="74" t="s">
        <v>40</v>
      </c>
      <c r="T145" s="74" t="s">
        <v>2</v>
      </c>
      <c r="U145" s="75"/>
      <c r="V145" s="75">
        <v>0.05</v>
      </c>
      <c r="W145" s="75">
        <v>0.08</v>
      </c>
      <c r="X145" s="75">
        <v>0.15</v>
      </c>
      <c r="Y145" s="75">
        <v>0.2</v>
      </c>
      <c r="Z145" s="75">
        <v>0.25</v>
      </c>
      <c r="AA145" s="75">
        <v>0.37</v>
      </c>
      <c r="AB145" s="75">
        <v>0.42</v>
      </c>
      <c r="AC145" s="75">
        <v>0.57999999999999996</v>
      </c>
      <c r="AD145" s="75">
        <v>0.67</v>
      </c>
      <c r="AE145" s="75">
        <v>0.83</v>
      </c>
      <c r="AF145" s="75">
        <v>1</v>
      </c>
      <c r="AG145" s="74" t="s">
        <v>533</v>
      </c>
      <c r="AH145" s="74" t="s">
        <v>530</v>
      </c>
      <c r="AI145" s="78" t="s">
        <v>539</v>
      </c>
      <c r="AJ145" s="79" t="s">
        <v>539</v>
      </c>
      <c r="AK145" s="80">
        <v>46023</v>
      </c>
      <c r="AL145" s="80">
        <v>46387</v>
      </c>
      <c r="AM145" s="79"/>
      <c r="AN145" s="79"/>
      <c r="AO145" s="79"/>
      <c r="AP145" s="81" t="s">
        <v>540</v>
      </c>
      <c r="AQ145" s="80" cm="1">
        <f t="array" ref="AQ145">IFERROR(DATE(2026, _xlfn.AGGREGATE(15, 6, (COLUMN(CI145:CT145)-COLUMN(CI145)+1)/(CI145:CT145&lt;&gt;0), 1), 1),"N/A")</f>
        <v>46357</v>
      </c>
      <c r="AR145" s="80" cm="1">
        <f t="array" ref="AR145">IFERROR(EOMONTH(DATE(2026, _xlfn.AGGREGATE(14, 6, (COLUMN(CI145:CT145)-COLUMN(CI145)+1)/(CI145:CT145&lt;&gt;0), 1), 1), 0),"N/A")</f>
        <v>46387</v>
      </c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4" t="s">
        <v>598</v>
      </c>
      <c r="BG145" s="74"/>
      <c r="BH145" s="74" t="s">
        <v>843</v>
      </c>
      <c r="BI145" s="74" t="s">
        <v>137</v>
      </c>
      <c r="BJ145" s="78">
        <v>570102</v>
      </c>
      <c r="BK145" s="82" t="s">
        <v>74</v>
      </c>
      <c r="BL145" s="83">
        <v>2000</v>
      </c>
      <c r="BM145" s="73">
        <v>0</v>
      </c>
      <c r="BN145" s="73">
        <v>0</v>
      </c>
      <c r="BO145" s="73">
        <v>0</v>
      </c>
      <c r="BP145" s="73">
        <v>0</v>
      </c>
      <c r="BQ145" s="73">
        <v>0</v>
      </c>
      <c r="BR145" s="73">
        <v>0</v>
      </c>
      <c r="BS145" s="73">
        <v>0</v>
      </c>
      <c r="BT145" s="73">
        <v>0</v>
      </c>
      <c r="BU145" s="73">
        <v>0</v>
      </c>
      <c r="BV145" s="73">
        <v>0</v>
      </c>
      <c r="BW145" s="73">
        <v>0</v>
      </c>
      <c r="BX145" s="84">
        <v>2000</v>
      </c>
      <c r="BY145" s="84"/>
      <c r="BZ145" s="84"/>
      <c r="CA145" s="84"/>
      <c r="CB145" s="84"/>
      <c r="CC145" s="84"/>
      <c r="CD145" s="84"/>
      <c r="CE145" s="84"/>
      <c r="CF145" s="84"/>
      <c r="CG145" s="84"/>
      <c r="CH145" s="73">
        <f t="shared" si="4"/>
        <v>2000</v>
      </c>
      <c r="CI145" s="73"/>
      <c r="CJ145" s="73"/>
      <c r="CK145" s="73">
        <v>0</v>
      </c>
      <c r="CL145" s="73">
        <v>0</v>
      </c>
      <c r="CM145" s="73">
        <v>0</v>
      </c>
      <c r="CN145" s="73">
        <v>0</v>
      </c>
      <c r="CO145" s="73">
        <v>0</v>
      </c>
      <c r="CP145" s="73">
        <v>0</v>
      </c>
      <c r="CQ145" s="73">
        <v>0</v>
      </c>
      <c r="CR145" s="73">
        <v>0</v>
      </c>
      <c r="CS145" s="73">
        <v>0</v>
      </c>
      <c r="CT145" s="84">
        <v>2000</v>
      </c>
      <c r="CU145" s="84"/>
      <c r="CV145" s="84">
        <f t="shared" si="5"/>
        <v>0</v>
      </c>
      <c r="CW145" s="84"/>
      <c r="CX145" s="74"/>
      <c r="CY145" s="74"/>
      <c r="CZ145" s="74"/>
      <c r="DA145" s="74"/>
      <c r="DB145" s="74"/>
      <c r="DC145" s="74"/>
      <c r="DD145" s="74"/>
    </row>
    <row r="146" spans="1:108" s="68" customFormat="1" ht="15" hidden="1" customHeight="1" x14ac:dyDescent="0.25">
      <c r="A146" s="74" t="s">
        <v>694</v>
      </c>
      <c r="B146" s="74" t="s">
        <v>154</v>
      </c>
      <c r="C146" s="74" t="s">
        <v>172</v>
      </c>
      <c r="D146" s="74" t="s">
        <v>196</v>
      </c>
      <c r="E146" s="74" t="s">
        <v>309</v>
      </c>
      <c r="F146" s="74" t="s">
        <v>550</v>
      </c>
      <c r="G146" s="74" t="s">
        <v>137</v>
      </c>
      <c r="H146" s="74" t="s">
        <v>137</v>
      </c>
      <c r="I146" s="74" t="s">
        <v>66</v>
      </c>
      <c r="J146" s="74" t="s">
        <v>29</v>
      </c>
      <c r="K146" s="82" t="s">
        <v>137</v>
      </c>
      <c r="L146" s="82" t="s">
        <v>137</v>
      </c>
      <c r="M146" s="82" t="s">
        <v>137</v>
      </c>
      <c r="N146" s="82" t="s">
        <v>137</v>
      </c>
      <c r="O146" s="82" t="s">
        <v>137</v>
      </c>
      <c r="P146" s="82" t="s">
        <v>137</v>
      </c>
      <c r="Q146" s="74" t="s">
        <v>87</v>
      </c>
      <c r="R146" s="74" t="s">
        <v>709</v>
      </c>
      <c r="S146" s="74" t="s">
        <v>40</v>
      </c>
      <c r="T146" s="74" t="s">
        <v>2</v>
      </c>
      <c r="U146" s="75"/>
      <c r="V146" s="75">
        <v>0.05</v>
      </c>
      <c r="W146" s="75">
        <v>0.08</v>
      </c>
      <c r="X146" s="75">
        <v>0.15</v>
      </c>
      <c r="Y146" s="75">
        <v>0.2</v>
      </c>
      <c r="Z146" s="75">
        <v>0.25</v>
      </c>
      <c r="AA146" s="75">
        <v>0.37</v>
      </c>
      <c r="AB146" s="75">
        <v>0.42</v>
      </c>
      <c r="AC146" s="75">
        <v>0.57999999999999996</v>
      </c>
      <c r="AD146" s="75">
        <v>0.67</v>
      </c>
      <c r="AE146" s="75">
        <v>0.83</v>
      </c>
      <c r="AF146" s="75">
        <v>1</v>
      </c>
      <c r="AG146" s="74" t="s">
        <v>772</v>
      </c>
      <c r="AH146" s="74" t="s">
        <v>531</v>
      </c>
      <c r="AI146" s="78" t="s">
        <v>539</v>
      </c>
      <c r="AJ146" s="79" t="s">
        <v>539</v>
      </c>
      <c r="AK146" s="80">
        <v>46023</v>
      </c>
      <c r="AL146" s="80">
        <v>46387</v>
      </c>
      <c r="AM146" s="79"/>
      <c r="AN146" s="79"/>
      <c r="AO146" s="79"/>
      <c r="AP146" s="81" t="s">
        <v>540</v>
      </c>
      <c r="AQ146" s="80" cm="1">
        <f t="array" ref="AQ146">IFERROR(DATE(2026, _xlfn.AGGREGATE(15, 6, (COLUMN(CI146:CT146)-COLUMN(CI146)+1)/(CI146:CT146&lt;&gt;0), 1), 1),"N/A")</f>
        <v>46023</v>
      </c>
      <c r="AR146" s="80" cm="1">
        <f t="array" ref="AR146">IFERROR(EOMONTH(DATE(2026, _xlfn.AGGREGATE(14, 6, (COLUMN(CI146:CT146)-COLUMN(CI146)+1)/(CI146:CT146&lt;&gt;0), 1), 1), 0),"N/A")</f>
        <v>46112</v>
      </c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4" t="s">
        <v>669</v>
      </c>
      <c r="BG146" s="74"/>
      <c r="BH146" s="74" t="s">
        <v>741</v>
      </c>
      <c r="BI146" s="74" t="s">
        <v>137</v>
      </c>
      <c r="BJ146" s="78">
        <v>530207</v>
      </c>
      <c r="BK146" s="82" t="s">
        <v>74</v>
      </c>
      <c r="BL146" s="83">
        <v>47050</v>
      </c>
      <c r="BM146" s="84">
        <v>15000</v>
      </c>
      <c r="BN146" s="84">
        <v>15000</v>
      </c>
      <c r="BO146" s="84">
        <v>17050</v>
      </c>
      <c r="BP146" s="73">
        <v>0</v>
      </c>
      <c r="BQ146" s="73">
        <v>0</v>
      </c>
      <c r="BR146" s="73">
        <v>0</v>
      </c>
      <c r="BS146" s="73">
        <v>0</v>
      </c>
      <c r="BT146" s="73">
        <v>0</v>
      </c>
      <c r="BU146" s="73">
        <v>0</v>
      </c>
      <c r="BV146" s="73">
        <v>0</v>
      </c>
      <c r="BW146" s="73">
        <v>0</v>
      </c>
      <c r="BX146" s="73">
        <v>0</v>
      </c>
      <c r="BY146" s="73"/>
      <c r="BZ146" s="73"/>
      <c r="CA146" s="73"/>
      <c r="CB146" s="73"/>
      <c r="CC146" s="73"/>
      <c r="CD146" s="73"/>
      <c r="CE146" s="73"/>
      <c r="CF146" s="73"/>
      <c r="CG146" s="73"/>
      <c r="CH146" s="73">
        <f t="shared" si="4"/>
        <v>47050</v>
      </c>
      <c r="CI146" s="84">
        <v>15000</v>
      </c>
      <c r="CJ146" s="84">
        <v>15000</v>
      </c>
      <c r="CK146" s="84">
        <v>17050</v>
      </c>
      <c r="CL146" s="73">
        <v>0</v>
      </c>
      <c r="CM146" s="73">
        <v>0</v>
      </c>
      <c r="CN146" s="73">
        <v>0</v>
      </c>
      <c r="CO146" s="73">
        <v>0</v>
      </c>
      <c r="CP146" s="73">
        <v>0</v>
      </c>
      <c r="CQ146" s="73">
        <v>0</v>
      </c>
      <c r="CR146" s="73">
        <v>0</v>
      </c>
      <c r="CS146" s="73">
        <v>0</v>
      </c>
      <c r="CT146" s="73">
        <v>0</v>
      </c>
      <c r="CU146" s="73"/>
      <c r="CV146" s="84">
        <f t="shared" si="5"/>
        <v>0</v>
      </c>
      <c r="CW146" s="84"/>
      <c r="CX146" s="74"/>
      <c r="CY146" s="74"/>
      <c r="CZ146" s="74"/>
      <c r="DA146" s="74"/>
      <c r="DB146" s="74"/>
      <c r="DC146" s="74"/>
      <c r="DD146" s="74"/>
    </row>
    <row r="147" spans="1:108" s="68" customFormat="1" ht="15" hidden="1" customHeight="1" x14ac:dyDescent="0.25">
      <c r="A147" s="74" t="s">
        <v>694</v>
      </c>
      <c r="B147" s="74" t="s">
        <v>154</v>
      </c>
      <c r="C147" s="74" t="s">
        <v>172</v>
      </c>
      <c r="D147" s="74" t="s">
        <v>196</v>
      </c>
      <c r="E147" s="74" t="s">
        <v>309</v>
      </c>
      <c r="F147" s="74" t="s">
        <v>550</v>
      </c>
      <c r="G147" s="74" t="s">
        <v>137</v>
      </c>
      <c r="H147" s="74" t="s">
        <v>137</v>
      </c>
      <c r="I147" s="74" t="s">
        <v>66</v>
      </c>
      <c r="J147" s="74" t="s">
        <v>29</v>
      </c>
      <c r="K147" s="82" t="s">
        <v>137</v>
      </c>
      <c r="L147" s="82" t="s">
        <v>137</v>
      </c>
      <c r="M147" s="82" t="s">
        <v>137</v>
      </c>
      <c r="N147" s="82" t="s">
        <v>137</v>
      </c>
      <c r="O147" s="82" t="s">
        <v>137</v>
      </c>
      <c r="P147" s="82" t="s">
        <v>137</v>
      </c>
      <c r="Q147" s="74" t="s">
        <v>87</v>
      </c>
      <c r="R147" s="74" t="s">
        <v>709</v>
      </c>
      <c r="S147" s="74" t="s">
        <v>40</v>
      </c>
      <c r="T147" s="74" t="s">
        <v>2</v>
      </c>
      <c r="U147" s="75"/>
      <c r="V147" s="75">
        <v>0.05</v>
      </c>
      <c r="W147" s="75">
        <v>0.08</v>
      </c>
      <c r="X147" s="75">
        <v>0.15</v>
      </c>
      <c r="Y147" s="75">
        <v>0.2</v>
      </c>
      <c r="Z147" s="75">
        <v>0.25</v>
      </c>
      <c r="AA147" s="75">
        <v>0.37</v>
      </c>
      <c r="AB147" s="75">
        <v>0.42</v>
      </c>
      <c r="AC147" s="75">
        <v>0.57999999999999996</v>
      </c>
      <c r="AD147" s="75">
        <v>0.67</v>
      </c>
      <c r="AE147" s="75">
        <v>0.83</v>
      </c>
      <c r="AF147" s="75">
        <v>1</v>
      </c>
      <c r="AG147" s="74" t="s">
        <v>533</v>
      </c>
      <c r="AH147" s="74" t="s">
        <v>530</v>
      </c>
      <c r="AI147" s="78" t="s">
        <v>539</v>
      </c>
      <c r="AJ147" s="79" t="s">
        <v>539</v>
      </c>
      <c r="AK147" s="80">
        <v>46023</v>
      </c>
      <c r="AL147" s="80">
        <v>46387</v>
      </c>
      <c r="AM147" s="79"/>
      <c r="AN147" s="79"/>
      <c r="AO147" s="79"/>
      <c r="AP147" s="81" t="s">
        <v>540</v>
      </c>
      <c r="AQ147" s="80" cm="1">
        <f t="array" ref="AQ147">IFERROR(DATE(2026, _xlfn.AGGREGATE(15, 6, (COLUMN(CI147:CT147)-COLUMN(CI147)+1)/(CI147:CT147&lt;&gt;0), 1), 1),"N/A")</f>
        <v>46204</v>
      </c>
      <c r="AR147" s="80" cm="1">
        <f t="array" ref="AR147">IFERROR(EOMONTH(DATE(2026, _xlfn.AGGREGATE(14, 6, (COLUMN(CI147:CT147)-COLUMN(CI147)+1)/(CI147:CT147&lt;&gt;0), 1), 1), 0),"N/A")</f>
        <v>46387</v>
      </c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4" t="s">
        <v>682</v>
      </c>
      <c r="BG147" s="74"/>
      <c r="BH147" s="74" t="s">
        <v>877</v>
      </c>
      <c r="BI147" s="74" t="s">
        <v>137</v>
      </c>
      <c r="BJ147" s="78">
        <v>530207</v>
      </c>
      <c r="BK147" s="82" t="s">
        <v>74</v>
      </c>
      <c r="BL147" s="83">
        <v>120000</v>
      </c>
      <c r="BM147" s="73">
        <v>0</v>
      </c>
      <c r="BN147" s="73">
        <v>0</v>
      </c>
      <c r="BO147" s="73">
        <v>0</v>
      </c>
      <c r="BP147" s="72">
        <v>10000</v>
      </c>
      <c r="BQ147" s="84">
        <v>13000</v>
      </c>
      <c r="BR147" s="84">
        <v>10000</v>
      </c>
      <c r="BS147" s="84">
        <v>12000</v>
      </c>
      <c r="BT147" s="84">
        <v>15000</v>
      </c>
      <c r="BU147" s="84">
        <v>10000</v>
      </c>
      <c r="BV147" s="84">
        <v>18000</v>
      </c>
      <c r="BW147" s="84">
        <v>14000</v>
      </c>
      <c r="BX147" s="84">
        <v>18000</v>
      </c>
      <c r="BY147" s="84">
        <v>75000</v>
      </c>
      <c r="BZ147" s="84"/>
      <c r="CA147" s="84"/>
      <c r="CB147" s="84"/>
      <c r="CC147" s="84"/>
      <c r="CD147" s="84"/>
      <c r="CE147" s="84"/>
      <c r="CF147" s="84"/>
      <c r="CG147" s="84"/>
      <c r="CH147" s="73">
        <f t="shared" si="4"/>
        <v>195000</v>
      </c>
      <c r="CI147" s="73"/>
      <c r="CJ147" s="73"/>
      <c r="CK147" s="72">
        <v>0</v>
      </c>
      <c r="CL147" s="72"/>
      <c r="CM147" s="122">
        <v>0</v>
      </c>
      <c r="CN147" s="84">
        <v>0</v>
      </c>
      <c r="CO147" s="84">
        <v>32060.02</v>
      </c>
      <c r="CP147" s="84">
        <v>21900</v>
      </c>
      <c r="CQ147" s="84">
        <v>41900</v>
      </c>
      <c r="CR147" s="84">
        <v>31900</v>
      </c>
      <c r="CS147" s="84">
        <v>31900</v>
      </c>
      <c r="CT147" s="84">
        <v>35339.980000000003</v>
      </c>
      <c r="CU147" s="84"/>
      <c r="CV147" s="84">
        <f t="shared" si="5"/>
        <v>0</v>
      </c>
      <c r="CW147" s="84"/>
      <c r="CX147" s="74"/>
      <c r="CY147" s="74"/>
      <c r="CZ147" s="74"/>
      <c r="DA147" s="74"/>
      <c r="DB147" s="74"/>
      <c r="DC147" s="74"/>
      <c r="DD147" s="74"/>
    </row>
    <row r="148" spans="1:108" s="402" customFormat="1" ht="15" hidden="1" customHeight="1" x14ac:dyDescent="0.25">
      <c r="A148" s="398" t="s">
        <v>690</v>
      </c>
      <c r="B148" s="74" t="s">
        <v>154</v>
      </c>
      <c r="C148" s="74" t="s">
        <v>172</v>
      </c>
      <c r="D148" s="74" t="s">
        <v>196</v>
      </c>
      <c r="E148" s="74" t="s">
        <v>309</v>
      </c>
      <c r="F148" s="74" t="s">
        <v>550</v>
      </c>
      <c r="G148" s="74" t="s">
        <v>137</v>
      </c>
      <c r="H148" s="74" t="s">
        <v>137</v>
      </c>
      <c r="I148" s="74" t="s">
        <v>66</v>
      </c>
      <c r="J148" s="74" t="s">
        <v>29</v>
      </c>
      <c r="K148" s="82" t="s">
        <v>137</v>
      </c>
      <c r="L148" s="82" t="s">
        <v>137</v>
      </c>
      <c r="M148" s="82" t="s">
        <v>137</v>
      </c>
      <c r="N148" s="82" t="s">
        <v>137</v>
      </c>
      <c r="O148" s="82" t="s">
        <v>137</v>
      </c>
      <c r="P148" s="82" t="s">
        <v>137</v>
      </c>
      <c r="Q148" s="74" t="s">
        <v>87</v>
      </c>
      <c r="R148" s="74" t="s">
        <v>709</v>
      </c>
      <c r="S148" s="74" t="s">
        <v>40</v>
      </c>
      <c r="T148" s="74" t="s">
        <v>2</v>
      </c>
      <c r="U148" s="75"/>
      <c r="V148" s="75">
        <v>0.05</v>
      </c>
      <c r="W148" s="75">
        <v>0.08</v>
      </c>
      <c r="X148" s="75">
        <v>0.15</v>
      </c>
      <c r="Y148" s="75">
        <v>0.2</v>
      </c>
      <c r="Z148" s="75">
        <v>0.25</v>
      </c>
      <c r="AA148" s="75">
        <v>0.37</v>
      </c>
      <c r="AB148" s="75">
        <v>0.42</v>
      </c>
      <c r="AC148" s="75">
        <v>0.57999999999999996</v>
      </c>
      <c r="AD148" s="75">
        <v>0.67</v>
      </c>
      <c r="AE148" s="75">
        <v>0.83</v>
      </c>
      <c r="AF148" s="75">
        <v>1</v>
      </c>
      <c r="AG148" s="74" t="s">
        <v>533</v>
      </c>
      <c r="AH148" s="74" t="s">
        <v>530</v>
      </c>
      <c r="AI148" s="78" t="s">
        <v>539</v>
      </c>
      <c r="AJ148" s="79" t="s">
        <v>539</v>
      </c>
      <c r="AK148" s="80">
        <v>46023</v>
      </c>
      <c r="AL148" s="80">
        <v>46387</v>
      </c>
      <c r="AM148" s="79"/>
      <c r="AN148" s="79"/>
      <c r="AO148" s="79"/>
      <c r="AP148" s="81" t="s">
        <v>540</v>
      </c>
      <c r="AQ148" s="80" cm="1">
        <f t="array" ref="AQ148">IFERROR(DATE(2026, _xlfn.AGGREGATE(15, 6, (COLUMN(CI148:CT148)-COLUMN(CI148)+1)/(CI148:CT148&lt;&gt;0), 1), 1),"N/A")</f>
        <v>46023</v>
      </c>
      <c r="AR148" s="80" cm="1">
        <f t="array" ref="AR148">IFERROR(EOMONTH(DATE(2026, _xlfn.AGGREGATE(14, 6, (COLUMN(CI148:CT148)-COLUMN(CI148)+1)/(CI148:CT148&lt;&gt;0), 1), 1), 0),"N/A")</f>
        <v>46387</v>
      </c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398" t="s">
        <v>712</v>
      </c>
      <c r="BG148" s="74"/>
      <c r="BH148" s="398" t="s">
        <v>866</v>
      </c>
      <c r="BI148" s="74" t="s">
        <v>137</v>
      </c>
      <c r="BJ148" s="399">
        <v>530209</v>
      </c>
      <c r="BK148" s="400" t="s">
        <v>74</v>
      </c>
      <c r="BL148" s="83">
        <v>65000</v>
      </c>
      <c r="BM148" s="84">
        <v>5416.66</v>
      </c>
      <c r="BN148" s="84">
        <v>5416.66</v>
      </c>
      <c r="BO148" s="84">
        <v>5416.66</v>
      </c>
      <c r="BP148" s="72">
        <v>5416.66</v>
      </c>
      <c r="BQ148" s="84">
        <v>5416.67</v>
      </c>
      <c r="BR148" s="84">
        <v>5416.67</v>
      </c>
      <c r="BS148" s="84">
        <v>5416.67</v>
      </c>
      <c r="BT148" s="84">
        <v>5416.67</v>
      </c>
      <c r="BU148" s="84">
        <v>5416.67</v>
      </c>
      <c r="BV148" s="84">
        <v>5416.67</v>
      </c>
      <c r="BW148" s="84">
        <v>5416.67</v>
      </c>
      <c r="BX148" s="84">
        <v>5416.67</v>
      </c>
      <c r="BY148" s="84"/>
      <c r="BZ148" s="84"/>
      <c r="CA148" s="84"/>
      <c r="CB148" s="84"/>
      <c r="CC148" s="84"/>
      <c r="CD148" s="84"/>
      <c r="CE148" s="84"/>
      <c r="CF148" s="84"/>
      <c r="CG148" s="84"/>
      <c r="CH148" s="403">
        <f t="shared" si="4"/>
        <v>65000</v>
      </c>
      <c r="CI148" s="404">
        <v>5416.66</v>
      </c>
      <c r="CJ148" s="404">
        <v>5416.66</v>
      </c>
      <c r="CK148" s="404">
        <v>5416.66</v>
      </c>
      <c r="CL148" s="405">
        <v>5416.66</v>
      </c>
      <c r="CM148" s="404">
        <v>5416.67</v>
      </c>
      <c r="CN148" s="404">
        <v>5416.67</v>
      </c>
      <c r="CO148" s="404">
        <v>5416.67</v>
      </c>
      <c r="CP148" s="404">
        <v>5416.67</v>
      </c>
      <c r="CQ148" s="404">
        <v>5416.67</v>
      </c>
      <c r="CR148" s="404">
        <v>5416.67</v>
      </c>
      <c r="CS148" s="404">
        <v>5416.67</v>
      </c>
      <c r="CT148" s="404">
        <v>5416.67</v>
      </c>
      <c r="CU148" s="404"/>
      <c r="CV148" s="404">
        <f t="shared" si="5"/>
        <v>0</v>
      </c>
      <c r="CW148" s="404"/>
      <c r="CX148" s="398"/>
      <c r="CY148" s="398"/>
      <c r="CZ148" s="398"/>
      <c r="DA148" s="398"/>
      <c r="DB148" s="398" t="s">
        <v>1378</v>
      </c>
      <c r="DC148" s="398"/>
      <c r="DD148" s="398"/>
    </row>
    <row r="149" spans="1:108" s="181" customFormat="1" ht="15" customHeight="1" x14ac:dyDescent="0.25">
      <c r="A149" s="179" t="s">
        <v>691</v>
      </c>
      <c r="B149" s="74" t="s">
        <v>154</v>
      </c>
      <c r="C149" s="74" t="s">
        <v>172</v>
      </c>
      <c r="D149" s="74" t="s">
        <v>196</v>
      </c>
      <c r="E149" s="179" t="s">
        <v>309</v>
      </c>
      <c r="F149" s="74" t="s">
        <v>550</v>
      </c>
      <c r="G149" s="74" t="s">
        <v>137</v>
      </c>
      <c r="H149" s="74" t="s">
        <v>137</v>
      </c>
      <c r="I149" s="74" t="s">
        <v>66</v>
      </c>
      <c r="J149" s="74" t="s">
        <v>29</v>
      </c>
      <c r="K149" s="82" t="s">
        <v>137</v>
      </c>
      <c r="L149" s="82" t="s">
        <v>137</v>
      </c>
      <c r="M149" s="82" t="s">
        <v>137</v>
      </c>
      <c r="N149" s="82" t="s">
        <v>137</v>
      </c>
      <c r="O149" s="82" t="s">
        <v>137</v>
      </c>
      <c r="P149" s="82" t="s">
        <v>137</v>
      </c>
      <c r="Q149" s="74" t="s">
        <v>87</v>
      </c>
      <c r="R149" s="74" t="s">
        <v>709</v>
      </c>
      <c r="S149" s="74" t="s">
        <v>40</v>
      </c>
      <c r="T149" s="74" t="s">
        <v>2</v>
      </c>
      <c r="U149" s="75"/>
      <c r="V149" s="75">
        <v>0.05</v>
      </c>
      <c r="W149" s="75">
        <v>0.08</v>
      </c>
      <c r="X149" s="75">
        <v>0.15</v>
      </c>
      <c r="Y149" s="75">
        <v>0.2</v>
      </c>
      <c r="Z149" s="75">
        <v>0.25</v>
      </c>
      <c r="AA149" s="75">
        <v>0.37</v>
      </c>
      <c r="AB149" s="75">
        <v>0.42</v>
      </c>
      <c r="AC149" s="75">
        <v>0.57999999999999996</v>
      </c>
      <c r="AD149" s="75">
        <v>0.67</v>
      </c>
      <c r="AE149" s="75">
        <v>0.83</v>
      </c>
      <c r="AF149" s="75">
        <v>1</v>
      </c>
      <c r="AG149" s="74" t="s">
        <v>772</v>
      </c>
      <c r="AH149" s="74" t="s">
        <v>531</v>
      </c>
      <c r="AI149" s="78" t="s">
        <v>539</v>
      </c>
      <c r="AJ149" s="79" t="s">
        <v>539</v>
      </c>
      <c r="AK149" s="80">
        <v>46023</v>
      </c>
      <c r="AL149" s="80">
        <v>46387</v>
      </c>
      <c r="AM149" s="79"/>
      <c r="AN149" s="79"/>
      <c r="AO149" s="79"/>
      <c r="AP149" s="81" t="s">
        <v>540</v>
      </c>
      <c r="AQ149" s="80" cm="1">
        <f t="array" ref="AQ149">IFERROR(DATE(2026, _xlfn.AGGREGATE(15, 6, (COLUMN(CI149:CT149)-COLUMN(CI149)+1)/(CI149:CT149&lt;&gt;0), 1), 1),"N/A")</f>
        <v>46023</v>
      </c>
      <c r="AR149" s="80" cm="1">
        <f t="array" ref="AR149">IFERROR(EOMONTH(DATE(2026, _xlfn.AGGREGATE(14, 6, (COLUMN(CI149:CT149)-COLUMN(CI149)+1)/(CI149:CT149&lt;&gt;0), 1), 1), 0),"N/A")</f>
        <v>46234</v>
      </c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179" t="s">
        <v>749</v>
      </c>
      <c r="BG149" s="74" t="s">
        <v>1009</v>
      </c>
      <c r="BH149" s="74" t="s">
        <v>748</v>
      </c>
      <c r="BI149" s="74" t="s">
        <v>137</v>
      </c>
      <c r="BJ149" s="78">
        <v>530105</v>
      </c>
      <c r="BK149" s="82" t="s">
        <v>74</v>
      </c>
      <c r="BL149" s="83">
        <v>1710</v>
      </c>
      <c r="BM149" s="84">
        <v>227.7</v>
      </c>
      <c r="BN149" s="84">
        <v>227.7</v>
      </c>
      <c r="BO149" s="84">
        <v>227.7</v>
      </c>
      <c r="BP149" s="72">
        <v>227.7</v>
      </c>
      <c r="BQ149" s="84">
        <v>227.7</v>
      </c>
      <c r="BR149" s="84">
        <v>227.7</v>
      </c>
      <c r="BS149" s="84">
        <v>343.8</v>
      </c>
      <c r="BT149" s="73">
        <v>0</v>
      </c>
      <c r="BU149" s="73">
        <v>0</v>
      </c>
      <c r="BV149" s="73">
        <v>0</v>
      </c>
      <c r="BW149" s="73">
        <v>0</v>
      </c>
      <c r="BX149" s="73">
        <v>0</v>
      </c>
      <c r="BY149" s="73"/>
      <c r="BZ149" s="73"/>
      <c r="CA149" s="73"/>
      <c r="CB149" s="73"/>
      <c r="CC149" s="73"/>
      <c r="CD149" s="73"/>
      <c r="CE149" s="73"/>
      <c r="CF149" s="73"/>
      <c r="CG149" s="180"/>
      <c r="CH149" s="180">
        <f t="shared" si="4"/>
        <v>1710</v>
      </c>
      <c r="CI149" s="84">
        <v>227.7</v>
      </c>
      <c r="CJ149" s="84">
        <v>227.7</v>
      </c>
      <c r="CK149" s="84">
        <v>227.7</v>
      </c>
      <c r="CL149" s="72">
        <v>227.7</v>
      </c>
      <c r="CM149" s="84">
        <v>227.7</v>
      </c>
      <c r="CN149" s="84">
        <v>227.7</v>
      </c>
      <c r="CO149" s="84">
        <v>343.8</v>
      </c>
      <c r="CP149" s="73">
        <v>0</v>
      </c>
      <c r="CQ149" s="73">
        <v>0</v>
      </c>
      <c r="CR149" s="73">
        <v>0</v>
      </c>
      <c r="CS149" s="73">
        <v>0</v>
      </c>
      <c r="CT149" s="73">
        <v>0</v>
      </c>
      <c r="CU149" s="73"/>
      <c r="CV149" s="84">
        <f t="shared" si="5"/>
        <v>0</v>
      </c>
      <c r="CW149" s="84"/>
      <c r="CX149" s="74"/>
      <c r="CY149" s="74"/>
      <c r="CZ149" s="74"/>
      <c r="DA149" s="179"/>
      <c r="DB149" s="179"/>
      <c r="DC149" s="179"/>
      <c r="DD149" s="179"/>
    </row>
    <row r="150" spans="1:108" s="68" customFormat="1" ht="15" customHeight="1" x14ac:dyDescent="0.25">
      <c r="A150" s="74" t="s">
        <v>691</v>
      </c>
      <c r="B150" s="74" t="s">
        <v>154</v>
      </c>
      <c r="C150" s="74" t="s">
        <v>172</v>
      </c>
      <c r="D150" s="74" t="s">
        <v>196</v>
      </c>
      <c r="E150" s="74" t="s">
        <v>309</v>
      </c>
      <c r="F150" s="74" t="s">
        <v>550</v>
      </c>
      <c r="G150" s="74" t="s">
        <v>137</v>
      </c>
      <c r="H150" s="74" t="s">
        <v>137</v>
      </c>
      <c r="I150" s="74" t="s">
        <v>66</v>
      </c>
      <c r="J150" s="74" t="s">
        <v>29</v>
      </c>
      <c r="K150" s="82" t="s">
        <v>137</v>
      </c>
      <c r="L150" s="82" t="s">
        <v>137</v>
      </c>
      <c r="M150" s="82" t="s">
        <v>137</v>
      </c>
      <c r="N150" s="82" t="s">
        <v>137</v>
      </c>
      <c r="O150" s="82" t="s">
        <v>137</v>
      </c>
      <c r="P150" s="82" t="s">
        <v>137</v>
      </c>
      <c r="Q150" s="74" t="s">
        <v>87</v>
      </c>
      <c r="R150" s="74" t="s">
        <v>709</v>
      </c>
      <c r="S150" s="74" t="s">
        <v>40</v>
      </c>
      <c r="T150" s="74" t="s">
        <v>2</v>
      </c>
      <c r="U150" s="75"/>
      <c r="V150" s="75">
        <v>0.05</v>
      </c>
      <c r="W150" s="75">
        <v>0.08</v>
      </c>
      <c r="X150" s="75">
        <v>0.15</v>
      </c>
      <c r="Y150" s="75">
        <v>0.2</v>
      </c>
      <c r="Z150" s="75">
        <v>0.25</v>
      </c>
      <c r="AA150" s="75">
        <v>0.37</v>
      </c>
      <c r="AB150" s="75">
        <v>0.42</v>
      </c>
      <c r="AC150" s="75">
        <v>0.57999999999999996</v>
      </c>
      <c r="AD150" s="75">
        <v>0.67</v>
      </c>
      <c r="AE150" s="75">
        <v>0.83</v>
      </c>
      <c r="AF150" s="75">
        <v>1</v>
      </c>
      <c r="AG150" s="74" t="s">
        <v>533</v>
      </c>
      <c r="AH150" s="74" t="s">
        <v>530</v>
      </c>
      <c r="AI150" s="78" t="s">
        <v>539</v>
      </c>
      <c r="AJ150" s="79" t="s">
        <v>539</v>
      </c>
      <c r="AK150" s="80">
        <v>46023</v>
      </c>
      <c r="AL150" s="80">
        <v>46387</v>
      </c>
      <c r="AM150" s="79"/>
      <c r="AN150" s="79"/>
      <c r="AO150" s="79"/>
      <c r="AP150" s="81" t="s">
        <v>540</v>
      </c>
      <c r="AQ150" s="80" cm="1">
        <f t="array" ref="AQ150">IFERROR(DATE(2026, _xlfn.AGGREGATE(15, 6, (COLUMN(CI150:CT150)-COLUMN(CI150)+1)/(CI150:CT150&lt;&gt;0), 1), 1),"N/A")</f>
        <v>46204</v>
      </c>
      <c r="AR150" s="80" cm="1">
        <f t="array" ref="AR150">IFERROR(EOMONTH(DATE(2026, _xlfn.AGGREGATE(14, 6, (COLUMN(CI150:CT150)-COLUMN(CI150)+1)/(CI150:CT150&lt;&gt;0), 1), 1), 0),"N/A")</f>
        <v>46387</v>
      </c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4" t="s">
        <v>747</v>
      </c>
      <c r="BG150" s="74" t="s">
        <v>1009</v>
      </c>
      <c r="BH150" s="74" t="s">
        <v>889</v>
      </c>
      <c r="BI150" s="74" t="s">
        <v>137</v>
      </c>
      <c r="BJ150" s="78">
        <v>530105</v>
      </c>
      <c r="BK150" s="82" t="s">
        <v>74</v>
      </c>
      <c r="BL150" s="83">
        <v>1400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84">
        <v>227.7</v>
      </c>
      <c r="BT150" s="84">
        <v>227.7</v>
      </c>
      <c r="BU150" s="84">
        <v>227.7</v>
      </c>
      <c r="BV150" s="84">
        <v>227.7</v>
      </c>
      <c r="BW150" s="84">
        <v>227.7</v>
      </c>
      <c r="BX150" s="84">
        <v>261.5</v>
      </c>
      <c r="BY150" s="84"/>
      <c r="BZ150" s="84"/>
      <c r="CA150" s="84"/>
      <c r="CB150" s="84"/>
      <c r="CC150" s="84"/>
      <c r="CD150" s="84"/>
      <c r="CE150" s="84"/>
      <c r="CF150" s="84"/>
      <c r="CG150" s="84"/>
      <c r="CH150" s="73">
        <f t="shared" si="4"/>
        <v>1400</v>
      </c>
      <c r="CI150" s="73"/>
      <c r="CJ150" s="73"/>
      <c r="CK150" s="72">
        <v>0</v>
      </c>
      <c r="CL150" s="73">
        <v>0</v>
      </c>
      <c r="CM150" s="73">
        <v>0</v>
      </c>
      <c r="CN150" s="73">
        <v>0</v>
      </c>
      <c r="CO150" s="84">
        <v>227.7</v>
      </c>
      <c r="CP150" s="84">
        <v>227.7</v>
      </c>
      <c r="CQ150" s="84">
        <v>227.7</v>
      </c>
      <c r="CR150" s="84">
        <v>227.7</v>
      </c>
      <c r="CS150" s="84">
        <v>227.7</v>
      </c>
      <c r="CT150" s="84">
        <v>261.5</v>
      </c>
      <c r="CU150" s="84"/>
      <c r="CV150" s="84">
        <f t="shared" si="5"/>
        <v>0</v>
      </c>
      <c r="CW150" s="84"/>
      <c r="CX150" s="74"/>
      <c r="CY150" s="74"/>
      <c r="CZ150" s="74"/>
      <c r="DA150" s="74"/>
      <c r="DB150" s="74"/>
      <c r="DC150" s="74"/>
      <c r="DD150" s="74"/>
    </row>
    <row r="151" spans="1:108" s="68" customFormat="1" ht="15" hidden="1" customHeight="1" x14ac:dyDescent="0.25">
      <c r="A151" s="74" t="s">
        <v>690</v>
      </c>
      <c r="B151" s="74" t="s">
        <v>154</v>
      </c>
      <c r="C151" s="74" t="s">
        <v>172</v>
      </c>
      <c r="D151" s="74" t="s">
        <v>196</v>
      </c>
      <c r="E151" s="74" t="s">
        <v>309</v>
      </c>
      <c r="F151" s="74" t="s">
        <v>550</v>
      </c>
      <c r="G151" s="74" t="s">
        <v>137</v>
      </c>
      <c r="H151" s="74" t="s">
        <v>137</v>
      </c>
      <c r="I151" s="74" t="s">
        <v>66</v>
      </c>
      <c r="J151" s="74" t="s">
        <v>29</v>
      </c>
      <c r="K151" s="82" t="s">
        <v>137</v>
      </c>
      <c r="L151" s="82" t="s">
        <v>137</v>
      </c>
      <c r="M151" s="82" t="s">
        <v>137</v>
      </c>
      <c r="N151" s="82" t="s">
        <v>137</v>
      </c>
      <c r="O151" s="82" t="s">
        <v>137</v>
      </c>
      <c r="P151" s="82" t="s">
        <v>137</v>
      </c>
      <c r="Q151" s="74" t="s">
        <v>87</v>
      </c>
      <c r="R151" s="74" t="s">
        <v>709</v>
      </c>
      <c r="S151" s="74" t="s">
        <v>40</v>
      </c>
      <c r="T151" s="74" t="s">
        <v>2</v>
      </c>
      <c r="U151" s="75"/>
      <c r="V151" s="75">
        <v>0.05</v>
      </c>
      <c r="W151" s="75">
        <v>0.08</v>
      </c>
      <c r="X151" s="75">
        <v>0.15</v>
      </c>
      <c r="Y151" s="75">
        <v>0.2</v>
      </c>
      <c r="Z151" s="75">
        <v>0.25</v>
      </c>
      <c r="AA151" s="75">
        <v>0.37</v>
      </c>
      <c r="AB151" s="75">
        <v>0.42</v>
      </c>
      <c r="AC151" s="75">
        <v>0.57999999999999996</v>
      </c>
      <c r="AD151" s="75">
        <v>0.67</v>
      </c>
      <c r="AE151" s="75">
        <v>0.83</v>
      </c>
      <c r="AF151" s="75">
        <v>1</v>
      </c>
      <c r="AG151" s="74" t="s">
        <v>533</v>
      </c>
      <c r="AH151" s="74" t="s">
        <v>530</v>
      </c>
      <c r="AI151" s="78" t="s">
        <v>539</v>
      </c>
      <c r="AJ151" s="79" t="s">
        <v>539</v>
      </c>
      <c r="AK151" s="80">
        <v>46023</v>
      </c>
      <c r="AL151" s="80">
        <v>46387</v>
      </c>
      <c r="AM151" s="79"/>
      <c r="AN151" s="79"/>
      <c r="AO151" s="79"/>
      <c r="AP151" s="81" t="s">
        <v>540</v>
      </c>
      <c r="AQ151" s="80" t="str" cm="1">
        <f t="array" ref="AQ151">IFERROR(DATE(2026, _xlfn.AGGREGATE(15, 6, (COLUMN(CI151:CT151)-COLUMN(CI151)+1)/(CI151:CT151&lt;&gt;0), 1), 1),"N/A")</f>
        <v>N/A</v>
      </c>
      <c r="AR151" s="80" t="str" cm="1">
        <f t="array" ref="AR151">IFERROR(EOMONTH(DATE(2026, _xlfn.AGGREGATE(14, 6, (COLUMN(CI151:CT151)-COLUMN(CI151)+1)/(CI151:CT151&lt;&gt;0), 1), 1), 0),"N/A")</f>
        <v>N/A</v>
      </c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4" t="s">
        <v>599</v>
      </c>
      <c r="BG151" s="74"/>
      <c r="BH151" s="74" t="s">
        <v>854</v>
      </c>
      <c r="BI151" s="74" t="s">
        <v>137</v>
      </c>
      <c r="BJ151" s="78">
        <v>530202</v>
      </c>
      <c r="BK151" s="82" t="s">
        <v>74</v>
      </c>
      <c r="BL151" s="83">
        <v>2000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84">
        <v>2000</v>
      </c>
      <c r="BY151" s="84">
        <v>-2000</v>
      </c>
      <c r="BZ151" s="84"/>
      <c r="CA151" s="84"/>
      <c r="CB151" s="84"/>
      <c r="CC151" s="84"/>
      <c r="CD151" s="84"/>
      <c r="CE151" s="84"/>
      <c r="CF151" s="84"/>
      <c r="CG151" s="84"/>
      <c r="CH151" s="73">
        <f t="shared" si="4"/>
        <v>0</v>
      </c>
      <c r="CI151" s="73"/>
      <c r="CJ151" s="73"/>
      <c r="CK151" s="72">
        <v>0</v>
      </c>
      <c r="CL151" s="73">
        <v>0</v>
      </c>
      <c r="CM151" s="73">
        <v>0</v>
      </c>
      <c r="CN151" s="73">
        <v>0</v>
      </c>
      <c r="CO151" s="73">
        <v>0</v>
      </c>
      <c r="CP151" s="73">
        <v>0</v>
      </c>
      <c r="CQ151" s="73">
        <v>0</v>
      </c>
      <c r="CR151" s="73">
        <v>0</v>
      </c>
      <c r="CS151" s="73">
        <v>0</v>
      </c>
      <c r="CT151" s="84">
        <v>0</v>
      </c>
      <c r="CU151" s="84"/>
      <c r="CV151" s="84">
        <f t="shared" si="5"/>
        <v>0</v>
      </c>
      <c r="CW151" s="84"/>
      <c r="CX151" s="74"/>
      <c r="CY151" s="74"/>
      <c r="CZ151" s="74"/>
      <c r="DA151" s="74"/>
      <c r="DB151" s="74"/>
      <c r="DC151" s="74"/>
      <c r="DD151" s="74"/>
    </row>
    <row r="152" spans="1:108" s="68" customFormat="1" ht="15" hidden="1" customHeight="1" x14ac:dyDescent="0.25">
      <c r="A152" s="74" t="s">
        <v>694</v>
      </c>
      <c r="B152" s="74" t="s">
        <v>154</v>
      </c>
      <c r="C152" s="74" t="s">
        <v>172</v>
      </c>
      <c r="D152" s="74" t="s">
        <v>196</v>
      </c>
      <c r="E152" s="74" t="s">
        <v>309</v>
      </c>
      <c r="F152" s="74" t="s">
        <v>550</v>
      </c>
      <c r="G152" s="74" t="s">
        <v>137</v>
      </c>
      <c r="H152" s="74" t="s">
        <v>137</v>
      </c>
      <c r="I152" s="74" t="s">
        <v>66</v>
      </c>
      <c r="J152" s="74" t="s">
        <v>29</v>
      </c>
      <c r="K152" s="82" t="s">
        <v>137</v>
      </c>
      <c r="L152" s="82" t="s">
        <v>137</v>
      </c>
      <c r="M152" s="82" t="s">
        <v>137</v>
      </c>
      <c r="N152" s="82" t="s">
        <v>137</v>
      </c>
      <c r="O152" s="82" t="s">
        <v>137</v>
      </c>
      <c r="P152" s="82" t="s">
        <v>137</v>
      </c>
      <c r="Q152" s="74" t="s">
        <v>87</v>
      </c>
      <c r="R152" s="74" t="s">
        <v>709</v>
      </c>
      <c r="S152" s="74" t="s">
        <v>40</v>
      </c>
      <c r="T152" s="74" t="s">
        <v>2</v>
      </c>
      <c r="U152" s="75"/>
      <c r="V152" s="75">
        <v>0.05</v>
      </c>
      <c r="W152" s="75">
        <v>0.08</v>
      </c>
      <c r="X152" s="75">
        <v>0.15</v>
      </c>
      <c r="Y152" s="75">
        <v>0.2</v>
      </c>
      <c r="Z152" s="75">
        <v>0.25</v>
      </c>
      <c r="AA152" s="75">
        <v>0.37</v>
      </c>
      <c r="AB152" s="75">
        <v>0.42</v>
      </c>
      <c r="AC152" s="75">
        <v>0.57999999999999996</v>
      </c>
      <c r="AD152" s="75">
        <v>0.67</v>
      </c>
      <c r="AE152" s="75">
        <v>0.83</v>
      </c>
      <c r="AF152" s="75">
        <v>1</v>
      </c>
      <c r="AG152" s="74" t="s">
        <v>533</v>
      </c>
      <c r="AH152" s="74" t="s">
        <v>530</v>
      </c>
      <c r="AI152" s="78" t="s">
        <v>539</v>
      </c>
      <c r="AJ152" s="79" t="s">
        <v>539</v>
      </c>
      <c r="AK152" s="80">
        <v>46023</v>
      </c>
      <c r="AL152" s="80">
        <v>46387</v>
      </c>
      <c r="AM152" s="79"/>
      <c r="AN152" s="79"/>
      <c r="AO152" s="79"/>
      <c r="AP152" s="81" t="s">
        <v>540</v>
      </c>
      <c r="AQ152" s="80" t="str" cm="1">
        <f t="array" ref="AQ152">IFERROR(DATE(2026, _xlfn.AGGREGATE(15, 6, (COLUMN(CI152:CT152)-COLUMN(CI152)+1)/(CI152:CT152&lt;&gt;0), 1), 1),"N/A")</f>
        <v>N/A</v>
      </c>
      <c r="AR152" s="80" t="str" cm="1">
        <f t="array" ref="AR152">IFERROR(EOMONTH(DATE(2026, _xlfn.AGGREGATE(14, 6, (COLUMN(CI152:CT152)-COLUMN(CI152)+1)/(CI152:CT152&lt;&gt;0), 1), 1), 0),"N/A")</f>
        <v>N/A</v>
      </c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4" t="s">
        <v>649</v>
      </c>
      <c r="BG152" s="74"/>
      <c r="BH152" s="74" t="s">
        <v>878</v>
      </c>
      <c r="BI152" s="74" t="s">
        <v>137</v>
      </c>
      <c r="BJ152" s="78">
        <v>530404</v>
      </c>
      <c r="BK152" s="82" t="s">
        <v>74</v>
      </c>
      <c r="BL152" s="83">
        <v>25000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84">
        <v>25000</v>
      </c>
      <c r="BT152" s="73">
        <v>0</v>
      </c>
      <c r="BU152" s="73">
        <v>0</v>
      </c>
      <c r="BV152" s="73">
        <v>0</v>
      </c>
      <c r="BW152" s="73">
        <v>0</v>
      </c>
      <c r="BX152" s="73">
        <v>0</v>
      </c>
      <c r="BY152" s="73">
        <v>-25000</v>
      </c>
      <c r="BZ152" s="73"/>
      <c r="CA152" s="73"/>
      <c r="CB152" s="73"/>
      <c r="CC152" s="73"/>
      <c r="CD152" s="73"/>
      <c r="CE152" s="73"/>
      <c r="CF152" s="73"/>
      <c r="CG152" s="73"/>
      <c r="CH152" s="73">
        <f t="shared" si="4"/>
        <v>0</v>
      </c>
      <c r="CI152" s="73"/>
      <c r="CJ152" s="73"/>
      <c r="CK152" s="72">
        <v>0</v>
      </c>
      <c r="CL152" s="73">
        <v>0</v>
      </c>
      <c r="CM152" s="73">
        <v>0</v>
      </c>
      <c r="CN152" s="73">
        <v>0</v>
      </c>
      <c r="CO152" s="84">
        <v>0</v>
      </c>
      <c r="CP152" s="73">
        <v>0</v>
      </c>
      <c r="CQ152" s="73">
        <v>0</v>
      </c>
      <c r="CR152" s="73">
        <v>0</v>
      </c>
      <c r="CS152" s="73">
        <v>0</v>
      </c>
      <c r="CT152" s="73">
        <v>0</v>
      </c>
      <c r="CU152" s="73"/>
      <c r="CV152" s="84">
        <f t="shared" si="5"/>
        <v>0</v>
      </c>
      <c r="CW152" s="84"/>
      <c r="CX152" s="74"/>
      <c r="CY152" s="74"/>
      <c r="CZ152" s="74"/>
      <c r="DA152" s="74"/>
      <c r="DB152" s="74"/>
      <c r="DC152" s="74"/>
      <c r="DD152" s="74"/>
    </row>
    <row r="153" spans="1:108" s="68" customFormat="1" ht="15" customHeight="1" x14ac:dyDescent="0.25">
      <c r="A153" s="74" t="s">
        <v>691</v>
      </c>
      <c r="B153" s="74" t="s">
        <v>154</v>
      </c>
      <c r="C153" s="74" t="s">
        <v>172</v>
      </c>
      <c r="D153" s="74" t="s">
        <v>196</v>
      </c>
      <c r="E153" s="74" t="s">
        <v>309</v>
      </c>
      <c r="F153" s="74" t="s">
        <v>550</v>
      </c>
      <c r="G153" s="74" t="s">
        <v>137</v>
      </c>
      <c r="H153" s="74" t="s">
        <v>137</v>
      </c>
      <c r="I153" s="74" t="s">
        <v>66</v>
      </c>
      <c r="J153" s="74" t="s">
        <v>29</v>
      </c>
      <c r="K153" s="82" t="s">
        <v>137</v>
      </c>
      <c r="L153" s="82" t="s">
        <v>137</v>
      </c>
      <c r="M153" s="82" t="s">
        <v>137</v>
      </c>
      <c r="N153" s="82" t="s">
        <v>137</v>
      </c>
      <c r="O153" s="82" t="s">
        <v>137</v>
      </c>
      <c r="P153" s="82" t="s">
        <v>137</v>
      </c>
      <c r="Q153" s="74" t="s">
        <v>87</v>
      </c>
      <c r="R153" s="74" t="s">
        <v>709</v>
      </c>
      <c r="S153" s="74" t="s">
        <v>40</v>
      </c>
      <c r="T153" s="74" t="s">
        <v>2</v>
      </c>
      <c r="U153" s="75"/>
      <c r="V153" s="75">
        <v>0.05</v>
      </c>
      <c r="W153" s="75">
        <v>0.08</v>
      </c>
      <c r="X153" s="75">
        <v>0.15</v>
      </c>
      <c r="Y153" s="75">
        <v>0.2</v>
      </c>
      <c r="Z153" s="75">
        <v>0.25</v>
      </c>
      <c r="AA153" s="75">
        <v>0.37</v>
      </c>
      <c r="AB153" s="75">
        <v>0.42</v>
      </c>
      <c r="AC153" s="75">
        <v>0.57999999999999996</v>
      </c>
      <c r="AD153" s="75">
        <v>0.67</v>
      </c>
      <c r="AE153" s="75">
        <v>0.83</v>
      </c>
      <c r="AF153" s="75">
        <v>1</v>
      </c>
      <c r="AG153" s="74" t="s">
        <v>772</v>
      </c>
      <c r="AH153" s="74" t="s">
        <v>531</v>
      </c>
      <c r="AI153" s="78" t="s">
        <v>539</v>
      </c>
      <c r="AJ153" s="79" t="s">
        <v>539</v>
      </c>
      <c r="AK153" s="80">
        <v>46023</v>
      </c>
      <c r="AL153" s="80">
        <v>46387</v>
      </c>
      <c r="AM153" s="79"/>
      <c r="AN153" s="79"/>
      <c r="AO153" s="79"/>
      <c r="AP153" s="81" t="s">
        <v>540</v>
      </c>
      <c r="AQ153" s="80" cm="1">
        <f t="array" ref="AQ153">IFERROR(DATE(2026, _xlfn.AGGREGATE(15, 6, (COLUMN(CI153:CT153)-COLUMN(CI153)+1)/(CI153:CT153&lt;&gt;0), 1), 1),"N/A")</f>
        <v>46023</v>
      </c>
      <c r="AR153" s="80" cm="1">
        <f t="array" ref="AR153">IFERROR(EOMONTH(DATE(2026, _xlfn.AGGREGATE(14, 6, (COLUMN(CI153:CT153)-COLUMN(CI153)+1)/(CI153:CT153&lt;&gt;0), 1), 1), 0),"N/A")</f>
        <v>46295</v>
      </c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4" t="s">
        <v>750</v>
      </c>
      <c r="BG153" s="74" t="s">
        <v>1009</v>
      </c>
      <c r="BH153" s="74" t="s">
        <v>760</v>
      </c>
      <c r="BI153" s="74" t="s">
        <v>137</v>
      </c>
      <c r="BJ153" s="78">
        <v>530105</v>
      </c>
      <c r="BK153" s="82" t="s">
        <v>74</v>
      </c>
      <c r="BL153" s="83">
        <v>19000</v>
      </c>
      <c r="BM153" s="84">
        <v>2026.66</v>
      </c>
      <c r="BN153" s="84">
        <v>2026.66</v>
      </c>
      <c r="BO153" s="84">
        <v>2026.66</v>
      </c>
      <c r="BP153" s="72">
        <v>2026.66</v>
      </c>
      <c r="BQ153" s="84">
        <v>2026.66</v>
      </c>
      <c r="BR153" s="84">
        <v>2026.66</v>
      </c>
      <c r="BS153" s="84">
        <v>2026.66</v>
      </c>
      <c r="BT153" s="84">
        <v>2026.66</v>
      </c>
      <c r="BU153" s="84">
        <v>2786.72</v>
      </c>
      <c r="BV153" s="73">
        <v>0</v>
      </c>
      <c r="BW153" s="73">
        <v>0</v>
      </c>
      <c r="BX153" s="73">
        <v>0</v>
      </c>
      <c r="BY153" s="73"/>
      <c r="BZ153" s="73"/>
      <c r="CA153" s="73"/>
      <c r="CB153" s="73"/>
      <c r="CC153" s="73"/>
      <c r="CD153" s="73"/>
      <c r="CE153" s="73"/>
      <c r="CF153" s="73"/>
      <c r="CG153" s="73"/>
      <c r="CH153" s="73">
        <f t="shared" si="4"/>
        <v>19000</v>
      </c>
      <c r="CI153" s="84">
        <v>2026.66</v>
      </c>
      <c r="CJ153" s="84">
        <v>2026.66</v>
      </c>
      <c r="CK153" s="84">
        <v>2026.66</v>
      </c>
      <c r="CL153" s="72">
        <v>2026.66</v>
      </c>
      <c r="CM153" s="84">
        <v>2026.66</v>
      </c>
      <c r="CN153" s="84">
        <v>2026.66</v>
      </c>
      <c r="CO153" s="84">
        <v>2026.66</v>
      </c>
      <c r="CP153" s="84">
        <v>2026.66</v>
      </c>
      <c r="CQ153" s="84">
        <v>2786.72</v>
      </c>
      <c r="CR153" s="73">
        <v>0</v>
      </c>
      <c r="CS153" s="73">
        <v>0</v>
      </c>
      <c r="CT153" s="73">
        <v>0</v>
      </c>
      <c r="CU153" s="73"/>
      <c r="CV153" s="84">
        <f t="shared" si="5"/>
        <v>0</v>
      </c>
      <c r="CW153" s="84"/>
      <c r="CX153" s="74"/>
      <c r="CY153" s="74"/>
      <c r="CZ153" s="74"/>
      <c r="DA153" s="74"/>
      <c r="DB153" s="74"/>
      <c r="DC153" s="74"/>
      <c r="DD153" s="74"/>
    </row>
    <row r="154" spans="1:108" s="68" customFormat="1" ht="15" customHeight="1" x14ac:dyDescent="0.25">
      <c r="A154" s="74" t="s">
        <v>691</v>
      </c>
      <c r="B154" s="74" t="s">
        <v>154</v>
      </c>
      <c r="C154" s="74" t="s">
        <v>172</v>
      </c>
      <c r="D154" s="74" t="s">
        <v>196</v>
      </c>
      <c r="E154" s="74" t="s">
        <v>309</v>
      </c>
      <c r="F154" s="74" t="s">
        <v>550</v>
      </c>
      <c r="G154" s="74" t="s">
        <v>137</v>
      </c>
      <c r="H154" s="74" t="s">
        <v>137</v>
      </c>
      <c r="I154" s="74" t="s">
        <v>66</v>
      </c>
      <c r="J154" s="74" t="s">
        <v>29</v>
      </c>
      <c r="K154" s="82" t="s">
        <v>137</v>
      </c>
      <c r="L154" s="82" t="s">
        <v>137</v>
      </c>
      <c r="M154" s="82" t="s">
        <v>137</v>
      </c>
      <c r="N154" s="82" t="s">
        <v>137</v>
      </c>
      <c r="O154" s="82" t="s">
        <v>137</v>
      </c>
      <c r="P154" s="82" t="s">
        <v>137</v>
      </c>
      <c r="Q154" s="74" t="s">
        <v>87</v>
      </c>
      <c r="R154" s="74" t="s">
        <v>709</v>
      </c>
      <c r="S154" s="74" t="s">
        <v>40</v>
      </c>
      <c r="T154" s="74" t="s">
        <v>2</v>
      </c>
      <c r="U154" s="75"/>
      <c r="V154" s="75">
        <v>0.05</v>
      </c>
      <c r="W154" s="75">
        <v>0.08</v>
      </c>
      <c r="X154" s="75">
        <v>0.15</v>
      </c>
      <c r="Y154" s="75">
        <v>0.2</v>
      </c>
      <c r="Z154" s="75">
        <v>0.25</v>
      </c>
      <c r="AA154" s="75">
        <v>0.37</v>
      </c>
      <c r="AB154" s="75">
        <v>0.42</v>
      </c>
      <c r="AC154" s="75">
        <v>0.57999999999999996</v>
      </c>
      <c r="AD154" s="75">
        <v>0.67</v>
      </c>
      <c r="AE154" s="75">
        <v>0.83</v>
      </c>
      <c r="AF154" s="75">
        <v>1</v>
      </c>
      <c r="AG154" s="74" t="s">
        <v>533</v>
      </c>
      <c r="AH154" s="74" t="s">
        <v>530</v>
      </c>
      <c r="AI154" s="78" t="s">
        <v>539</v>
      </c>
      <c r="AJ154" s="79" t="s">
        <v>539</v>
      </c>
      <c r="AK154" s="80">
        <v>46023</v>
      </c>
      <c r="AL154" s="80">
        <v>46387</v>
      </c>
      <c r="AM154" s="79"/>
      <c r="AN154" s="79"/>
      <c r="AO154" s="79"/>
      <c r="AP154" s="81" t="s">
        <v>540</v>
      </c>
      <c r="AQ154" s="80" cm="1">
        <f t="array" ref="AQ154">IFERROR(DATE(2026, _xlfn.AGGREGATE(15, 6, (COLUMN(CI154:CT154)-COLUMN(CI154)+1)/(CI154:CT154&lt;&gt;0), 1), 1),"N/A")</f>
        <v>46235</v>
      </c>
      <c r="AR154" s="80" cm="1">
        <f t="array" ref="AR154">IFERROR(EOMONTH(DATE(2026, _xlfn.AGGREGATE(14, 6, (COLUMN(CI154:CT154)-COLUMN(CI154)+1)/(CI154:CT154&lt;&gt;0), 1), 1), 0),"N/A")</f>
        <v>46387</v>
      </c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4" t="s">
        <v>751</v>
      </c>
      <c r="BG154" s="74" t="s">
        <v>1009</v>
      </c>
      <c r="BH154" s="74" t="s">
        <v>890</v>
      </c>
      <c r="BI154" s="74" t="s">
        <v>137</v>
      </c>
      <c r="BJ154" s="78">
        <v>530105</v>
      </c>
      <c r="BK154" s="82" t="s">
        <v>74</v>
      </c>
      <c r="BL154" s="83">
        <v>12500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84">
        <v>2500</v>
      </c>
      <c r="BU154" s="84">
        <v>2500</v>
      </c>
      <c r="BV154" s="84">
        <v>2500</v>
      </c>
      <c r="BW154" s="84">
        <v>2500</v>
      </c>
      <c r="BX154" s="84">
        <v>2500</v>
      </c>
      <c r="BY154" s="84"/>
      <c r="BZ154" s="84"/>
      <c r="CA154" s="84"/>
      <c r="CB154" s="84"/>
      <c r="CC154" s="84"/>
      <c r="CD154" s="84"/>
      <c r="CE154" s="84"/>
      <c r="CF154" s="84"/>
      <c r="CG154" s="84"/>
      <c r="CH154" s="73">
        <f t="shared" si="4"/>
        <v>12500</v>
      </c>
      <c r="CI154" s="73"/>
      <c r="CJ154" s="73"/>
      <c r="CK154" s="72">
        <v>0</v>
      </c>
      <c r="CL154" s="73">
        <v>0</v>
      </c>
      <c r="CM154" s="73">
        <v>0</v>
      </c>
      <c r="CN154" s="73">
        <v>0</v>
      </c>
      <c r="CO154" s="73">
        <v>0</v>
      </c>
      <c r="CP154" s="84">
        <v>2500</v>
      </c>
      <c r="CQ154" s="84">
        <v>2500</v>
      </c>
      <c r="CR154" s="84">
        <v>2500</v>
      </c>
      <c r="CS154" s="84">
        <v>2500</v>
      </c>
      <c r="CT154" s="84">
        <v>2500</v>
      </c>
      <c r="CU154" s="84"/>
      <c r="CV154" s="84">
        <f t="shared" si="5"/>
        <v>0</v>
      </c>
      <c r="CW154" s="84"/>
      <c r="CX154" s="74"/>
      <c r="CY154" s="74"/>
      <c r="CZ154" s="74"/>
      <c r="DA154" s="74"/>
      <c r="DB154" s="74"/>
      <c r="DC154" s="74"/>
      <c r="DD154" s="74"/>
    </row>
    <row r="155" spans="1:108" s="68" customFormat="1" ht="15" hidden="1" customHeight="1" x14ac:dyDescent="0.25">
      <c r="A155" s="74" t="s">
        <v>690</v>
      </c>
      <c r="B155" s="74" t="s">
        <v>154</v>
      </c>
      <c r="C155" s="74" t="s">
        <v>172</v>
      </c>
      <c r="D155" s="74" t="s">
        <v>196</v>
      </c>
      <c r="E155" s="74" t="s">
        <v>309</v>
      </c>
      <c r="F155" s="74" t="s">
        <v>550</v>
      </c>
      <c r="G155" s="74" t="s">
        <v>137</v>
      </c>
      <c r="H155" s="74" t="s">
        <v>137</v>
      </c>
      <c r="I155" s="74" t="s">
        <v>66</v>
      </c>
      <c r="J155" s="74" t="s">
        <v>29</v>
      </c>
      <c r="K155" s="82" t="s">
        <v>137</v>
      </c>
      <c r="L155" s="82" t="s">
        <v>137</v>
      </c>
      <c r="M155" s="82" t="s">
        <v>137</v>
      </c>
      <c r="N155" s="82" t="s">
        <v>137</v>
      </c>
      <c r="O155" s="82" t="s">
        <v>137</v>
      </c>
      <c r="P155" s="82" t="s">
        <v>137</v>
      </c>
      <c r="Q155" s="74" t="s">
        <v>87</v>
      </c>
      <c r="R155" s="74" t="s">
        <v>709</v>
      </c>
      <c r="S155" s="74" t="s">
        <v>40</v>
      </c>
      <c r="T155" s="74" t="s">
        <v>2</v>
      </c>
      <c r="U155" s="75"/>
      <c r="V155" s="75">
        <v>0.05</v>
      </c>
      <c r="W155" s="75">
        <v>0.08</v>
      </c>
      <c r="X155" s="75">
        <v>0.15</v>
      </c>
      <c r="Y155" s="75">
        <v>0.2</v>
      </c>
      <c r="Z155" s="75">
        <v>0.25</v>
      </c>
      <c r="AA155" s="75">
        <v>0.37</v>
      </c>
      <c r="AB155" s="75">
        <v>0.42</v>
      </c>
      <c r="AC155" s="75">
        <v>0.57999999999999996</v>
      </c>
      <c r="AD155" s="75">
        <v>0.67</v>
      </c>
      <c r="AE155" s="75">
        <v>0.83</v>
      </c>
      <c r="AF155" s="75">
        <v>1</v>
      </c>
      <c r="AG155" s="74" t="s">
        <v>533</v>
      </c>
      <c r="AH155" s="74" t="s">
        <v>530</v>
      </c>
      <c r="AI155" s="78" t="s">
        <v>539</v>
      </c>
      <c r="AJ155" s="79" t="s">
        <v>539</v>
      </c>
      <c r="AK155" s="80">
        <v>46023</v>
      </c>
      <c r="AL155" s="80">
        <v>46387</v>
      </c>
      <c r="AM155" s="79"/>
      <c r="AN155" s="79"/>
      <c r="AO155" s="79"/>
      <c r="AP155" s="81" t="s">
        <v>540</v>
      </c>
      <c r="AQ155" s="80" cm="1">
        <f t="array" ref="AQ155">IFERROR(DATE(2026, _xlfn.AGGREGATE(15, 6, (COLUMN(CI155:CT155)-COLUMN(CI155)+1)/(CI155:CT155&lt;&gt;0), 1), 1),"N/A")</f>
        <v>46174</v>
      </c>
      <c r="AR155" s="80" cm="1">
        <f t="array" ref="AR155">IFERROR(EOMONTH(DATE(2026, _xlfn.AGGREGATE(14, 6, (COLUMN(CI155:CT155)-COLUMN(CI155)+1)/(CI155:CT155&lt;&gt;0), 1), 1), 0),"N/A")</f>
        <v>46203</v>
      </c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4" t="s">
        <v>586</v>
      </c>
      <c r="BG155" s="74"/>
      <c r="BH155" s="74" t="s">
        <v>848</v>
      </c>
      <c r="BI155" s="74" t="s">
        <v>137</v>
      </c>
      <c r="BJ155" s="78">
        <v>530404</v>
      </c>
      <c r="BK155" s="82" t="s">
        <v>74</v>
      </c>
      <c r="BL155" s="83">
        <v>1000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84">
        <v>1000</v>
      </c>
      <c r="BS155" s="73">
        <v>0</v>
      </c>
      <c r="BT155" s="73">
        <v>0</v>
      </c>
      <c r="BU155" s="73">
        <v>0</v>
      </c>
      <c r="BV155" s="73">
        <v>0</v>
      </c>
      <c r="BW155" s="73">
        <v>0</v>
      </c>
      <c r="BX155" s="73">
        <v>0</v>
      </c>
      <c r="BY155" s="73"/>
      <c r="BZ155" s="73"/>
      <c r="CA155" s="73"/>
      <c r="CB155" s="73"/>
      <c r="CC155" s="73"/>
      <c r="CD155" s="73"/>
      <c r="CE155" s="73"/>
      <c r="CF155" s="73"/>
      <c r="CG155" s="73"/>
      <c r="CH155" s="73">
        <f t="shared" si="4"/>
        <v>1000</v>
      </c>
      <c r="CI155" s="73"/>
      <c r="CJ155" s="73"/>
      <c r="CK155" s="72">
        <v>0</v>
      </c>
      <c r="CL155" s="73">
        <v>0</v>
      </c>
      <c r="CM155" s="73">
        <v>0</v>
      </c>
      <c r="CN155" s="84">
        <v>1000</v>
      </c>
      <c r="CO155" s="73">
        <v>0</v>
      </c>
      <c r="CP155" s="73">
        <v>0</v>
      </c>
      <c r="CQ155" s="73">
        <v>0</v>
      </c>
      <c r="CR155" s="73">
        <v>0</v>
      </c>
      <c r="CS155" s="73">
        <v>0</v>
      </c>
      <c r="CT155" s="73">
        <v>0</v>
      </c>
      <c r="CU155" s="73"/>
      <c r="CV155" s="84">
        <f t="shared" si="5"/>
        <v>0</v>
      </c>
      <c r="CW155" s="84"/>
      <c r="CX155" s="74"/>
      <c r="CY155" s="74"/>
      <c r="CZ155" s="74"/>
      <c r="DA155" s="74"/>
      <c r="DB155" s="74"/>
      <c r="DC155" s="74"/>
      <c r="DD155" s="74"/>
    </row>
    <row r="156" spans="1:108" s="68" customFormat="1" ht="15" hidden="1" customHeight="1" x14ac:dyDescent="0.25">
      <c r="A156" s="74" t="s">
        <v>690</v>
      </c>
      <c r="B156" s="74" t="s">
        <v>154</v>
      </c>
      <c r="C156" s="74" t="s">
        <v>172</v>
      </c>
      <c r="D156" s="74" t="s">
        <v>196</v>
      </c>
      <c r="E156" s="74" t="s">
        <v>309</v>
      </c>
      <c r="F156" s="74" t="s">
        <v>550</v>
      </c>
      <c r="G156" s="74" t="s">
        <v>137</v>
      </c>
      <c r="H156" s="74" t="s">
        <v>137</v>
      </c>
      <c r="I156" s="74" t="s">
        <v>66</v>
      </c>
      <c r="J156" s="74" t="s">
        <v>29</v>
      </c>
      <c r="K156" s="82" t="s">
        <v>137</v>
      </c>
      <c r="L156" s="82" t="s">
        <v>137</v>
      </c>
      <c r="M156" s="82" t="s">
        <v>137</v>
      </c>
      <c r="N156" s="82" t="s">
        <v>137</v>
      </c>
      <c r="O156" s="82" t="s">
        <v>137</v>
      </c>
      <c r="P156" s="82" t="s">
        <v>137</v>
      </c>
      <c r="Q156" s="74" t="s">
        <v>87</v>
      </c>
      <c r="R156" s="74" t="s">
        <v>709</v>
      </c>
      <c r="S156" s="74" t="s">
        <v>40</v>
      </c>
      <c r="T156" s="74" t="s">
        <v>2</v>
      </c>
      <c r="U156" s="75"/>
      <c r="V156" s="75">
        <v>0.05</v>
      </c>
      <c r="W156" s="75">
        <v>0.08</v>
      </c>
      <c r="X156" s="75">
        <v>0.15</v>
      </c>
      <c r="Y156" s="75">
        <v>0.2</v>
      </c>
      <c r="Z156" s="75">
        <v>0.25</v>
      </c>
      <c r="AA156" s="75">
        <v>0.37</v>
      </c>
      <c r="AB156" s="75">
        <v>0.42</v>
      </c>
      <c r="AC156" s="75">
        <v>0.57999999999999996</v>
      </c>
      <c r="AD156" s="75">
        <v>0.67</v>
      </c>
      <c r="AE156" s="75">
        <v>0.83</v>
      </c>
      <c r="AF156" s="75">
        <v>1</v>
      </c>
      <c r="AG156" s="74" t="s">
        <v>533</v>
      </c>
      <c r="AH156" s="74" t="s">
        <v>530</v>
      </c>
      <c r="AI156" s="78" t="s">
        <v>539</v>
      </c>
      <c r="AJ156" s="79" t="s">
        <v>539</v>
      </c>
      <c r="AK156" s="80">
        <v>46023</v>
      </c>
      <c r="AL156" s="80">
        <v>46387</v>
      </c>
      <c r="AM156" s="79"/>
      <c r="AN156" s="79"/>
      <c r="AO156" s="79"/>
      <c r="AP156" s="81" t="s">
        <v>540</v>
      </c>
      <c r="AQ156" s="80" cm="1">
        <f t="array" ref="AQ156">IFERROR(DATE(2026, _xlfn.AGGREGATE(15, 6, (COLUMN(CI156:CT156)-COLUMN(CI156)+1)/(CI156:CT156&lt;&gt;0), 1), 1),"N/A")</f>
        <v>46174</v>
      </c>
      <c r="AR156" s="80" cm="1">
        <f t="array" ref="AR156">IFERROR(EOMONTH(DATE(2026, _xlfn.AGGREGATE(14, 6, (COLUMN(CI156:CT156)-COLUMN(CI156)+1)/(CI156:CT156&lt;&gt;0), 1), 1), 0),"N/A")</f>
        <v>46203</v>
      </c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4" t="s">
        <v>1051</v>
      </c>
      <c r="BG156" s="74"/>
      <c r="BH156" s="74" t="s">
        <v>1052</v>
      </c>
      <c r="BI156" s="74" t="s">
        <v>137</v>
      </c>
      <c r="BJ156" s="78">
        <v>530404</v>
      </c>
      <c r="BK156" s="82" t="s">
        <v>74</v>
      </c>
      <c r="BL156" s="83">
        <v>0</v>
      </c>
      <c r="BM156" s="73"/>
      <c r="BN156" s="73"/>
      <c r="BO156" s="73"/>
      <c r="BP156" s="73"/>
      <c r="BQ156" s="73"/>
      <c r="BR156" s="73"/>
      <c r="BS156" s="73"/>
      <c r="BT156" s="73"/>
      <c r="BU156" s="84"/>
      <c r="BV156" s="73"/>
      <c r="BW156" s="73"/>
      <c r="BX156" s="73"/>
      <c r="BY156" s="73"/>
      <c r="BZ156" s="73"/>
      <c r="CA156" s="73">
        <v>1600</v>
      </c>
      <c r="CB156" s="73"/>
      <c r="CC156" s="73"/>
      <c r="CD156" s="73"/>
      <c r="CE156" s="73"/>
      <c r="CF156" s="73"/>
      <c r="CG156" s="73"/>
      <c r="CH156" s="73">
        <f t="shared" si="4"/>
        <v>1600</v>
      </c>
      <c r="CI156" s="73"/>
      <c r="CJ156" s="73"/>
      <c r="CK156" s="72"/>
      <c r="CL156" s="73"/>
      <c r="CM156" s="73"/>
      <c r="CN156" s="73">
        <v>1600</v>
      </c>
      <c r="CO156" s="73"/>
      <c r="CP156" s="73"/>
      <c r="CQ156" s="84"/>
      <c r="CR156" s="73"/>
      <c r="CS156" s="73"/>
      <c r="CT156" s="73"/>
      <c r="CU156" s="73"/>
      <c r="CV156" s="84">
        <f t="shared" si="5"/>
        <v>0</v>
      </c>
      <c r="CW156" s="84"/>
      <c r="CX156" s="74"/>
      <c r="CY156" s="74"/>
      <c r="CZ156" s="74"/>
      <c r="DA156" s="85"/>
      <c r="DB156" s="74"/>
      <c r="DC156" s="74"/>
      <c r="DD156" s="74"/>
    </row>
    <row r="157" spans="1:108" s="68" customFormat="1" ht="15" customHeight="1" x14ac:dyDescent="0.25">
      <c r="A157" s="74" t="s">
        <v>691</v>
      </c>
      <c r="B157" s="74" t="s">
        <v>154</v>
      </c>
      <c r="C157" s="74" t="s">
        <v>172</v>
      </c>
      <c r="D157" s="74" t="s">
        <v>196</v>
      </c>
      <c r="E157" s="74" t="s">
        <v>309</v>
      </c>
      <c r="F157" s="74" t="s">
        <v>550</v>
      </c>
      <c r="G157" s="74" t="s">
        <v>137</v>
      </c>
      <c r="H157" s="74" t="s">
        <v>137</v>
      </c>
      <c r="I157" s="74" t="s">
        <v>66</v>
      </c>
      <c r="J157" s="74" t="s">
        <v>29</v>
      </c>
      <c r="K157" s="82" t="s">
        <v>137</v>
      </c>
      <c r="L157" s="82" t="s">
        <v>137</v>
      </c>
      <c r="M157" s="82" t="s">
        <v>137</v>
      </c>
      <c r="N157" s="82" t="s">
        <v>137</v>
      </c>
      <c r="O157" s="82" t="s">
        <v>137</v>
      </c>
      <c r="P157" s="82" t="s">
        <v>137</v>
      </c>
      <c r="Q157" s="74" t="s">
        <v>87</v>
      </c>
      <c r="R157" s="74" t="s">
        <v>709</v>
      </c>
      <c r="S157" s="74" t="s">
        <v>40</v>
      </c>
      <c r="T157" s="74" t="s">
        <v>2</v>
      </c>
      <c r="U157" s="75"/>
      <c r="V157" s="75">
        <v>0.05</v>
      </c>
      <c r="W157" s="75">
        <v>0.08</v>
      </c>
      <c r="X157" s="75">
        <v>0.15</v>
      </c>
      <c r="Y157" s="75">
        <v>0.2</v>
      </c>
      <c r="Z157" s="75">
        <v>0.25</v>
      </c>
      <c r="AA157" s="75">
        <v>0.37</v>
      </c>
      <c r="AB157" s="75">
        <v>0.42</v>
      </c>
      <c r="AC157" s="75">
        <v>0.57999999999999996</v>
      </c>
      <c r="AD157" s="75">
        <v>0.67</v>
      </c>
      <c r="AE157" s="75">
        <v>0.83</v>
      </c>
      <c r="AF157" s="75">
        <v>1</v>
      </c>
      <c r="AG157" s="74" t="s">
        <v>533</v>
      </c>
      <c r="AH157" s="74" t="s">
        <v>530</v>
      </c>
      <c r="AI157" s="78" t="s">
        <v>539</v>
      </c>
      <c r="AJ157" s="79" t="s">
        <v>539</v>
      </c>
      <c r="AK157" s="80">
        <v>46023</v>
      </c>
      <c r="AL157" s="80">
        <v>46387</v>
      </c>
      <c r="AM157" s="79"/>
      <c r="AN157" s="79"/>
      <c r="AO157" s="79"/>
      <c r="AP157" s="81" t="s">
        <v>540</v>
      </c>
      <c r="AQ157" s="80" cm="1">
        <f t="array" ref="AQ157">IFERROR(DATE(2026, _xlfn.AGGREGATE(15, 6, (COLUMN(CI157:CT157)-COLUMN(CI157)+1)/(CI157:CT157&lt;&gt;0), 1), 1),"N/A")</f>
        <v>46296</v>
      </c>
      <c r="AR157" s="80" cm="1">
        <f t="array" ref="AR157">IFERROR(EOMONTH(DATE(2026, _xlfn.AGGREGATE(14, 6, (COLUMN(CI157:CT157)-COLUMN(CI157)+1)/(CI157:CT157&lt;&gt;0), 1), 1), 0),"N/A")</f>
        <v>46326</v>
      </c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4" t="s">
        <v>591</v>
      </c>
      <c r="BG157" s="74" t="s">
        <v>1009</v>
      </c>
      <c r="BH157" s="74" t="s">
        <v>849</v>
      </c>
      <c r="BI157" s="74" t="s">
        <v>137</v>
      </c>
      <c r="BJ157" s="78">
        <v>530704</v>
      </c>
      <c r="BK157" s="82" t="s">
        <v>74</v>
      </c>
      <c r="BL157" s="83">
        <v>1000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84">
        <v>1000</v>
      </c>
      <c r="BW157" s="73">
        <v>0</v>
      </c>
      <c r="BX157" s="73">
        <v>0</v>
      </c>
      <c r="BY157" s="73"/>
      <c r="BZ157" s="73"/>
      <c r="CA157" s="73"/>
      <c r="CB157" s="73"/>
      <c r="CC157" s="73"/>
      <c r="CD157" s="73"/>
      <c r="CE157" s="73"/>
      <c r="CF157" s="73"/>
      <c r="CG157" s="73"/>
      <c r="CH157" s="73">
        <f t="shared" si="4"/>
        <v>1000</v>
      </c>
      <c r="CI157" s="73"/>
      <c r="CJ157" s="73"/>
      <c r="CK157" s="72">
        <v>0</v>
      </c>
      <c r="CL157" s="73">
        <v>0</v>
      </c>
      <c r="CM157" s="73">
        <v>0</v>
      </c>
      <c r="CN157" s="73">
        <v>0</v>
      </c>
      <c r="CO157" s="73">
        <v>0</v>
      </c>
      <c r="CP157" s="73">
        <v>0</v>
      </c>
      <c r="CQ157" s="73">
        <v>0</v>
      </c>
      <c r="CR157" s="84">
        <v>1000</v>
      </c>
      <c r="CS157" s="73">
        <v>0</v>
      </c>
      <c r="CT157" s="73">
        <v>0</v>
      </c>
      <c r="CU157" s="73"/>
      <c r="CV157" s="84">
        <f t="shared" si="5"/>
        <v>0</v>
      </c>
      <c r="CW157" s="84"/>
      <c r="CX157" s="74"/>
      <c r="CY157" s="74"/>
      <c r="CZ157" s="74"/>
      <c r="DA157" s="74"/>
      <c r="DB157" s="74"/>
      <c r="DC157" s="74"/>
      <c r="DD157" s="74"/>
    </row>
    <row r="158" spans="1:108" s="68" customFormat="1" ht="15" customHeight="1" x14ac:dyDescent="0.25">
      <c r="A158" s="74" t="s">
        <v>691</v>
      </c>
      <c r="B158" s="74" t="s">
        <v>154</v>
      </c>
      <c r="C158" s="74" t="s">
        <v>172</v>
      </c>
      <c r="D158" s="74" t="s">
        <v>196</v>
      </c>
      <c r="E158" s="74" t="s">
        <v>309</v>
      </c>
      <c r="F158" s="74" t="s">
        <v>550</v>
      </c>
      <c r="G158" s="74" t="s">
        <v>137</v>
      </c>
      <c r="H158" s="74" t="s">
        <v>137</v>
      </c>
      <c r="I158" s="74" t="s">
        <v>66</v>
      </c>
      <c r="J158" s="74" t="s">
        <v>29</v>
      </c>
      <c r="K158" s="82" t="s">
        <v>137</v>
      </c>
      <c r="L158" s="82" t="s">
        <v>137</v>
      </c>
      <c r="M158" s="82" t="s">
        <v>137</v>
      </c>
      <c r="N158" s="82" t="s">
        <v>137</v>
      </c>
      <c r="O158" s="82" t="s">
        <v>137</v>
      </c>
      <c r="P158" s="82" t="s">
        <v>137</v>
      </c>
      <c r="Q158" s="74" t="s">
        <v>87</v>
      </c>
      <c r="R158" s="74" t="s">
        <v>709</v>
      </c>
      <c r="S158" s="74" t="s">
        <v>40</v>
      </c>
      <c r="T158" s="74" t="s">
        <v>2</v>
      </c>
      <c r="U158" s="75"/>
      <c r="V158" s="75">
        <v>0.05</v>
      </c>
      <c r="W158" s="75">
        <v>0.08</v>
      </c>
      <c r="X158" s="75">
        <v>0.15</v>
      </c>
      <c r="Y158" s="75">
        <v>0.2</v>
      </c>
      <c r="Z158" s="75">
        <v>0.25</v>
      </c>
      <c r="AA158" s="75">
        <v>0.37</v>
      </c>
      <c r="AB158" s="75">
        <v>0.42</v>
      </c>
      <c r="AC158" s="75">
        <v>0.57999999999999996</v>
      </c>
      <c r="AD158" s="75">
        <v>0.67</v>
      </c>
      <c r="AE158" s="75">
        <v>0.83</v>
      </c>
      <c r="AF158" s="75">
        <v>1</v>
      </c>
      <c r="AG158" s="74" t="s">
        <v>533</v>
      </c>
      <c r="AH158" s="74" t="s">
        <v>530</v>
      </c>
      <c r="AI158" s="78" t="s">
        <v>539</v>
      </c>
      <c r="AJ158" s="79" t="s">
        <v>539</v>
      </c>
      <c r="AK158" s="80">
        <v>46023</v>
      </c>
      <c r="AL158" s="80">
        <v>46387</v>
      </c>
      <c r="AM158" s="79"/>
      <c r="AN158" s="79"/>
      <c r="AO158" s="79"/>
      <c r="AP158" s="81" t="s">
        <v>540</v>
      </c>
      <c r="AQ158" s="80" cm="1">
        <f t="array" ref="AQ158">IFERROR(DATE(2026, _xlfn.AGGREGATE(15, 6, (COLUMN(CI158:CT158)-COLUMN(CI158)+1)/(CI158:CT158&lt;&gt;0), 1), 1),"N/A")</f>
        <v>46296</v>
      </c>
      <c r="AR158" s="80" cm="1">
        <f t="array" ref="AR158">IFERROR(EOMONTH(DATE(2026, _xlfn.AGGREGATE(14, 6, (COLUMN(CI158:CT158)-COLUMN(CI158)+1)/(CI158:CT158&lt;&gt;0), 1), 1), 0),"N/A")</f>
        <v>46326</v>
      </c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4" t="s">
        <v>603</v>
      </c>
      <c r="BG158" s="74" t="s">
        <v>1009</v>
      </c>
      <c r="BH158" s="74" t="s">
        <v>859</v>
      </c>
      <c r="BI158" s="74" t="s">
        <v>137</v>
      </c>
      <c r="BJ158" s="78">
        <v>530704</v>
      </c>
      <c r="BK158" s="82" t="s">
        <v>74</v>
      </c>
      <c r="BL158" s="83">
        <v>2000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84">
        <v>2000</v>
      </c>
      <c r="BW158" s="73">
        <v>0</v>
      </c>
      <c r="BX158" s="73">
        <v>0</v>
      </c>
      <c r="BY158" s="73"/>
      <c r="BZ158" s="73"/>
      <c r="CA158" s="73"/>
      <c r="CB158" s="73"/>
      <c r="CC158" s="73"/>
      <c r="CD158" s="73"/>
      <c r="CE158" s="73"/>
      <c r="CF158" s="73"/>
      <c r="CG158" s="73"/>
      <c r="CH158" s="73">
        <f t="shared" si="4"/>
        <v>2000</v>
      </c>
      <c r="CI158" s="73"/>
      <c r="CJ158" s="73"/>
      <c r="CK158" s="72">
        <v>0</v>
      </c>
      <c r="CL158" s="73">
        <v>0</v>
      </c>
      <c r="CM158" s="73">
        <v>0</v>
      </c>
      <c r="CN158" s="73">
        <v>0</v>
      </c>
      <c r="CO158" s="73">
        <v>0</v>
      </c>
      <c r="CP158" s="73">
        <v>0</v>
      </c>
      <c r="CQ158" s="73">
        <v>0</v>
      </c>
      <c r="CR158" s="84">
        <v>2000</v>
      </c>
      <c r="CS158" s="73">
        <v>0</v>
      </c>
      <c r="CT158" s="73">
        <v>0</v>
      </c>
      <c r="CU158" s="73"/>
      <c r="CV158" s="84">
        <f t="shared" si="5"/>
        <v>0</v>
      </c>
      <c r="CW158" s="84"/>
      <c r="CX158" s="74"/>
      <c r="CY158" s="74"/>
      <c r="CZ158" s="74"/>
      <c r="DA158" s="74"/>
      <c r="DB158" s="74"/>
      <c r="DC158" s="74"/>
      <c r="DD158" s="74"/>
    </row>
    <row r="159" spans="1:108" s="68" customFormat="1" ht="15" customHeight="1" x14ac:dyDescent="0.25">
      <c r="A159" s="74" t="s">
        <v>691</v>
      </c>
      <c r="B159" s="74" t="s">
        <v>154</v>
      </c>
      <c r="C159" s="74" t="s">
        <v>172</v>
      </c>
      <c r="D159" s="74" t="s">
        <v>196</v>
      </c>
      <c r="E159" s="74" t="s">
        <v>309</v>
      </c>
      <c r="F159" s="74" t="s">
        <v>550</v>
      </c>
      <c r="G159" s="74" t="s">
        <v>137</v>
      </c>
      <c r="H159" s="74" t="s">
        <v>137</v>
      </c>
      <c r="I159" s="74" t="s">
        <v>66</v>
      </c>
      <c r="J159" s="74" t="s">
        <v>29</v>
      </c>
      <c r="K159" s="82" t="s">
        <v>137</v>
      </c>
      <c r="L159" s="82" t="s">
        <v>137</v>
      </c>
      <c r="M159" s="82" t="s">
        <v>137</v>
      </c>
      <c r="N159" s="82" t="s">
        <v>137</v>
      </c>
      <c r="O159" s="82" t="s">
        <v>137</v>
      </c>
      <c r="P159" s="82" t="s">
        <v>137</v>
      </c>
      <c r="Q159" s="74" t="s">
        <v>87</v>
      </c>
      <c r="R159" s="74" t="s">
        <v>709</v>
      </c>
      <c r="S159" s="74" t="s">
        <v>40</v>
      </c>
      <c r="T159" s="74" t="s">
        <v>2</v>
      </c>
      <c r="U159" s="75"/>
      <c r="V159" s="75">
        <v>0.05</v>
      </c>
      <c r="W159" s="75">
        <v>0.08</v>
      </c>
      <c r="X159" s="75">
        <v>0.15</v>
      </c>
      <c r="Y159" s="75">
        <v>0.2</v>
      </c>
      <c r="Z159" s="75">
        <v>0.25</v>
      </c>
      <c r="AA159" s="75">
        <v>0.37</v>
      </c>
      <c r="AB159" s="75">
        <v>0.42</v>
      </c>
      <c r="AC159" s="75">
        <v>0.57999999999999996</v>
      </c>
      <c r="AD159" s="75">
        <v>0.67</v>
      </c>
      <c r="AE159" s="75">
        <v>0.83</v>
      </c>
      <c r="AF159" s="75">
        <v>1</v>
      </c>
      <c r="AG159" s="74" t="s">
        <v>533</v>
      </c>
      <c r="AH159" s="74" t="s">
        <v>530</v>
      </c>
      <c r="AI159" s="78" t="s">
        <v>539</v>
      </c>
      <c r="AJ159" s="79" t="s">
        <v>539</v>
      </c>
      <c r="AK159" s="80">
        <v>46023</v>
      </c>
      <c r="AL159" s="80">
        <v>46387</v>
      </c>
      <c r="AM159" s="79"/>
      <c r="AN159" s="79"/>
      <c r="AO159" s="79"/>
      <c r="AP159" s="81" t="s">
        <v>540</v>
      </c>
      <c r="AQ159" s="80" t="str" cm="1">
        <f t="array" ref="AQ159">IFERROR(DATE(2026, _xlfn.AGGREGATE(15, 6, (COLUMN(CI159:CT159)-COLUMN(CI159)+1)/(CI159:CT159&lt;&gt;0), 1), 1),"N/A")</f>
        <v>N/A</v>
      </c>
      <c r="AR159" s="80" t="str" cm="1">
        <f t="array" ref="AR159">IFERROR(EOMONTH(DATE(2026, _xlfn.AGGREGATE(14, 6, (COLUMN(CI159:CT159)-COLUMN(CI159)+1)/(CI159:CT159&lt;&gt;0), 1), 1), 0),"N/A")</f>
        <v>N/A</v>
      </c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4" t="s">
        <v>592</v>
      </c>
      <c r="BG159" s="74" t="s">
        <v>1009</v>
      </c>
      <c r="BH159" s="74" t="s">
        <v>891</v>
      </c>
      <c r="BI159" s="74" t="s">
        <v>137</v>
      </c>
      <c r="BJ159" s="78">
        <v>530704</v>
      </c>
      <c r="BK159" s="82" t="s">
        <v>74</v>
      </c>
      <c r="BL159" s="83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4">
        <v>1000</v>
      </c>
      <c r="BW159" s="73">
        <v>0</v>
      </c>
      <c r="BX159" s="73">
        <v>0</v>
      </c>
      <c r="BY159" s="73">
        <v>-1000</v>
      </c>
      <c r="BZ159" s="73"/>
      <c r="CA159" s="73"/>
      <c r="CB159" s="73"/>
      <c r="CC159" s="73"/>
      <c r="CD159" s="73"/>
      <c r="CE159" s="73"/>
      <c r="CF159" s="73"/>
      <c r="CG159" s="73"/>
      <c r="CH159" s="73">
        <f t="shared" si="4"/>
        <v>0</v>
      </c>
      <c r="CI159" s="73"/>
      <c r="CJ159" s="73"/>
      <c r="CK159" s="72">
        <v>0</v>
      </c>
      <c r="CL159" s="73">
        <v>0</v>
      </c>
      <c r="CM159" s="73">
        <v>0</v>
      </c>
      <c r="CN159" s="73">
        <v>0</v>
      </c>
      <c r="CO159" s="73">
        <v>0</v>
      </c>
      <c r="CP159" s="73">
        <v>0</v>
      </c>
      <c r="CQ159" s="73">
        <v>0</v>
      </c>
      <c r="CR159" s="84">
        <v>0</v>
      </c>
      <c r="CS159" s="73">
        <v>0</v>
      </c>
      <c r="CT159" s="73">
        <v>0</v>
      </c>
      <c r="CU159" s="73"/>
      <c r="CV159" s="84">
        <f t="shared" si="5"/>
        <v>0</v>
      </c>
      <c r="CW159" s="84"/>
      <c r="CX159" s="74"/>
      <c r="CY159" s="74"/>
      <c r="CZ159" s="74"/>
      <c r="DA159" s="74"/>
      <c r="DB159" s="74"/>
      <c r="DC159" s="74"/>
      <c r="DD159" s="74"/>
    </row>
    <row r="160" spans="1:108" s="68" customFormat="1" ht="15" customHeight="1" x14ac:dyDescent="0.25">
      <c r="A160" s="74" t="s">
        <v>691</v>
      </c>
      <c r="B160" s="74" t="s">
        <v>154</v>
      </c>
      <c r="C160" s="74" t="s">
        <v>172</v>
      </c>
      <c r="D160" s="74" t="s">
        <v>196</v>
      </c>
      <c r="E160" s="74" t="s">
        <v>309</v>
      </c>
      <c r="F160" s="74" t="s">
        <v>550</v>
      </c>
      <c r="G160" s="74" t="s">
        <v>137</v>
      </c>
      <c r="H160" s="74" t="s">
        <v>137</v>
      </c>
      <c r="I160" s="74" t="s">
        <v>66</v>
      </c>
      <c r="J160" s="74" t="s">
        <v>29</v>
      </c>
      <c r="K160" s="82" t="s">
        <v>137</v>
      </c>
      <c r="L160" s="82" t="s">
        <v>137</v>
      </c>
      <c r="M160" s="82" t="s">
        <v>137</v>
      </c>
      <c r="N160" s="82" t="s">
        <v>137</v>
      </c>
      <c r="O160" s="82" t="s">
        <v>137</v>
      </c>
      <c r="P160" s="82" t="s">
        <v>137</v>
      </c>
      <c r="Q160" s="74" t="s">
        <v>87</v>
      </c>
      <c r="R160" s="74" t="s">
        <v>709</v>
      </c>
      <c r="S160" s="74" t="s">
        <v>40</v>
      </c>
      <c r="T160" s="74" t="s">
        <v>2</v>
      </c>
      <c r="U160" s="75"/>
      <c r="V160" s="75">
        <v>0.05</v>
      </c>
      <c r="W160" s="75">
        <v>0.08</v>
      </c>
      <c r="X160" s="75">
        <v>0.15</v>
      </c>
      <c r="Y160" s="75">
        <v>0.2</v>
      </c>
      <c r="Z160" s="75">
        <v>0.25</v>
      </c>
      <c r="AA160" s="75">
        <v>0.37</v>
      </c>
      <c r="AB160" s="75">
        <v>0.42</v>
      </c>
      <c r="AC160" s="75">
        <v>0.57999999999999996</v>
      </c>
      <c r="AD160" s="75">
        <v>0.67</v>
      </c>
      <c r="AE160" s="75">
        <v>0.83</v>
      </c>
      <c r="AF160" s="75">
        <v>1</v>
      </c>
      <c r="AG160" s="74" t="s">
        <v>533</v>
      </c>
      <c r="AH160" s="74" t="s">
        <v>530</v>
      </c>
      <c r="AI160" s="78" t="s">
        <v>539</v>
      </c>
      <c r="AJ160" s="79" t="s">
        <v>539</v>
      </c>
      <c r="AK160" s="80">
        <v>46023</v>
      </c>
      <c r="AL160" s="80">
        <v>46387</v>
      </c>
      <c r="AM160" s="79"/>
      <c r="AN160" s="79"/>
      <c r="AO160" s="79"/>
      <c r="AP160" s="81" t="s">
        <v>540</v>
      </c>
      <c r="AQ160" s="80" cm="1">
        <f t="array" ref="AQ160">IFERROR(DATE(2026, _xlfn.AGGREGATE(15, 6, (COLUMN(CI160:CT160)-COLUMN(CI160)+1)/(CI160:CT160&lt;&gt;0), 1), 1),"N/A")</f>
        <v>46296</v>
      </c>
      <c r="AR160" s="80" cm="1">
        <f t="array" ref="AR160">IFERROR(EOMONTH(DATE(2026, _xlfn.AGGREGATE(14, 6, (COLUMN(CI160:CT160)-COLUMN(CI160)+1)/(CI160:CT160&lt;&gt;0), 1), 1), 0),"N/A")</f>
        <v>46326</v>
      </c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4" t="s">
        <v>593</v>
      </c>
      <c r="BG160" s="74" t="s">
        <v>1009</v>
      </c>
      <c r="BH160" s="74" t="s">
        <v>892</v>
      </c>
      <c r="BI160" s="74" t="s">
        <v>137</v>
      </c>
      <c r="BJ160" s="78">
        <v>530704</v>
      </c>
      <c r="BK160" s="82" t="s">
        <v>74</v>
      </c>
      <c r="BL160" s="83">
        <v>1000</v>
      </c>
      <c r="BM160" s="73">
        <v>0</v>
      </c>
      <c r="BN160" s="73">
        <v>0</v>
      </c>
      <c r="BO160" s="73">
        <v>0</v>
      </c>
      <c r="BP160" s="73">
        <v>0</v>
      </c>
      <c r="BQ160" s="73">
        <v>0</v>
      </c>
      <c r="BR160" s="73">
        <v>0</v>
      </c>
      <c r="BS160" s="73">
        <v>0</v>
      </c>
      <c r="BT160" s="73">
        <v>0</v>
      </c>
      <c r="BU160" s="73">
        <v>0</v>
      </c>
      <c r="BV160" s="84">
        <v>1000</v>
      </c>
      <c r="BW160" s="73">
        <v>0</v>
      </c>
      <c r="BX160" s="73">
        <v>0</v>
      </c>
      <c r="BY160" s="73"/>
      <c r="BZ160" s="73"/>
      <c r="CA160" s="73"/>
      <c r="CB160" s="73"/>
      <c r="CC160" s="73"/>
      <c r="CD160" s="73"/>
      <c r="CE160" s="73"/>
      <c r="CF160" s="73"/>
      <c r="CG160" s="73"/>
      <c r="CH160" s="73">
        <f t="shared" si="4"/>
        <v>1000</v>
      </c>
      <c r="CI160" s="73"/>
      <c r="CJ160" s="73"/>
      <c r="CK160" s="72">
        <v>0</v>
      </c>
      <c r="CL160" s="73">
        <v>0</v>
      </c>
      <c r="CM160" s="73">
        <v>0</v>
      </c>
      <c r="CN160" s="73">
        <v>0</v>
      </c>
      <c r="CO160" s="73">
        <v>0</v>
      </c>
      <c r="CP160" s="73">
        <v>0</v>
      </c>
      <c r="CQ160" s="73">
        <v>0</v>
      </c>
      <c r="CR160" s="84">
        <v>1000</v>
      </c>
      <c r="CS160" s="73">
        <v>0</v>
      </c>
      <c r="CT160" s="73">
        <v>0</v>
      </c>
      <c r="CU160" s="73"/>
      <c r="CV160" s="84">
        <f t="shared" si="5"/>
        <v>0</v>
      </c>
      <c r="CW160" s="84"/>
      <c r="CX160" s="74"/>
      <c r="CY160" s="74"/>
      <c r="CZ160" s="74"/>
      <c r="DA160" s="74"/>
      <c r="DB160" s="74"/>
      <c r="DC160" s="74"/>
      <c r="DD160" s="74"/>
    </row>
    <row r="161" spans="1:108" s="68" customFormat="1" ht="15" customHeight="1" x14ac:dyDescent="0.25">
      <c r="A161" s="74" t="s">
        <v>691</v>
      </c>
      <c r="B161" s="74" t="s">
        <v>154</v>
      </c>
      <c r="C161" s="74" t="s">
        <v>172</v>
      </c>
      <c r="D161" s="74" t="s">
        <v>196</v>
      </c>
      <c r="E161" s="74" t="s">
        <v>309</v>
      </c>
      <c r="F161" s="74" t="s">
        <v>550</v>
      </c>
      <c r="G161" s="74" t="s">
        <v>137</v>
      </c>
      <c r="H161" s="74" t="s">
        <v>137</v>
      </c>
      <c r="I161" s="74" t="s">
        <v>66</v>
      </c>
      <c r="J161" s="74" t="s">
        <v>29</v>
      </c>
      <c r="K161" s="82" t="s">
        <v>137</v>
      </c>
      <c r="L161" s="82" t="s">
        <v>137</v>
      </c>
      <c r="M161" s="82" t="s">
        <v>137</v>
      </c>
      <c r="N161" s="82" t="s">
        <v>137</v>
      </c>
      <c r="O161" s="82" t="s">
        <v>137</v>
      </c>
      <c r="P161" s="82" t="s">
        <v>137</v>
      </c>
      <c r="Q161" s="74" t="s">
        <v>87</v>
      </c>
      <c r="R161" s="74" t="s">
        <v>709</v>
      </c>
      <c r="S161" s="74" t="s">
        <v>40</v>
      </c>
      <c r="T161" s="74" t="s">
        <v>2</v>
      </c>
      <c r="U161" s="75"/>
      <c r="V161" s="75">
        <v>0.05</v>
      </c>
      <c r="W161" s="75">
        <v>0.08</v>
      </c>
      <c r="X161" s="75">
        <v>0.15</v>
      </c>
      <c r="Y161" s="75">
        <v>0.2</v>
      </c>
      <c r="Z161" s="75">
        <v>0.25</v>
      </c>
      <c r="AA161" s="75">
        <v>0.37</v>
      </c>
      <c r="AB161" s="75">
        <v>0.42</v>
      </c>
      <c r="AC161" s="75">
        <v>0.57999999999999996</v>
      </c>
      <c r="AD161" s="75">
        <v>0.67</v>
      </c>
      <c r="AE161" s="75">
        <v>0.83</v>
      </c>
      <c r="AF161" s="75">
        <v>1</v>
      </c>
      <c r="AG161" s="74" t="s">
        <v>533</v>
      </c>
      <c r="AH161" s="74" t="s">
        <v>530</v>
      </c>
      <c r="AI161" s="78" t="s">
        <v>539</v>
      </c>
      <c r="AJ161" s="79" t="s">
        <v>539</v>
      </c>
      <c r="AK161" s="80">
        <v>46023</v>
      </c>
      <c r="AL161" s="80">
        <v>46387</v>
      </c>
      <c r="AM161" s="79"/>
      <c r="AN161" s="79"/>
      <c r="AO161" s="79"/>
      <c r="AP161" s="81" t="s">
        <v>540</v>
      </c>
      <c r="AQ161" s="80" cm="1">
        <f t="array" ref="AQ161">IFERROR(DATE(2026, _xlfn.AGGREGATE(15, 6, (COLUMN(CI161:CT161)-COLUMN(CI161)+1)/(CI161:CT161&lt;&gt;0), 1), 1),"N/A")</f>
        <v>46327</v>
      </c>
      <c r="AR161" s="80" cm="1">
        <f t="array" ref="AR161">IFERROR(EOMONTH(DATE(2026, _xlfn.AGGREGATE(14, 6, (COLUMN(CI161:CT161)-COLUMN(CI161)+1)/(CI161:CT161&lt;&gt;0), 1), 1), 0),"N/A")</f>
        <v>46356</v>
      </c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4" t="s">
        <v>596</v>
      </c>
      <c r="BG161" s="74" t="s">
        <v>1009</v>
      </c>
      <c r="BH161" s="74" t="s">
        <v>850</v>
      </c>
      <c r="BI161" s="74" t="s">
        <v>137</v>
      </c>
      <c r="BJ161" s="78">
        <v>530704</v>
      </c>
      <c r="BK161" s="82" t="s">
        <v>74</v>
      </c>
      <c r="BL161" s="83">
        <v>1100</v>
      </c>
      <c r="BM161" s="73">
        <v>0</v>
      </c>
      <c r="BN161" s="73">
        <v>0</v>
      </c>
      <c r="BO161" s="73">
        <v>0</v>
      </c>
      <c r="BP161" s="73">
        <v>0</v>
      </c>
      <c r="BQ161" s="73">
        <v>0</v>
      </c>
      <c r="BR161" s="73">
        <v>0</v>
      </c>
      <c r="BS161" s="73">
        <v>0</v>
      </c>
      <c r="BT161" s="73">
        <v>0</v>
      </c>
      <c r="BU161" s="73">
        <v>0</v>
      </c>
      <c r="BV161" s="73">
        <v>0</v>
      </c>
      <c r="BW161" s="84">
        <v>1100</v>
      </c>
      <c r="BX161" s="73">
        <v>0</v>
      </c>
      <c r="BY161" s="73"/>
      <c r="BZ161" s="73"/>
      <c r="CA161" s="73"/>
      <c r="CB161" s="73"/>
      <c r="CC161" s="73"/>
      <c r="CD161" s="73"/>
      <c r="CE161" s="73"/>
      <c r="CF161" s="73"/>
      <c r="CG161" s="73"/>
      <c r="CH161" s="73">
        <f t="shared" si="4"/>
        <v>1100</v>
      </c>
      <c r="CI161" s="73"/>
      <c r="CJ161" s="73"/>
      <c r="CK161" s="72">
        <v>0</v>
      </c>
      <c r="CL161" s="73">
        <v>0</v>
      </c>
      <c r="CM161" s="73">
        <v>0</v>
      </c>
      <c r="CN161" s="73">
        <v>0</v>
      </c>
      <c r="CO161" s="73">
        <v>0</v>
      </c>
      <c r="CP161" s="73">
        <v>0</v>
      </c>
      <c r="CQ161" s="73">
        <v>0</v>
      </c>
      <c r="CR161" s="73">
        <v>0</v>
      </c>
      <c r="CS161" s="84">
        <v>1100</v>
      </c>
      <c r="CT161" s="73">
        <v>0</v>
      </c>
      <c r="CU161" s="73"/>
      <c r="CV161" s="84">
        <f t="shared" si="5"/>
        <v>0</v>
      </c>
      <c r="CW161" s="84"/>
      <c r="CX161" s="74"/>
      <c r="CY161" s="74"/>
      <c r="CZ161" s="74"/>
      <c r="DA161" s="74"/>
      <c r="DB161" s="74"/>
      <c r="DC161" s="74"/>
      <c r="DD161" s="74"/>
    </row>
    <row r="162" spans="1:108" s="68" customFormat="1" ht="15" customHeight="1" x14ac:dyDescent="0.25">
      <c r="A162" s="74" t="s">
        <v>691</v>
      </c>
      <c r="B162" s="74" t="s">
        <v>154</v>
      </c>
      <c r="C162" s="74" t="s">
        <v>172</v>
      </c>
      <c r="D162" s="74" t="s">
        <v>196</v>
      </c>
      <c r="E162" s="74" t="s">
        <v>309</v>
      </c>
      <c r="F162" s="74" t="s">
        <v>550</v>
      </c>
      <c r="G162" s="74" t="s">
        <v>137</v>
      </c>
      <c r="H162" s="74" t="s">
        <v>137</v>
      </c>
      <c r="I162" s="74" t="s">
        <v>66</v>
      </c>
      <c r="J162" s="74" t="s">
        <v>29</v>
      </c>
      <c r="K162" s="82" t="s">
        <v>137</v>
      </c>
      <c r="L162" s="82" t="s">
        <v>137</v>
      </c>
      <c r="M162" s="82" t="s">
        <v>137</v>
      </c>
      <c r="N162" s="82" t="s">
        <v>137</v>
      </c>
      <c r="O162" s="82" t="s">
        <v>137</v>
      </c>
      <c r="P162" s="82" t="s">
        <v>137</v>
      </c>
      <c r="Q162" s="74" t="s">
        <v>87</v>
      </c>
      <c r="R162" s="74" t="s">
        <v>709</v>
      </c>
      <c r="S162" s="74" t="s">
        <v>40</v>
      </c>
      <c r="T162" s="74" t="s">
        <v>2</v>
      </c>
      <c r="U162" s="75"/>
      <c r="V162" s="75">
        <v>0.05</v>
      </c>
      <c r="W162" s="75">
        <v>0.08</v>
      </c>
      <c r="X162" s="75">
        <v>0.15</v>
      </c>
      <c r="Y162" s="75">
        <v>0.2</v>
      </c>
      <c r="Z162" s="75">
        <v>0.25</v>
      </c>
      <c r="AA162" s="75">
        <v>0.37</v>
      </c>
      <c r="AB162" s="75">
        <v>0.42</v>
      </c>
      <c r="AC162" s="75">
        <v>0.57999999999999996</v>
      </c>
      <c r="AD162" s="75">
        <v>0.67</v>
      </c>
      <c r="AE162" s="75">
        <v>0.83</v>
      </c>
      <c r="AF162" s="75">
        <v>1</v>
      </c>
      <c r="AG162" s="74" t="s">
        <v>533</v>
      </c>
      <c r="AH162" s="74" t="s">
        <v>530</v>
      </c>
      <c r="AI162" s="78" t="s">
        <v>539</v>
      </c>
      <c r="AJ162" s="79" t="s">
        <v>539</v>
      </c>
      <c r="AK162" s="80">
        <v>46023</v>
      </c>
      <c r="AL162" s="80">
        <v>46387</v>
      </c>
      <c r="AM162" s="79"/>
      <c r="AN162" s="79"/>
      <c r="AO162" s="79"/>
      <c r="AP162" s="81" t="s">
        <v>540</v>
      </c>
      <c r="AQ162" s="80" t="str" cm="1">
        <f t="array" ref="AQ162">IFERROR(DATE(2026, _xlfn.AGGREGATE(15, 6, (COLUMN(CI162:CT162)-COLUMN(CI162)+1)/(CI162:CT162&lt;&gt;0), 1), 1),"N/A")</f>
        <v>N/A</v>
      </c>
      <c r="AR162" s="80" t="str" cm="1">
        <f t="array" ref="AR162">IFERROR(EOMONTH(DATE(2026, _xlfn.AGGREGATE(14, 6, (COLUMN(CI162:CT162)-COLUMN(CI162)+1)/(CI162:CT162&lt;&gt;0), 1), 1), 0),"N/A")</f>
        <v>N/A</v>
      </c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4" t="s">
        <v>594</v>
      </c>
      <c r="BG162" s="74" t="s">
        <v>1009</v>
      </c>
      <c r="BH162" s="74" t="s">
        <v>761</v>
      </c>
      <c r="BI162" s="74" t="s">
        <v>137</v>
      </c>
      <c r="BJ162" s="78">
        <v>530704</v>
      </c>
      <c r="BK162" s="82" t="s">
        <v>74</v>
      </c>
      <c r="BL162" s="83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73">
        <v>0</v>
      </c>
      <c r="BV162" s="73">
        <v>0</v>
      </c>
      <c r="BW162" s="84">
        <v>1000</v>
      </c>
      <c r="BX162" s="73">
        <v>0</v>
      </c>
      <c r="BY162" s="73">
        <v>-1000</v>
      </c>
      <c r="BZ162" s="73"/>
      <c r="CA162" s="73"/>
      <c r="CB162" s="73"/>
      <c r="CC162" s="73"/>
      <c r="CD162" s="73"/>
      <c r="CE162" s="73"/>
      <c r="CF162" s="73"/>
      <c r="CG162" s="73"/>
      <c r="CH162" s="73">
        <f t="shared" si="4"/>
        <v>0</v>
      </c>
      <c r="CI162" s="73"/>
      <c r="CJ162" s="73"/>
      <c r="CK162" s="72">
        <v>0</v>
      </c>
      <c r="CL162" s="73">
        <v>0</v>
      </c>
      <c r="CM162" s="73">
        <v>0</v>
      </c>
      <c r="CN162" s="73">
        <v>0</v>
      </c>
      <c r="CO162" s="73">
        <v>0</v>
      </c>
      <c r="CP162" s="73">
        <v>0</v>
      </c>
      <c r="CQ162" s="73">
        <v>0</v>
      </c>
      <c r="CR162" s="73">
        <v>0</v>
      </c>
      <c r="CS162" s="84">
        <v>0</v>
      </c>
      <c r="CT162" s="73">
        <v>0</v>
      </c>
      <c r="CU162" s="73"/>
      <c r="CV162" s="84">
        <f t="shared" si="5"/>
        <v>0</v>
      </c>
      <c r="CW162" s="84"/>
      <c r="CX162" s="74"/>
      <c r="CY162" s="74"/>
      <c r="CZ162" s="74"/>
      <c r="DA162" s="74"/>
      <c r="DB162" s="74"/>
      <c r="DC162" s="74"/>
      <c r="DD162" s="74"/>
    </row>
    <row r="163" spans="1:108" s="68" customFormat="1" ht="15" customHeight="1" x14ac:dyDescent="0.25">
      <c r="A163" s="74" t="s">
        <v>691</v>
      </c>
      <c r="B163" s="74" t="s">
        <v>154</v>
      </c>
      <c r="C163" s="74" t="s">
        <v>172</v>
      </c>
      <c r="D163" s="74" t="s">
        <v>196</v>
      </c>
      <c r="E163" s="74" t="s">
        <v>309</v>
      </c>
      <c r="F163" s="74" t="s">
        <v>550</v>
      </c>
      <c r="G163" s="74" t="s">
        <v>137</v>
      </c>
      <c r="H163" s="74" t="s">
        <v>137</v>
      </c>
      <c r="I163" s="74" t="s">
        <v>66</v>
      </c>
      <c r="J163" s="74" t="s">
        <v>29</v>
      </c>
      <c r="K163" s="82" t="s">
        <v>137</v>
      </c>
      <c r="L163" s="82" t="s">
        <v>137</v>
      </c>
      <c r="M163" s="82" t="s">
        <v>137</v>
      </c>
      <c r="N163" s="82" t="s">
        <v>137</v>
      </c>
      <c r="O163" s="82" t="s">
        <v>137</v>
      </c>
      <c r="P163" s="82" t="s">
        <v>137</v>
      </c>
      <c r="Q163" s="74" t="s">
        <v>87</v>
      </c>
      <c r="R163" s="74" t="s">
        <v>709</v>
      </c>
      <c r="S163" s="74" t="s">
        <v>40</v>
      </c>
      <c r="T163" s="74" t="s">
        <v>2</v>
      </c>
      <c r="U163" s="75"/>
      <c r="V163" s="75">
        <v>0.05</v>
      </c>
      <c r="W163" s="75">
        <v>0.08</v>
      </c>
      <c r="X163" s="75">
        <v>0.15</v>
      </c>
      <c r="Y163" s="75">
        <v>0.2</v>
      </c>
      <c r="Z163" s="75">
        <v>0.25</v>
      </c>
      <c r="AA163" s="75">
        <v>0.37</v>
      </c>
      <c r="AB163" s="75">
        <v>0.42</v>
      </c>
      <c r="AC163" s="75">
        <v>0.57999999999999996</v>
      </c>
      <c r="AD163" s="75">
        <v>0.67</v>
      </c>
      <c r="AE163" s="75">
        <v>0.83</v>
      </c>
      <c r="AF163" s="75">
        <v>1</v>
      </c>
      <c r="AG163" s="74" t="s">
        <v>533</v>
      </c>
      <c r="AH163" s="74" t="s">
        <v>530</v>
      </c>
      <c r="AI163" s="78" t="s">
        <v>539</v>
      </c>
      <c r="AJ163" s="79" t="s">
        <v>539</v>
      </c>
      <c r="AK163" s="80">
        <v>46023</v>
      </c>
      <c r="AL163" s="80">
        <v>46387</v>
      </c>
      <c r="AM163" s="79"/>
      <c r="AN163" s="79"/>
      <c r="AO163" s="79"/>
      <c r="AP163" s="81" t="s">
        <v>540</v>
      </c>
      <c r="AQ163" s="80" t="str" cm="1">
        <f t="array" ref="AQ163">IFERROR(DATE(2026, _xlfn.AGGREGATE(15, 6, (COLUMN(CI163:CT163)-COLUMN(CI163)+1)/(CI163:CT163&lt;&gt;0), 1), 1),"N/A")</f>
        <v>N/A</v>
      </c>
      <c r="AR163" s="80" t="str" cm="1">
        <f t="array" ref="AR163">IFERROR(EOMONTH(DATE(2026, _xlfn.AGGREGATE(14, 6, (COLUMN(CI163:CT163)-COLUMN(CI163)+1)/(CI163:CT163&lt;&gt;0), 1), 1), 0),"N/A")</f>
        <v>N/A</v>
      </c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4" t="s">
        <v>646</v>
      </c>
      <c r="BG163" s="74" t="s">
        <v>1009</v>
      </c>
      <c r="BH163" s="74" t="s">
        <v>762</v>
      </c>
      <c r="BI163" s="74" t="s">
        <v>137</v>
      </c>
      <c r="BJ163" s="78">
        <v>530704</v>
      </c>
      <c r="BK163" s="82" t="s">
        <v>74</v>
      </c>
      <c r="BL163" s="83">
        <v>10000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73">
        <v>0</v>
      </c>
      <c r="BW163" s="84">
        <v>10000</v>
      </c>
      <c r="BX163" s="73">
        <v>0</v>
      </c>
      <c r="BY163" s="73"/>
      <c r="BZ163" s="73"/>
      <c r="CA163" s="73"/>
      <c r="CB163" s="73"/>
      <c r="CC163" s="73"/>
      <c r="CD163" s="73">
        <v>-10000</v>
      </c>
      <c r="CE163" s="73"/>
      <c r="CF163" s="73"/>
      <c r="CG163" s="73"/>
      <c r="CH163" s="73">
        <f t="shared" si="4"/>
        <v>0</v>
      </c>
      <c r="CI163" s="73"/>
      <c r="CJ163" s="73"/>
      <c r="CK163" s="72">
        <v>0</v>
      </c>
      <c r="CL163" s="73">
        <v>0</v>
      </c>
      <c r="CM163" s="73">
        <v>0</v>
      </c>
      <c r="CN163" s="73">
        <v>0</v>
      </c>
      <c r="CO163" s="73">
        <v>0</v>
      </c>
      <c r="CP163" s="73">
        <v>0</v>
      </c>
      <c r="CQ163" s="73">
        <v>0</v>
      </c>
      <c r="CR163" s="73">
        <v>0</v>
      </c>
      <c r="CS163" s="84"/>
      <c r="CT163" s="73">
        <v>0</v>
      </c>
      <c r="CU163" s="73"/>
      <c r="CV163" s="84">
        <f t="shared" si="5"/>
        <v>0</v>
      </c>
      <c r="CW163" s="84"/>
      <c r="CX163" s="74"/>
      <c r="CY163" s="74"/>
      <c r="CZ163" s="74"/>
      <c r="DA163" s="74"/>
      <c r="DB163" s="74"/>
      <c r="DC163" s="74"/>
      <c r="DD163" s="74"/>
    </row>
    <row r="164" spans="1:108" s="68" customFormat="1" ht="15" hidden="1" customHeight="1" x14ac:dyDescent="0.25">
      <c r="A164" s="74" t="s">
        <v>690</v>
      </c>
      <c r="B164" s="74" t="s">
        <v>154</v>
      </c>
      <c r="C164" s="74" t="s">
        <v>172</v>
      </c>
      <c r="D164" s="74" t="s">
        <v>196</v>
      </c>
      <c r="E164" s="74" t="s">
        <v>309</v>
      </c>
      <c r="F164" s="74" t="s">
        <v>550</v>
      </c>
      <c r="G164" s="74" t="s">
        <v>137</v>
      </c>
      <c r="H164" s="74" t="s">
        <v>137</v>
      </c>
      <c r="I164" s="74" t="s">
        <v>66</v>
      </c>
      <c r="J164" s="74" t="s">
        <v>29</v>
      </c>
      <c r="K164" s="82" t="s">
        <v>137</v>
      </c>
      <c r="L164" s="82" t="s">
        <v>137</v>
      </c>
      <c r="M164" s="82" t="s">
        <v>137</v>
      </c>
      <c r="N164" s="82" t="s">
        <v>137</v>
      </c>
      <c r="O164" s="82" t="s">
        <v>137</v>
      </c>
      <c r="P164" s="82" t="s">
        <v>137</v>
      </c>
      <c r="Q164" s="74" t="s">
        <v>87</v>
      </c>
      <c r="R164" s="74" t="s">
        <v>709</v>
      </c>
      <c r="S164" s="74" t="s">
        <v>40</v>
      </c>
      <c r="T164" s="74" t="s">
        <v>2</v>
      </c>
      <c r="U164" s="75"/>
      <c r="V164" s="75">
        <v>0.05</v>
      </c>
      <c r="W164" s="75">
        <v>0.08</v>
      </c>
      <c r="X164" s="75">
        <v>0.15</v>
      </c>
      <c r="Y164" s="75">
        <v>0.2</v>
      </c>
      <c r="Z164" s="75">
        <v>0.25</v>
      </c>
      <c r="AA164" s="75">
        <v>0.37</v>
      </c>
      <c r="AB164" s="75">
        <v>0.42</v>
      </c>
      <c r="AC164" s="75">
        <v>0.57999999999999996</v>
      </c>
      <c r="AD164" s="75">
        <v>0.67</v>
      </c>
      <c r="AE164" s="75">
        <v>0.83</v>
      </c>
      <c r="AF164" s="75">
        <v>1</v>
      </c>
      <c r="AG164" s="74" t="s">
        <v>533</v>
      </c>
      <c r="AH164" s="74" t="s">
        <v>530</v>
      </c>
      <c r="AI164" s="78" t="s">
        <v>539</v>
      </c>
      <c r="AJ164" s="79" t="s">
        <v>539</v>
      </c>
      <c r="AK164" s="80">
        <v>46023</v>
      </c>
      <c r="AL164" s="80">
        <v>46387</v>
      </c>
      <c r="AM164" s="79"/>
      <c r="AN164" s="79"/>
      <c r="AO164" s="79"/>
      <c r="AP164" s="81" t="s">
        <v>540</v>
      </c>
      <c r="AQ164" s="80" t="str" cm="1">
        <f t="array" ref="AQ164">IFERROR(DATE(2026, _xlfn.AGGREGATE(15, 6, (COLUMN(CI164:CT164)-COLUMN(CI164)+1)/(CI164:CT164&lt;&gt;0), 1), 1),"N/A")</f>
        <v>N/A</v>
      </c>
      <c r="AR164" s="80" t="str" cm="1">
        <f t="array" ref="AR164">IFERROR(EOMONTH(DATE(2026, _xlfn.AGGREGATE(14, 6, (COLUMN(CI164:CT164)-COLUMN(CI164)+1)/(CI164:CT164&lt;&gt;0), 1), 1), 0),"N/A")</f>
        <v>N/A</v>
      </c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4" t="s">
        <v>587</v>
      </c>
      <c r="BG164" s="74"/>
      <c r="BH164" s="74" t="s">
        <v>820</v>
      </c>
      <c r="BI164" s="74" t="s">
        <v>137</v>
      </c>
      <c r="BJ164" s="78">
        <v>530404</v>
      </c>
      <c r="BK164" s="82" t="s">
        <v>74</v>
      </c>
      <c r="BL164" s="83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73">
        <v>0</v>
      </c>
      <c r="BT164" s="73">
        <v>0</v>
      </c>
      <c r="BU164" s="84">
        <v>1000</v>
      </c>
      <c r="BV164" s="73">
        <v>0</v>
      </c>
      <c r="BW164" s="73">
        <v>0</v>
      </c>
      <c r="BX164" s="73">
        <v>0</v>
      </c>
      <c r="BY164" s="73"/>
      <c r="BZ164" s="73"/>
      <c r="CA164" s="73">
        <v>-1000</v>
      </c>
      <c r="CB164" s="73"/>
      <c r="CC164" s="73"/>
      <c r="CD164" s="73"/>
      <c r="CE164" s="73"/>
      <c r="CF164" s="73"/>
      <c r="CG164" s="73"/>
      <c r="CH164" s="73">
        <f t="shared" si="4"/>
        <v>0</v>
      </c>
      <c r="CI164" s="73"/>
      <c r="CJ164" s="73"/>
      <c r="CK164" s="72">
        <v>0</v>
      </c>
      <c r="CL164" s="73">
        <v>0</v>
      </c>
      <c r="CM164" s="73">
        <v>0</v>
      </c>
      <c r="CN164" s="73">
        <v>0</v>
      </c>
      <c r="CO164" s="73">
        <v>0</v>
      </c>
      <c r="CP164" s="73">
        <v>0</v>
      </c>
      <c r="CQ164" s="84">
        <v>0</v>
      </c>
      <c r="CR164" s="73">
        <v>0</v>
      </c>
      <c r="CS164" s="73">
        <v>0</v>
      </c>
      <c r="CT164" s="73">
        <v>0</v>
      </c>
      <c r="CU164" s="73"/>
      <c r="CV164" s="84">
        <f t="shared" si="5"/>
        <v>0</v>
      </c>
      <c r="CW164" s="84"/>
      <c r="CX164" s="74"/>
      <c r="CY164" s="74"/>
      <c r="CZ164" s="74"/>
      <c r="DA164" s="74"/>
      <c r="DB164" s="74"/>
      <c r="DC164" s="74"/>
      <c r="DD164" s="74"/>
    </row>
    <row r="165" spans="1:108" s="402" customFormat="1" ht="15" hidden="1" customHeight="1" x14ac:dyDescent="0.25">
      <c r="A165" s="398" t="s">
        <v>690</v>
      </c>
      <c r="B165" s="74" t="s">
        <v>154</v>
      </c>
      <c r="C165" s="74" t="s">
        <v>172</v>
      </c>
      <c r="D165" s="74" t="s">
        <v>196</v>
      </c>
      <c r="E165" s="74" t="s">
        <v>309</v>
      </c>
      <c r="F165" s="74" t="s">
        <v>550</v>
      </c>
      <c r="G165" s="74" t="s">
        <v>137</v>
      </c>
      <c r="H165" s="74" t="s">
        <v>137</v>
      </c>
      <c r="I165" s="74" t="s">
        <v>66</v>
      </c>
      <c r="J165" s="74" t="s">
        <v>29</v>
      </c>
      <c r="K165" s="82" t="s">
        <v>137</v>
      </c>
      <c r="L165" s="82" t="s">
        <v>137</v>
      </c>
      <c r="M165" s="82" t="s">
        <v>137</v>
      </c>
      <c r="N165" s="82" t="s">
        <v>137</v>
      </c>
      <c r="O165" s="82" t="s">
        <v>137</v>
      </c>
      <c r="P165" s="82" t="s">
        <v>137</v>
      </c>
      <c r="Q165" s="74" t="s">
        <v>87</v>
      </c>
      <c r="R165" s="74" t="s">
        <v>709</v>
      </c>
      <c r="S165" s="74" t="s">
        <v>40</v>
      </c>
      <c r="T165" s="74" t="s">
        <v>2</v>
      </c>
      <c r="U165" s="75"/>
      <c r="V165" s="75">
        <v>0.05</v>
      </c>
      <c r="W165" s="75">
        <v>0.08</v>
      </c>
      <c r="X165" s="75">
        <v>0.15</v>
      </c>
      <c r="Y165" s="75">
        <v>0.2</v>
      </c>
      <c r="Z165" s="75">
        <v>0.25</v>
      </c>
      <c r="AA165" s="75">
        <v>0.37</v>
      </c>
      <c r="AB165" s="75">
        <v>0.42</v>
      </c>
      <c r="AC165" s="75">
        <v>0.57999999999999996</v>
      </c>
      <c r="AD165" s="75">
        <v>0.67</v>
      </c>
      <c r="AE165" s="75">
        <v>0.83</v>
      </c>
      <c r="AF165" s="75">
        <v>1</v>
      </c>
      <c r="AG165" s="74" t="s">
        <v>533</v>
      </c>
      <c r="AH165" s="74" t="s">
        <v>530</v>
      </c>
      <c r="AI165" s="78" t="s">
        <v>539</v>
      </c>
      <c r="AJ165" s="79" t="s">
        <v>539</v>
      </c>
      <c r="AK165" s="80">
        <v>46023</v>
      </c>
      <c r="AL165" s="80">
        <v>46387</v>
      </c>
      <c r="AM165" s="79"/>
      <c r="AN165" s="79"/>
      <c r="AO165" s="79"/>
      <c r="AP165" s="81" t="s">
        <v>540</v>
      </c>
      <c r="AQ165" s="80" cm="1">
        <f t="array" ref="AQ165">IFERROR(DATE(2026, _xlfn.AGGREGATE(15, 6, (COLUMN(CI165:CT165)-COLUMN(CI165)+1)/(CI165:CT165&lt;&gt;0), 1), 1),"N/A")</f>
        <v>46204</v>
      </c>
      <c r="AR165" s="80" cm="1">
        <f t="array" ref="AR165">IFERROR(EOMONTH(DATE(2026, _xlfn.AGGREGATE(14, 6, (COLUMN(CI165:CT165)-COLUMN(CI165)+1)/(CI165:CT165&lt;&gt;0), 1), 1), 0),"N/A")</f>
        <v>46234</v>
      </c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398" t="s">
        <v>624</v>
      </c>
      <c r="BG165" s="74"/>
      <c r="BH165" s="398" t="s">
        <v>851</v>
      </c>
      <c r="BI165" s="74" t="s">
        <v>137</v>
      </c>
      <c r="BJ165" s="399">
        <v>530255</v>
      </c>
      <c r="BK165" s="400" t="s">
        <v>74</v>
      </c>
      <c r="BL165" s="83">
        <v>6000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4">
        <v>6000</v>
      </c>
      <c r="BT165" s="73">
        <v>0</v>
      </c>
      <c r="BU165" s="73">
        <v>0</v>
      </c>
      <c r="BV165" s="73">
        <v>0</v>
      </c>
      <c r="BW165" s="73">
        <v>0</v>
      </c>
      <c r="BX165" s="73">
        <v>0</v>
      </c>
      <c r="BY165" s="73">
        <v>-1000</v>
      </c>
      <c r="BZ165" s="73"/>
      <c r="CA165" s="73"/>
      <c r="CB165" s="73"/>
      <c r="CC165" s="73"/>
      <c r="CD165" s="73"/>
      <c r="CE165" s="73"/>
      <c r="CF165" s="73"/>
      <c r="CG165" s="73"/>
      <c r="CH165" s="403">
        <f t="shared" si="4"/>
        <v>5000</v>
      </c>
      <c r="CI165" s="73"/>
      <c r="CJ165" s="73"/>
      <c r="CK165" s="72">
        <v>0</v>
      </c>
      <c r="CL165" s="73">
        <v>0</v>
      </c>
      <c r="CM165" s="73">
        <v>0</v>
      </c>
      <c r="CN165" s="73">
        <v>0</v>
      </c>
      <c r="CO165" s="84">
        <v>5000</v>
      </c>
      <c r="CP165" s="73">
        <v>0</v>
      </c>
      <c r="CQ165" s="73">
        <v>0</v>
      </c>
      <c r="CR165" s="73">
        <v>0</v>
      </c>
      <c r="CS165" s="73">
        <v>0</v>
      </c>
      <c r="CT165" s="403">
        <v>0</v>
      </c>
      <c r="CU165" s="403"/>
      <c r="CV165" s="404">
        <f t="shared" si="5"/>
        <v>0</v>
      </c>
      <c r="CW165" s="404"/>
      <c r="CX165" s="398"/>
      <c r="CY165" s="398"/>
      <c r="CZ165" s="398"/>
      <c r="DA165" s="398"/>
      <c r="DB165" s="398"/>
      <c r="DC165" s="398"/>
      <c r="DD165" s="398"/>
    </row>
    <row r="166" spans="1:108" s="402" customFormat="1" ht="15" hidden="1" customHeight="1" x14ac:dyDescent="0.25">
      <c r="A166" s="398" t="s">
        <v>690</v>
      </c>
      <c r="B166" s="74" t="s">
        <v>154</v>
      </c>
      <c r="C166" s="74" t="s">
        <v>172</v>
      </c>
      <c r="D166" s="74" t="s">
        <v>196</v>
      </c>
      <c r="E166" s="74" t="s">
        <v>309</v>
      </c>
      <c r="F166" s="74" t="s">
        <v>550</v>
      </c>
      <c r="G166" s="74" t="s">
        <v>137</v>
      </c>
      <c r="H166" s="74" t="s">
        <v>137</v>
      </c>
      <c r="I166" s="74" t="s">
        <v>66</v>
      </c>
      <c r="J166" s="74" t="s">
        <v>29</v>
      </c>
      <c r="K166" s="82" t="s">
        <v>137</v>
      </c>
      <c r="L166" s="82" t="s">
        <v>137</v>
      </c>
      <c r="M166" s="82" t="s">
        <v>137</v>
      </c>
      <c r="N166" s="82" t="s">
        <v>137</v>
      </c>
      <c r="O166" s="82" t="s">
        <v>137</v>
      </c>
      <c r="P166" s="82" t="s">
        <v>137</v>
      </c>
      <c r="Q166" s="74" t="s">
        <v>87</v>
      </c>
      <c r="R166" s="74" t="s">
        <v>709</v>
      </c>
      <c r="S166" s="74" t="s">
        <v>40</v>
      </c>
      <c r="T166" s="74" t="s">
        <v>2</v>
      </c>
      <c r="U166" s="75"/>
      <c r="V166" s="75">
        <v>0.05</v>
      </c>
      <c r="W166" s="75">
        <v>0.08</v>
      </c>
      <c r="X166" s="75">
        <v>0.15</v>
      </c>
      <c r="Y166" s="75">
        <v>0.2</v>
      </c>
      <c r="Z166" s="75">
        <v>0.25</v>
      </c>
      <c r="AA166" s="75">
        <v>0.37</v>
      </c>
      <c r="AB166" s="75">
        <v>0.42</v>
      </c>
      <c r="AC166" s="75">
        <v>0.57999999999999996</v>
      </c>
      <c r="AD166" s="75">
        <v>0.67</v>
      </c>
      <c r="AE166" s="75">
        <v>0.83</v>
      </c>
      <c r="AF166" s="75">
        <v>1</v>
      </c>
      <c r="AG166" s="74" t="s">
        <v>533</v>
      </c>
      <c r="AH166" s="74" t="s">
        <v>530</v>
      </c>
      <c r="AI166" s="78" t="s">
        <v>539</v>
      </c>
      <c r="AJ166" s="79" t="s">
        <v>539</v>
      </c>
      <c r="AK166" s="80">
        <v>46023</v>
      </c>
      <c r="AL166" s="80">
        <v>46387</v>
      </c>
      <c r="AM166" s="79"/>
      <c r="AN166" s="79"/>
      <c r="AO166" s="79"/>
      <c r="AP166" s="81" t="s">
        <v>540</v>
      </c>
      <c r="AQ166" s="80" cm="1">
        <f t="array" ref="AQ166">IFERROR(DATE(2026, _xlfn.AGGREGATE(15, 6, (COLUMN(CI166:CT166)-COLUMN(CI166)+1)/(CI166:CT166&lt;&gt;0), 1), 1),"N/A")</f>
        <v>46204</v>
      </c>
      <c r="AR166" s="80" cm="1">
        <f t="array" ref="AR166">IFERROR(EOMONTH(DATE(2026, _xlfn.AGGREGATE(14, 6, (COLUMN(CI166:CT166)-COLUMN(CI166)+1)/(CI166:CT166&lt;&gt;0), 1), 1), 0),"N/A")</f>
        <v>46234</v>
      </c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398" t="s">
        <v>581</v>
      </c>
      <c r="BG166" s="74"/>
      <c r="BH166" s="398" t="s">
        <v>852</v>
      </c>
      <c r="BI166" s="74" t="s">
        <v>137</v>
      </c>
      <c r="BJ166" s="399">
        <v>570199</v>
      </c>
      <c r="BK166" s="400" t="s">
        <v>74</v>
      </c>
      <c r="BL166" s="83">
        <v>900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84">
        <v>900</v>
      </c>
      <c r="BT166" s="73">
        <v>0</v>
      </c>
      <c r="BU166" s="73">
        <v>0</v>
      </c>
      <c r="BV166" s="73">
        <v>0</v>
      </c>
      <c r="BW166" s="73">
        <v>0</v>
      </c>
      <c r="BX166" s="73">
        <v>0</v>
      </c>
      <c r="BY166" s="73"/>
      <c r="BZ166" s="73"/>
      <c r="CA166" s="73"/>
      <c r="CB166" s="73"/>
      <c r="CC166" s="73"/>
      <c r="CD166" s="73"/>
      <c r="CE166" s="73"/>
      <c r="CF166" s="73"/>
      <c r="CG166" s="73"/>
      <c r="CH166" s="403">
        <f t="shared" si="4"/>
        <v>900</v>
      </c>
      <c r="CI166" s="73"/>
      <c r="CJ166" s="73"/>
      <c r="CK166" s="72">
        <v>0</v>
      </c>
      <c r="CL166" s="73">
        <v>0</v>
      </c>
      <c r="CM166" s="73">
        <v>0</v>
      </c>
      <c r="CN166" s="73">
        <v>0</v>
      </c>
      <c r="CO166" s="84">
        <v>900</v>
      </c>
      <c r="CP166" s="73">
        <v>0</v>
      </c>
      <c r="CQ166" s="73">
        <v>0</v>
      </c>
      <c r="CR166" s="73">
        <v>0</v>
      </c>
      <c r="CS166" s="73">
        <v>0</v>
      </c>
      <c r="CT166" s="403">
        <v>0</v>
      </c>
      <c r="CU166" s="403"/>
      <c r="CV166" s="404">
        <f t="shared" si="5"/>
        <v>0</v>
      </c>
      <c r="CW166" s="404"/>
      <c r="CX166" s="398"/>
      <c r="CY166" s="398"/>
      <c r="CZ166" s="398"/>
      <c r="DA166" s="398"/>
      <c r="DB166" s="398"/>
      <c r="DC166" s="398"/>
      <c r="DD166" s="398"/>
    </row>
    <row r="167" spans="1:108" s="402" customFormat="1" ht="15" hidden="1" customHeight="1" x14ac:dyDescent="0.25">
      <c r="A167" s="398" t="s">
        <v>690</v>
      </c>
      <c r="B167" s="74" t="s">
        <v>154</v>
      </c>
      <c r="C167" s="74" t="s">
        <v>172</v>
      </c>
      <c r="D167" s="74" t="s">
        <v>196</v>
      </c>
      <c r="E167" s="74" t="s">
        <v>309</v>
      </c>
      <c r="F167" s="74" t="s">
        <v>550</v>
      </c>
      <c r="G167" s="74" t="s">
        <v>137</v>
      </c>
      <c r="H167" s="74" t="s">
        <v>137</v>
      </c>
      <c r="I167" s="74" t="s">
        <v>66</v>
      </c>
      <c r="J167" s="74" t="s">
        <v>29</v>
      </c>
      <c r="K167" s="82" t="s">
        <v>137</v>
      </c>
      <c r="L167" s="82" t="s">
        <v>137</v>
      </c>
      <c r="M167" s="82" t="s">
        <v>137</v>
      </c>
      <c r="N167" s="82" t="s">
        <v>137</v>
      </c>
      <c r="O167" s="82" t="s">
        <v>137</v>
      </c>
      <c r="P167" s="82" t="s">
        <v>137</v>
      </c>
      <c r="Q167" s="74" t="s">
        <v>87</v>
      </c>
      <c r="R167" s="74" t="s">
        <v>709</v>
      </c>
      <c r="S167" s="74" t="s">
        <v>40</v>
      </c>
      <c r="T167" s="74" t="s">
        <v>2</v>
      </c>
      <c r="U167" s="75"/>
      <c r="V167" s="75">
        <v>0.05</v>
      </c>
      <c r="W167" s="75">
        <v>0.08</v>
      </c>
      <c r="X167" s="75">
        <v>0.15</v>
      </c>
      <c r="Y167" s="75">
        <v>0.2</v>
      </c>
      <c r="Z167" s="75">
        <v>0.25</v>
      </c>
      <c r="AA167" s="75">
        <v>0.37</v>
      </c>
      <c r="AB167" s="75">
        <v>0.42</v>
      </c>
      <c r="AC167" s="75">
        <v>0.57999999999999996</v>
      </c>
      <c r="AD167" s="75">
        <v>0.67</v>
      </c>
      <c r="AE167" s="75">
        <v>0.83</v>
      </c>
      <c r="AF167" s="75">
        <v>1</v>
      </c>
      <c r="AG167" s="74" t="s">
        <v>533</v>
      </c>
      <c r="AH167" s="74" t="s">
        <v>530</v>
      </c>
      <c r="AI167" s="78" t="s">
        <v>539</v>
      </c>
      <c r="AJ167" s="79" t="s">
        <v>539</v>
      </c>
      <c r="AK167" s="80">
        <v>46023</v>
      </c>
      <c r="AL167" s="80">
        <v>46387</v>
      </c>
      <c r="AM167" s="79"/>
      <c r="AN167" s="79"/>
      <c r="AO167" s="79"/>
      <c r="AP167" s="81" t="s">
        <v>540</v>
      </c>
      <c r="AQ167" s="80" cm="1">
        <f t="array" ref="AQ167">IFERROR(DATE(2026, _xlfn.AGGREGATE(15, 6, (COLUMN(CI167:CT167)-COLUMN(CI167)+1)/(CI167:CT167&lt;&gt;0), 1), 1),"N/A")</f>
        <v>46204</v>
      </c>
      <c r="AR167" s="80" cm="1">
        <f t="array" ref="AR167">IFERROR(EOMONTH(DATE(2026, _xlfn.AGGREGATE(14, 6, (COLUMN(CI167:CT167)-COLUMN(CI167)+1)/(CI167:CT167&lt;&gt;0), 1), 1), 0),"N/A")</f>
        <v>46234</v>
      </c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398" t="s">
        <v>629</v>
      </c>
      <c r="BG167" s="74"/>
      <c r="BH167" s="398" t="s">
        <v>798</v>
      </c>
      <c r="BI167" s="74" t="s">
        <v>137</v>
      </c>
      <c r="BJ167" s="399">
        <v>530255</v>
      </c>
      <c r="BK167" s="400" t="s">
        <v>74</v>
      </c>
      <c r="BL167" s="83">
        <v>6600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84">
        <v>6600</v>
      </c>
      <c r="BT167" s="73">
        <v>0</v>
      </c>
      <c r="BU167" s="73">
        <v>0</v>
      </c>
      <c r="BV167" s="73">
        <v>0</v>
      </c>
      <c r="BW167" s="73">
        <v>0</v>
      </c>
      <c r="BX167" s="73">
        <v>0</v>
      </c>
      <c r="BY167" s="73"/>
      <c r="BZ167" s="73"/>
      <c r="CA167" s="73">
        <v>-990</v>
      </c>
      <c r="CB167" s="73"/>
      <c r="CC167" s="73"/>
      <c r="CD167" s="73"/>
      <c r="CE167" s="73"/>
      <c r="CF167" s="73"/>
      <c r="CG167" s="73"/>
      <c r="CH167" s="403">
        <f t="shared" si="4"/>
        <v>5610</v>
      </c>
      <c r="CI167" s="73"/>
      <c r="CJ167" s="73"/>
      <c r="CK167" s="72">
        <v>0</v>
      </c>
      <c r="CL167" s="73">
        <v>0</v>
      </c>
      <c r="CM167" s="73">
        <v>0</v>
      </c>
      <c r="CN167" s="73">
        <v>0</v>
      </c>
      <c r="CO167" s="84">
        <v>5610</v>
      </c>
      <c r="CP167" s="73">
        <v>0</v>
      </c>
      <c r="CQ167" s="73">
        <v>0</v>
      </c>
      <c r="CR167" s="73">
        <v>0</v>
      </c>
      <c r="CS167" s="73">
        <v>0</v>
      </c>
      <c r="CT167" s="403">
        <v>0</v>
      </c>
      <c r="CU167" s="403"/>
      <c r="CV167" s="404">
        <f t="shared" si="5"/>
        <v>0</v>
      </c>
      <c r="CW167" s="404"/>
      <c r="CX167" s="398"/>
      <c r="CY167" s="398"/>
      <c r="CZ167" s="398"/>
      <c r="DA167" s="398"/>
      <c r="DB167" s="398"/>
      <c r="DC167" s="398"/>
      <c r="DD167" s="398"/>
    </row>
    <row r="168" spans="1:108" s="402" customFormat="1" ht="15" hidden="1" customHeight="1" x14ac:dyDescent="0.25">
      <c r="A168" s="398" t="s">
        <v>690</v>
      </c>
      <c r="B168" s="74" t="s">
        <v>154</v>
      </c>
      <c r="C168" s="74" t="s">
        <v>172</v>
      </c>
      <c r="D168" s="74" t="s">
        <v>196</v>
      </c>
      <c r="E168" s="74" t="s">
        <v>309</v>
      </c>
      <c r="F168" s="74" t="s">
        <v>550</v>
      </c>
      <c r="G168" s="74" t="s">
        <v>137</v>
      </c>
      <c r="H168" s="74" t="s">
        <v>137</v>
      </c>
      <c r="I168" s="74" t="s">
        <v>66</v>
      </c>
      <c r="J168" s="74" t="s">
        <v>29</v>
      </c>
      <c r="K168" s="82" t="s">
        <v>137</v>
      </c>
      <c r="L168" s="82" t="s">
        <v>137</v>
      </c>
      <c r="M168" s="82" t="s">
        <v>137</v>
      </c>
      <c r="N168" s="82" t="s">
        <v>137</v>
      </c>
      <c r="O168" s="82" t="s">
        <v>137</v>
      </c>
      <c r="P168" s="82" t="s">
        <v>137</v>
      </c>
      <c r="Q168" s="74" t="s">
        <v>87</v>
      </c>
      <c r="R168" s="74" t="s">
        <v>709</v>
      </c>
      <c r="S168" s="74" t="s">
        <v>40</v>
      </c>
      <c r="T168" s="74" t="s">
        <v>2</v>
      </c>
      <c r="U168" s="75"/>
      <c r="V168" s="75">
        <v>0.05</v>
      </c>
      <c r="W168" s="75">
        <v>0.08</v>
      </c>
      <c r="X168" s="75">
        <v>0.15</v>
      </c>
      <c r="Y168" s="75">
        <v>0.2</v>
      </c>
      <c r="Z168" s="75">
        <v>0.25</v>
      </c>
      <c r="AA168" s="75">
        <v>0.37</v>
      </c>
      <c r="AB168" s="75">
        <v>0.42</v>
      </c>
      <c r="AC168" s="75">
        <v>0.57999999999999996</v>
      </c>
      <c r="AD168" s="75">
        <v>0.67</v>
      </c>
      <c r="AE168" s="75">
        <v>0.83</v>
      </c>
      <c r="AF168" s="75">
        <v>1</v>
      </c>
      <c r="AG168" s="74" t="s">
        <v>533</v>
      </c>
      <c r="AH168" s="74" t="s">
        <v>530</v>
      </c>
      <c r="AI168" s="78" t="s">
        <v>539</v>
      </c>
      <c r="AJ168" s="79" t="s">
        <v>539</v>
      </c>
      <c r="AK168" s="80">
        <v>46023</v>
      </c>
      <c r="AL168" s="80">
        <v>46387</v>
      </c>
      <c r="AM168" s="79"/>
      <c r="AN168" s="79"/>
      <c r="AO168" s="79"/>
      <c r="AP168" s="81" t="s">
        <v>540</v>
      </c>
      <c r="AQ168" s="80" cm="1">
        <f t="array" ref="AQ168">IFERROR(DATE(2026, _xlfn.AGGREGATE(15, 6, (COLUMN(CI168:CT168)-COLUMN(CI168)+1)/(CI168:CT168&lt;&gt;0), 1), 1),"N/A")</f>
        <v>46174</v>
      </c>
      <c r="AR168" s="80" cm="1">
        <f t="array" ref="AR168">IFERROR(EOMONTH(DATE(2026, _xlfn.AGGREGATE(14, 6, (COLUMN(CI168:CT168)-COLUMN(CI168)+1)/(CI168:CT168&lt;&gt;0), 1), 1), 0),"N/A")</f>
        <v>46203</v>
      </c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398" t="s">
        <v>1055</v>
      </c>
      <c r="BG168" s="74"/>
      <c r="BH168" s="398" t="s">
        <v>1056</v>
      </c>
      <c r="BI168" s="74" t="s">
        <v>137</v>
      </c>
      <c r="BJ168" s="399">
        <v>570199</v>
      </c>
      <c r="BK168" s="400" t="s">
        <v>74</v>
      </c>
      <c r="BL168" s="83">
        <v>0</v>
      </c>
      <c r="BM168" s="73"/>
      <c r="BN168" s="73"/>
      <c r="BO168" s="73"/>
      <c r="BP168" s="73"/>
      <c r="BQ168" s="73"/>
      <c r="BR168" s="73"/>
      <c r="BS168" s="73"/>
      <c r="BT168" s="73"/>
      <c r="BU168" s="84"/>
      <c r="BV168" s="73"/>
      <c r="BW168" s="73"/>
      <c r="BX168" s="73"/>
      <c r="BY168" s="73"/>
      <c r="BZ168" s="73"/>
      <c r="CA168" s="73">
        <v>990</v>
      </c>
      <c r="CB168" s="73"/>
      <c r="CC168" s="73"/>
      <c r="CD168" s="73"/>
      <c r="CE168" s="73"/>
      <c r="CF168" s="73"/>
      <c r="CG168" s="73"/>
      <c r="CH168" s="403">
        <f t="shared" si="4"/>
        <v>990</v>
      </c>
      <c r="CI168" s="73"/>
      <c r="CJ168" s="73"/>
      <c r="CK168" s="72"/>
      <c r="CL168" s="73"/>
      <c r="CM168" s="73"/>
      <c r="CN168" s="73">
        <v>990</v>
      </c>
      <c r="CO168" s="73"/>
      <c r="CP168" s="73"/>
      <c r="CQ168" s="84"/>
      <c r="CR168" s="73"/>
      <c r="CS168" s="73"/>
      <c r="CT168" s="403"/>
      <c r="CU168" s="403"/>
      <c r="CV168" s="404">
        <f t="shared" si="5"/>
        <v>0</v>
      </c>
      <c r="CW168" s="404"/>
      <c r="CX168" s="398"/>
      <c r="CY168" s="398"/>
      <c r="CZ168" s="398"/>
      <c r="DA168" s="398"/>
      <c r="DB168" s="398"/>
      <c r="DC168" s="398"/>
      <c r="DD168" s="398"/>
    </row>
    <row r="169" spans="1:108" s="402" customFormat="1" ht="15" hidden="1" customHeight="1" x14ac:dyDescent="0.25">
      <c r="A169" s="398" t="s">
        <v>690</v>
      </c>
      <c r="B169" s="74" t="s">
        <v>154</v>
      </c>
      <c r="C169" s="74" t="s">
        <v>172</v>
      </c>
      <c r="D169" s="74" t="s">
        <v>196</v>
      </c>
      <c r="E169" s="74" t="s">
        <v>309</v>
      </c>
      <c r="F169" s="74" t="s">
        <v>550</v>
      </c>
      <c r="G169" s="74" t="s">
        <v>137</v>
      </c>
      <c r="H169" s="74" t="s">
        <v>137</v>
      </c>
      <c r="I169" s="74" t="s">
        <v>66</v>
      </c>
      <c r="J169" s="74" t="s">
        <v>29</v>
      </c>
      <c r="K169" s="82" t="s">
        <v>137</v>
      </c>
      <c r="L169" s="82" t="s">
        <v>137</v>
      </c>
      <c r="M169" s="82" t="s">
        <v>137</v>
      </c>
      <c r="N169" s="82" t="s">
        <v>137</v>
      </c>
      <c r="O169" s="82" t="s">
        <v>137</v>
      </c>
      <c r="P169" s="82" t="s">
        <v>137</v>
      </c>
      <c r="Q169" s="74" t="s">
        <v>87</v>
      </c>
      <c r="R169" s="74" t="s">
        <v>709</v>
      </c>
      <c r="S169" s="74" t="s">
        <v>40</v>
      </c>
      <c r="T169" s="74" t="s">
        <v>2</v>
      </c>
      <c r="U169" s="75"/>
      <c r="V169" s="75">
        <v>0.05</v>
      </c>
      <c r="W169" s="75">
        <v>0.08</v>
      </c>
      <c r="X169" s="75">
        <v>0.15</v>
      </c>
      <c r="Y169" s="75">
        <v>0.2</v>
      </c>
      <c r="Z169" s="75">
        <v>0.25</v>
      </c>
      <c r="AA169" s="75">
        <v>0.37</v>
      </c>
      <c r="AB169" s="75">
        <v>0.42</v>
      </c>
      <c r="AC169" s="75">
        <v>0.57999999999999996</v>
      </c>
      <c r="AD169" s="75">
        <v>0.67</v>
      </c>
      <c r="AE169" s="75">
        <v>0.83</v>
      </c>
      <c r="AF169" s="75">
        <v>1</v>
      </c>
      <c r="AG169" s="74" t="s">
        <v>772</v>
      </c>
      <c r="AH169" s="74" t="s">
        <v>531</v>
      </c>
      <c r="AI169" s="78" t="s">
        <v>539</v>
      </c>
      <c r="AJ169" s="79" t="s">
        <v>539</v>
      </c>
      <c r="AK169" s="80">
        <v>46023</v>
      </c>
      <c r="AL169" s="80">
        <v>46387</v>
      </c>
      <c r="AM169" s="79"/>
      <c r="AN169" s="79"/>
      <c r="AO169" s="79"/>
      <c r="AP169" s="81" t="s">
        <v>540</v>
      </c>
      <c r="AQ169" s="80" cm="1">
        <f t="array" ref="AQ169">IFERROR(DATE(2026, _xlfn.AGGREGATE(15, 6, (COLUMN(CI169:CT169)-COLUMN(CI169)+1)/(CI169:CT169&lt;&gt;0), 1), 1),"N/A")</f>
        <v>46235</v>
      </c>
      <c r="AR169" s="80" cm="1">
        <f t="array" ref="AR169">IFERROR(EOMONTH(DATE(2026, _xlfn.AGGREGATE(14, 6, (COLUMN(CI169:CT169)-COLUMN(CI169)+1)/(CI169:CT169&lt;&gt;0), 1), 1), 0),"N/A")</f>
        <v>46265</v>
      </c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398" t="s">
        <v>575</v>
      </c>
      <c r="BG169" s="74"/>
      <c r="BH169" s="398" t="s">
        <v>739</v>
      </c>
      <c r="BI169" s="74" t="s">
        <v>137</v>
      </c>
      <c r="BJ169" s="399">
        <v>530105</v>
      </c>
      <c r="BK169" s="400" t="s">
        <v>74</v>
      </c>
      <c r="BL169" s="83">
        <v>283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73">
        <v>0</v>
      </c>
      <c r="BS169" s="73">
        <v>0</v>
      </c>
      <c r="BT169" s="84">
        <v>283</v>
      </c>
      <c r="BU169" s="73">
        <v>0</v>
      </c>
      <c r="BV169" s="73">
        <v>0</v>
      </c>
      <c r="BW169" s="73">
        <v>0</v>
      </c>
      <c r="BX169" s="73">
        <v>0</v>
      </c>
      <c r="BY169" s="73"/>
      <c r="BZ169" s="73"/>
      <c r="CA169" s="73"/>
      <c r="CB169" s="73"/>
      <c r="CC169" s="73"/>
      <c r="CD169" s="73"/>
      <c r="CE169" s="73"/>
      <c r="CF169" s="73"/>
      <c r="CG169" s="73"/>
      <c r="CH169" s="403">
        <f t="shared" si="4"/>
        <v>283</v>
      </c>
      <c r="CI169" s="73"/>
      <c r="CJ169" s="73"/>
      <c r="CK169" s="73">
        <v>0</v>
      </c>
      <c r="CL169" s="73">
        <v>0</v>
      </c>
      <c r="CM169" s="73">
        <v>0</v>
      </c>
      <c r="CN169" s="73">
        <v>0</v>
      </c>
      <c r="CO169" s="73">
        <v>0</v>
      </c>
      <c r="CP169" s="84">
        <v>283</v>
      </c>
      <c r="CQ169" s="73">
        <v>0</v>
      </c>
      <c r="CR169" s="73">
        <v>0</v>
      </c>
      <c r="CS169" s="73">
        <v>0</v>
      </c>
      <c r="CT169" s="403">
        <v>0</v>
      </c>
      <c r="CU169" s="403"/>
      <c r="CV169" s="404">
        <f t="shared" si="5"/>
        <v>0</v>
      </c>
      <c r="CW169" s="404"/>
      <c r="CX169" s="398"/>
      <c r="CY169" s="398"/>
      <c r="CZ169" s="398"/>
      <c r="DA169" s="398"/>
      <c r="DB169" s="398"/>
      <c r="DC169" s="398"/>
      <c r="DD169" s="398"/>
    </row>
    <row r="170" spans="1:108" s="402" customFormat="1" ht="15" hidden="1" customHeight="1" x14ac:dyDescent="0.25">
      <c r="A170" s="398" t="s">
        <v>690</v>
      </c>
      <c r="B170" s="74" t="s">
        <v>154</v>
      </c>
      <c r="C170" s="74" t="s">
        <v>172</v>
      </c>
      <c r="D170" s="74" t="s">
        <v>196</v>
      </c>
      <c r="E170" s="74" t="s">
        <v>309</v>
      </c>
      <c r="F170" s="74" t="s">
        <v>550</v>
      </c>
      <c r="G170" s="74" t="s">
        <v>137</v>
      </c>
      <c r="H170" s="74" t="s">
        <v>137</v>
      </c>
      <c r="I170" s="74" t="s">
        <v>66</v>
      </c>
      <c r="J170" s="74" t="s">
        <v>29</v>
      </c>
      <c r="K170" s="82" t="s">
        <v>137</v>
      </c>
      <c r="L170" s="82" t="s">
        <v>137</v>
      </c>
      <c r="M170" s="82" t="s">
        <v>137</v>
      </c>
      <c r="N170" s="82" t="s">
        <v>137</v>
      </c>
      <c r="O170" s="82" t="s">
        <v>137</v>
      </c>
      <c r="P170" s="82" t="s">
        <v>137</v>
      </c>
      <c r="Q170" s="74" t="s">
        <v>87</v>
      </c>
      <c r="R170" s="74" t="s">
        <v>709</v>
      </c>
      <c r="S170" s="74" t="s">
        <v>40</v>
      </c>
      <c r="T170" s="74" t="s">
        <v>2</v>
      </c>
      <c r="U170" s="75"/>
      <c r="V170" s="75">
        <v>0.05</v>
      </c>
      <c r="W170" s="75">
        <v>0.08</v>
      </c>
      <c r="X170" s="75">
        <v>0.15</v>
      </c>
      <c r="Y170" s="75">
        <v>0.2</v>
      </c>
      <c r="Z170" s="75">
        <v>0.25</v>
      </c>
      <c r="AA170" s="75">
        <v>0.37</v>
      </c>
      <c r="AB170" s="75">
        <v>0.42</v>
      </c>
      <c r="AC170" s="75">
        <v>0.57999999999999996</v>
      </c>
      <c r="AD170" s="75">
        <v>0.67</v>
      </c>
      <c r="AE170" s="75">
        <v>0.83</v>
      </c>
      <c r="AF170" s="75">
        <v>1</v>
      </c>
      <c r="AG170" s="74" t="s">
        <v>772</v>
      </c>
      <c r="AH170" s="74" t="s">
        <v>531</v>
      </c>
      <c r="AI170" s="78" t="s">
        <v>539</v>
      </c>
      <c r="AJ170" s="79" t="s">
        <v>539</v>
      </c>
      <c r="AK170" s="80">
        <v>46023</v>
      </c>
      <c r="AL170" s="80">
        <v>46387</v>
      </c>
      <c r="AM170" s="79"/>
      <c r="AN170" s="79"/>
      <c r="AO170" s="79"/>
      <c r="AP170" s="81" t="s">
        <v>540</v>
      </c>
      <c r="AQ170" s="80" cm="1">
        <f t="array" ref="AQ170">IFERROR(DATE(2026, _xlfn.AGGREGATE(15, 6, (COLUMN(CI170:CT170)-COLUMN(CI170)+1)/(CI170:CT170&lt;&gt;0), 1), 1),"N/A")</f>
        <v>46054</v>
      </c>
      <c r="AR170" s="80" cm="1">
        <f t="array" ref="AR170">IFERROR(EOMONTH(DATE(2026, _xlfn.AGGREGATE(14, 6, (COLUMN(CI170:CT170)-COLUMN(CI170)+1)/(CI170:CT170&lt;&gt;0), 1), 1), 0),"N/A")</f>
        <v>46234</v>
      </c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398" t="s">
        <v>679</v>
      </c>
      <c r="BG170" s="74"/>
      <c r="BH170" s="398" t="s">
        <v>740</v>
      </c>
      <c r="BI170" s="74" t="s">
        <v>137</v>
      </c>
      <c r="BJ170" s="399">
        <v>530208</v>
      </c>
      <c r="BK170" s="400" t="s">
        <v>74</v>
      </c>
      <c r="BL170" s="401">
        <v>96030</v>
      </c>
      <c r="BM170" s="84">
        <v>16005</v>
      </c>
      <c r="BN170" s="84">
        <v>16005</v>
      </c>
      <c r="BO170" s="84">
        <v>16005</v>
      </c>
      <c r="BP170" s="84">
        <v>16005</v>
      </c>
      <c r="BQ170" s="84">
        <v>16005</v>
      </c>
      <c r="BR170" s="84">
        <v>16005</v>
      </c>
      <c r="BS170" s="84"/>
      <c r="BT170" s="84"/>
      <c r="BU170" s="84"/>
      <c r="BV170" s="84"/>
      <c r="BW170" s="84"/>
      <c r="BX170" s="84"/>
      <c r="BY170" s="84"/>
      <c r="BZ170" s="84">
        <v>-19050</v>
      </c>
      <c r="CA170" s="84"/>
      <c r="CB170" s="84"/>
      <c r="CC170" s="84"/>
      <c r="CD170" s="84"/>
      <c r="CE170" s="84"/>
      <c r="CF170" s="84"/>
      <c r="CG170" s="84"/>
      <c r="CH170" s="73">
        <f t="shared" si="4"/>
        <v>76980</v>
      </c>
      <c r="CI170" s="84"/>
      <c r="CJ170" s="84">
        <v>12830</v>
      </c>
      <c r="CK170" s="84">
        <v>12830</v>
      </c>
      <c r="CL170" s="84">
        <v>12830</v>
      </c>
      <c r="CM170" s="122">
        <v>12830</v>
      </c>
      <c r="CN170" s="84">
        <v>12830</v>
      </c>
      <c r="CO170" s="84">
        <v>12830</v>
      </c>
      <c r="CP170" s="84"/>
      <c r="CQ170" s="84"/>
      <c r="CR170" s="84"/>
      <c r="CS170" s="84"/>
      <c r="CT170" s="84"/>
      <c r="CU170" s="84"/>
      <c r="CV170" s="84">
        <f t="shared" si="5"/>
        <v>0</v>
      </c>
      <c r="CW170" s="84"/>
      <c r="CX170" s="74"/>
      <c r="CY170" s="74"/>
      <c r="CZ170" s="74"/>
      <c r="DA170" s="398"/>
      <c r="DB170" s="398"/>
      <c r="DC170" s="398"/>
      <c r="DD170" s="398"/>
    </row>
    <row r="171" spans="1:108" s="68" customFormat="1" ht="15" hidden="1" customHeight="1" x14ac:dyDescent="0.25">
      <c r="A171" s="74" t="s">
        <v>690</v>
      </c>
      <c r="B171" s="74" t="s">
        <v>154</v>
      </c>
      <c r="C171" s="74" t="s">
        <v>172</v>
      </c>
      <c r="D171" s="85" t="s">
        <v>196</v>
      </c>
      <c r="E171" s="74" t="s">
        <v>309</v>
      </c>
      <c r="F171" s="74" t="s">
        <v>550</v>
      </c>
      <c r="G171" s="74" t="s">
        <v>137</v>
      </c>
      <c r="H171" s="74" t="s">
        <v>137</v>
      </c>
      <c r="I171" s="74" t="s">
        <v>66</v>
      </c>
      <c r="J171" s="74" t="s">
        <v>29</v>
      </c>
      <c r="K171" s="82" t="s">
        <v>137</v>
      </c>
      <c r="L171" s="82" t="s">
        <v>137</v>
      </c>
      <c r="M171" s="82" t="s">
        <v>137</v>
      </c>
      <c r="N171" s="82" t="s">
        <v>137</v>
      </c>
      <c r="O171" s="82" t="s">
        <v>137</v>
      </c>
      <c r="P171" s="82" t="s">
        <v>137</v>
      </c>
      <c r="Q171" s="74" t="s">
        <v>87</v>
      </c>
      <c r="R171" s="74" t="s">
        <v>709</v>
      </c>
      <c r="S171" s="74" t="s">
        <v>40</v>
      </c>
      <c r="T171" s="74" t="s">
        <v>2</v>
      </c>
      <c r="U171" s="75"/>
      <c r="V171" s="75">
        <v>0.05</v>
      </c>
      <c r="W171" s="75">
        <v>0.08</v>
      </c>
      <c r="X171" s="75">
        <v>0.15</v>
      </c>
      <c r="Y171" s="75">
        <v>0.2</v>
      </c>
      <c r="Z171" s="75">
        <v>0.25</v>
      </c>
      <c r="AA171" s="75">
        <v>0.37</v>
      </c>
      <c r="AB171" s="75">
        <v>0.42</v>
      </c>
      <c r="AC171" s="75">
        <v>0.57999999999999996</v>
      </c>
      <c r="AD171" s="75">
        <v>0.67</v>
      </c>
      <c r="AE171" s="75">
        <v>0.83</v>
      </c>
      <c r="AF171" s="75">
        <v>1</v>
      </c>
      <c r="AG171" s="74" t="s">
        <v>533</v>
      </c>
      <c r="AH171" s="74" t="s">
        <v>530</v>
      </c>
      <c r="AI171" s="78" t="s">
        <v>539</v>
      </c>
      <c r="AJ171" s="79" t="s">
        <v>539</v>
      </c>
      <c r="AK171" s="80">
        <v>46023</v>
      </c>
      <c r="AL171" s="80">
        <v>46387</v>
      </c>
      <c r="AM171" s="79"/>
      <c r="AN171" s="79"/>
      <c r="AO171" s="79"/>
      <c r="AP171" s="81" t="s">
        <v>540</v>
      </c>
      <c r="AQ171" s="80" cm="1">
        <f t="array" ref="AQ171">IFERROR(DATE(2026, _xlfn.AGGREGATE(15, 6, (COLUMN(CI171:CT171)-COLUMN(CI171)+1)/(CI171:CT171&lt;&gt;0), 1), 1),"N/A")</f>
        <v>46357</v>
      </c>
      <c r="AR171" s="80" cm="1">
        <f t="array" ref="AR171">IFERROR(EOMONTH(DATE(2026, _xlfn.AGGREGATE(14, 6, (COLUMN(CI171:CT171)-COLUMN(CI171)+1)/(CI171:CT171&lt;&gt;0), 1), 1), 0),"N/A")</f>
        <v>46387</v>
      </c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4" t="s">
        <v>704</v>
      </c>
      <c r="BG171" s="74"/>
      <c r="BH171" s="74" t="s">
        <v>871</v>
      </c>
      <c r="BI171" s="74" t="s">
        <v>137</v>
      </c>
      <c r="BJ171" s="78">
        <v>530208</v>
      </c>
      <c r="BK171" s="82" t="s">
        <v>74</v>
      </c>
      <c r="BL171" s="83">
        <v>76980</v>
      </c>
      <c r="BM171" s="73"/>
      <c r="BN171" s="73"/>
      <c r="BO171" s="73"/>
      <c r="BP171" s="73"/>
      <c r="BQ171" s="73"/>
      <c r="BR171" s="84"/>
      <c r="BS171" s="73">
        <v>12830</v>
      </c>
      <c r="BT171" s="73">
        <v>12830</v>
      </c>
      <c r="BU171" s="73">
        <v>12830</v>
      </c>
      <c r="BV171" s="73">
        <v>12830</v>
      </c>
      <c r="BW171" s="73">
        <v>12830</v>
      </c>
      <c r="BX171" s="73">
        <v>12830</v>
      </c>
      <c r="BY171" s="73"/>
      <c r="BZ171" s="73"/>
      <c r="CA171" s="73">
        <v>48020</v>
      </c>
      <c r="CB171" s="73"/>
      <c r="CC171" s="73"/>
      <c r="CD171" s="73">
        <v>2173</v>
      </c>
      <c r="CE171" s="73"/>
      <c r="CF171" s="73"/>
      <c r="CG171" s="73"/>
      <c r="CH171" s="73">
        <f t="shared" si="4"/>
        <v>127173</v>
      </c>
      <c r="CI171" s="73"/>
      <c r="CJ171" s="73"/>
      <c r="CK171" s="72"/>
      <c r="CL171" s="73"/>
      <c r="CM171" s="73"/>
      <c r="CN171" s="84"/>
      <c r="CO171" s="73"/>
      <c r="CP171" s="73"/>
      <c r="CQ171" s="73"/>
      <c r="CR171" s="73"/>
      <c r="CS171" s="73"/>
      <c r="CT171" s="73">
        <v>127173</v>
      </c>
      <c r="CU171" s="73"/>
      <c r="CV171" s="84">
        <f t="shared" si="5"/>
        <v>0</v>
      </c>
      <c r="CW171" s="84"/>
      <c r="CX171" s="74"/>
      <c r="CY171" s="74"/>
      <c r="CZ171" s="74"/>
      <c r="DA171" s="74"/>
      <c r="DB171" s="74"/>
      <c r="DC171" s="74"/>
      <c r="DD171" s="74"/>
    </row>
    <row r="172" spans="1:108" s="68" customFormat="1" ht="15" customHeight="1" x14ac:dyDescent="0.25">
      <c r="A172" s="74" t="s">
        <v>691</v>
      </c>
      <c r="B172" s="74" t="s">
        <v>154</v>
      </c>
      <c r="C172" s="74" t="s">
        <v>172</v>
      </c>
      <c r="D172" s="74" t="s">
        <v>196</v>
      </c>
      <c r="E172" s="74" t="s">
        <v>309</v>
      </c>
      <c r="F172" s="74" t="s">
        <v>550</v>
      </c>
      <c r="G172" s="74" t="s">
        <v>137</v>
      </c>
      <c r="H172" s="74" t="s">
        <v>137</v>
      </c>
      <c r="I172" s="74" t="s">
        <v>66</v>
      </c>
      <c r="J172" s="74" t="s">
        <v>29</v>
      </c>
      <c r="K172" s="82" t="s">
        <v>137</v>
      </c>
      <c r="L172" s="82" t="s">
        <v>137</v>
      </c>
      <c r="M172" s="82" t="s">
        <v>137</v>
      </c>
      <c r="N172" s="82" t="s">
        <v>137</v>
      </c>
      <c r="O172" s="82" t="s">
        <v>137</v>
      </c>
      <c r="P172" s="82" t="s">
        <v>137</v>
      </c>
      <c r="Q172" s="74" t="s">
        <v>87</v>
      </c>
      <c r="R172" s="74" t="s">
        <v>709</v>
      </c>
      <c r="S172" s="74" t="s">
        <v>40</v>
      </c>
      <c r="T172" s="74" t="s">
        <v>2</v>
      </c>
      <c r="U172" s="75"/>
      <c r="V172" s="75">
        <v>0.05</v>
      </c>
      <c r="W172" s="75">
        <v>0.08</v>
      </c>
      <c r="X172" s="75">
        <v>0.15</v>
      </c>
      <c r="Y172" s="75">
        <v>0.2</v>
      </c>
      <c r="Z172" s="75">
        <v>0.25</v>
      </c>
      <c r="AA172" s="75">
        <v>0.37</v>
      </c>
      <c r="AB172" s="75">
        <v>0.42</v>
      </c>
      <c r="AC172" s="75">
        <v>0.57999999999999996</v>
      </c>
      <c r="AD172" s="75">
        <v>0.67</v>
      </c>
      <c r="AE172" s="75">
        <v>0.83</v>
      </c>
      <c r="AF172" s="75">
        <v>1</v>
      </c>
      <c r="AG172" s="74" t="s">
        <v>533</v>
      </c>
      <c r="AH172" s="74" t="s">
        <v>530</v>
      </c>
      <c r="AI172" s="78" t="s">
        <v>539</v>
      </c>
      <c r="AJ172" s="79" t="s">
        <v>539</v>
      </c>
      <c r="AK172" s="80">
        <v>46023</v>
      </c>
      <c r="AL172" s="80">
        <v>46387</v>
      </c>
      <c r="AM172" s="79"/>
      <c r="AN172" s="79"/>
      <c r="AO172" s="79"/>
      <c r="AP172" s="81" t="s">
        <v>540</v>
      </c>
      <c r="AQ172" s="80" cm="1">
        <f t="array" ref="AQ172">IFERROR(DATE(2026, _xlfn.AGGREGATE(15, 6, (COLUMN(CI172:CT172)-COLUMN(CI172)+1)/(CI172:CT172&lt;&gt;0), 1), 1),"N/A")</f>
        <v>46174</v>
      </c>
      <c r="AR172" s="80" cm="1">
        <f t="array" ref="AR172">IFERROR(EOMONTH(DATE(2026, _xlfn.AGGREGATE(14, 6, (COLUMN(CI172:CT172)-COLUMN(CI172)+1)/(CI172:CT172&lt;&gt;0), 1), 1), 0),"N/A")</f>
        <v>46203</v>
      </c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4" t="s">
        <v>977</v>
      </c>
      <c r="BG172" s="74" t="s">
        <v>1009</v>
      </c>
      <c r="BH172" s="74" t="s">
        <v>978</v>
      </c>
      <c r="BI172" s="74" t="s">
        <v>137</v>
      </c>
      <c r="BJ172" s="78">
        <v>530704</v>
      </c>
      <c r="BK172" s="82" t="s">
        <v>74</v>
      </c>
      <c r="BL172" s="83">
        <v>0</v>
      </c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84"/>
      <c r="BX172" s="73"/>
      <c r="BY172" s="73">
        <v>3500</v>
      </c>
      <c r="BZ172" s="73"/>
      <c r="CA172" s="73"/>
      <c r="CB172" s="73"/>
      <c r="CC172" s="73"/>
      <c r="CD172" s="73"/>
      <c r="CE172" s="73"/>
      <c r="CF172" s="73"/>
      <c r="CG172" s="73"/>
      <c r="CH172" s="73">
        <f t="shared" si="4"/>
        <v>3500</v>
      </c>
      <c r="CI172" s="73"/>
      <c r="CJ172" s="73"/>
      <c r="CK172" s="72"/>
      <c r="CL172" s="73"/>
      <c r="CM172" s="73"/>
      <c r="CN172" s="73">
        <v>3500</v>
      </c>
      <c r="CO172" s="73"/>
      <c r="CP172" s="73"/>
      <c r="CQ172" s="73"/>
      <c r="CR172" s="73"/>
      <c r="CS172" s="84"/>
      <c r="CT172" s="73"/>
      <c r="CU172" s="73"/>
      <c r="CV172" s="84">
        <f t="shared" si="5"/>
        <v>0</v>
      </c>
      <c r="CW172" s="84"/>
      <c r="CX172" s="74"/>
      <c r="CY172" s="74"/>
      <c r="CZ172" s="74"/>
      <c r="DA172" s="74"/>
      <c r="DB172" s="74"/>
      <c r="DC172" s="74"/>
      <c r="DD172" s="74"/>
    </row>
    <row r="173" spans="1:108" s="68" customFormat="1" ht="15" hidden="1" customHeight="1" x14ac:dyDescent="0.25">
      <c r="A173" s="74" t="s">
        <v>694</v>
      </c>
      <c r="B173" s="74" t="s">
        <v>154</v>
      </c>
      <c r="C173" s="74" t="s">
        <v>172</v>
      </c>
      <c r="D173" s="74" t="s">
        <v>196</v>
      </c>
      <c r="E173" s="74" t="s">
        <v>309</v>
      </c>
      <c r="F173" s="74" t="s">
        <v>550</v>
      </c>
      <c r="G173" s="74" t="s">
        <v>137</v>
      </c>
      <c r="H173" s="74" t="s">
        <v>137</v>
      </c>
      <c r="I173" s="74" t="s">
        <v>66</v>
      </c>
      <c r="J173" s="74" t="s">
        <v>29</v>
      </c>
      <c r="K173" s="82" t="s">
        <v>137</v>
      </c>
      <c r="L173" s="82" t="s">
        <v>137</v>
      </c>
      <c r="M173" s="82" t="s">
        <v>137</v>
      </c>
      <c r="N173" s="82" t="s">
        <v>137</v>
      </c>
      <c r="O173" s="82" t="s">
        <v>137</v>
      </c>
      <c r="P173" s="82" t="s">
        <v>137</v>
      </c>
      <c r="Q173" s="74" t="s">
        <v>87</v>
      </c>
      <c r="R173" s="74" t="s">
        <v>709</v>
      </c>
      <c r="S173" s="74" t="s">
        <v>40</v>
      </c>
      <c r="T173" s="74" t="s">
        <v>2</v>
      </c>
      <c r="U173" s="75"/>
      <c r="V173" s="75">
        <v>0.05</v>
      </c>
      <c r="W173" s="75">
        <v>0.08</v>
      </c>
      <c r="X173" s="75">
        <v>0.15</v>
      </c>
      <c r="Y173" s="75">
        <v>0.2</v>
      </c>
      <c r="Z173" s="75">
        <v>0.25</v>
      </c>
      <c r="AA173" s="75">
        <v>0.37</v>
      </c>
      <c r="AB173" s="75">
        <v>0.42</v>
      </c>
      <c r="AC173" s="75">
        <v>0.57999999999999996</v>
      </c>
      <c r="AD173" s="75">
        <v>0.67</v>
      </c>
      <c r="AE173" s="75">
        <v>0.83</v>
      </c>
      <c r="AF173" s="75">
        <v>1</v>
      </c>
      <c r="AG173" s="74" t="s">
        <v>772</v>
      </c>
      <c r="AH173" s="74" t="s">
        <v>531</v>
      </c>
      <c r="AI173" s="78" t="s">
        <v>539</v>
      </c>
      <c r="AJ173" s="79" t="s">
        <v>539</v>
      </c>
      <c r="AK173" s="80">
        <v>46023</v>
      </c>
      <c r="AL173" s="80">
        <v>46387</v>
      </c>
      <c r="AM173" s="79"/>
      <c r="AN173" s="79"/>
      <c r="AO173" s="79"/>
      <c r="AP173" s="81" t="s">
        <v>540</v>
      </c>
      <c r="AQ173" s="80" cm="1">
        <f t="array" ref="AQ173">IFERROR(DATE(2026, _xlfn.AGGREGATE(15, 6, (COLUMN(CI173:CT173)-COLUMN(CI173)+1)/(CI173:CT173&lt;&gt;0), 1), 1),"N/A")</f>
        <v>46023</v>
      </c>
      <c r="AR173" s="80" cm="1">
        <f t="array" ref="AR173">IFERROR(EOMONTH(DATE(2026, _xlfn.AGGREGATE(14, 6, (COLUMN(CI173:CT173)-COLUMN(CI173)+1)/(CI173:CT173&lt;&gt;0), 1), 1), 0),"N/A")</f>
        <v>46142</v>
      </c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4" t="s">
        <v>595</v>
      </c>
      <c r="BG173" s="74"/>
      <c r="BH173" s="74" t="s">
        <v>742</v>
      </c>
      <c r="BI173" s="74" t="s">
        <v>137</v>
      </c>
      <c r="BJ173" s="78">
        <v>530241</v>
      </c>
      <c r="BK173" s="82" t="s">
        <v>74</v>
      </c>
      <c r="BL173" s="83">
        <v>1026</v>
      </c>
      <c r="BM173" s="84">
        <v>270</v>
      </c>
      <c r="BN173" s="84">
        <v>270</v>
      </c>
      <c r="BO173" s="84">
        <v>270</v>
      </c>
      <c r="BP173" s="72">
        <v>216</v>
      </c>
      <c r="BQ173" s="73">
        <v>0</v>
      </c>
      <c r="BR173" s="73">
        <v>0</v>
      </c>
      <c r="BS173" s="73">
        <v>0</v>
      </c>
      <c r="BT173" s="73">
        <v>0</v>
      </c>
      <c r="BU173" s="73">
        <v>0</v>
      </c>
      <c r="BV173" s="73">
        <v>0</v>
      </c>
      <c r="BW173" s="73">
        <v>0</v>
      </c>
      <c r="BX173" s="73">
        <v>0</v>
      </c>
      <c r="BY173" s="73"/>
      <c r="BZ173" s="73"/>
      <c r="CA173" s="73"/>
      <c r="CB173" s="73"/>
      <c r="CC173" s="73"/>
      <c r="CD173" s="73"/>
      <c r="CE173" s="73"/>
      <c r="CF173" s="73"/>
      <c r="CG173" s="73"/>
      <c r="CH173" s="73">
        <f t="shared" si="4"/>
        <v>1026</v>
      </c>
      <c r="CI173" s="84">
        <v>270</v>
      </c>
      <c r="CJ173" s="84">
        <v>270</v>
      </c>
      <c r="CK173" s="84">
        <v>270</v>
      </c>
      <c r="CL173" s="72">
        <v>216</v>
      </c>
      <c r="CM173" s="73">
        <v>0</v>
      </c>
      <c r="CN173" s="73">
        <v>0</v>
      </c>
      <c r="CO173" s="73">
        <v>0</v>
      </c>
      <c r="CP173" s="73">
        <v>0</v>
      </c>
      <c r="CQ173" s="73">
        <v>0</v>
      </c>
      <c r="CR173" s="73">
        <v>0</v>
      </c>
      <c r="CS173" s="73">
        <v>0</v>
      </c>
      <c r="CT173" s="73">
        <v>0</v>
      </c>
      <c r="CU173" s="73"/>
      <c r="CV173" s="84">
        <f t="shared" si="5"/>
        <v>0</v>
      </c>
      <c r="CW173" s="84"/>
      <c r="CX173" s="74"/>
      <c r="CY173" s="74"/>
      <c r="CZ173" s="74"/>
      <c r="DA173" s="74"/>
      <c r="DB173" s="74"/>
      <c r="DC173" s="74"/>
      <c r="DD173" s="74"/>
    </row>
    <row r="174" spans="1:108" s="68" customFormat="1" ht="15" hidden="1" customHeight="1" x14ac:dyDescent="0.25">
      <c r="A174" s="74" t="s">
        <v>694</v>
      </c>
      <c r="B174" s="74" t="s">
        <v>154</v>
      </c>
      <c r="C174" s="74" t="s">
        <v>172</v>
      </c>
      <c r="D174" s="74" t="s">
        <v>196</v>
      </c>
      <c r="E174" s="74" t="s">
        <v>309</v>
      </c>
      <c r="F174" s="74" t="s">
        <v>550</v>
      </c>
      <c r="G174" s="74" t="s">
        <v>137</v>
      </c>
      <c r="H174" s="74" t="s">
        <v>137</v>
      </c>
      <c r="I174" s="74" t="s">
        <v>66</v>
      </c>
      <c r="J174" s="74" t="s">
        <v>29</v>
      </c>
      <c r="K174" s="82" t="s">
        <v>137</v>
      </c>
      <c r="L174" s="82" t="s">
        <v>137</v>
      </c>
      <c r="M174" s="82" t="s">
        <v>137</v>
      </c>
      <c r="N174" s="82" t="s">
        <v>137</v>
      </c>
      <c r="O174" s="82" t="s">
        <v>137</v>
      </c>
      <c r="P174" s="82" t="s">
        <v>137</v>
      </c>
      <c r="Q174" s="74" t="s">
        <v>87</v>
      </c>
      <c r="R174" s="74" t="s">
        <v>709</v>
      </c>
      <c r="S174" s="74" t="s">
        <v>40</v>
      </c>
      <c r="T174" s="74" t="s">
        <v>2</v>
      </c>
      <c r="U174" s="75"/>
      <c r="V174" s="75">
        <v>0.05</v>
      </c>
      <c r="W174" s="75">
        <v>0.08</v>
      </c>
      <c r="X174" s="75">
        <v>0.15</v>
      </c>
      <c r="Y174" s="75">
        <v>0.2</v>
      </c>
      <c r="Z174" s="75">
        <v>0.25</v>
      </c>
      <c r="AA174" s="75">
        <v>0.37</v>
      </c>
      <c r="AB174" s="75">
        <v>0.42</v>
      </c>
      <c r="AC174" s="75">
        <v>0.57999999999999996</v>
      </c>
      <c r="AD174" s="75">
        <v>0.67</v>
      </c>
      <c r="AE174" s="75">
        <v>0.83</v>
      </c>
      <c r="AF174" s="75">
        <v>1</v>
      </c>
      <c r="AG174" s="74" t="s">
        <v>533</v>
      </c>
      <c r="AH174" s="74" t="s">
        <v>530</v>
      </c>
      <c r="AI174" s="78" t="s">
        <v>539</v>
      </c>
      <c r="AJ174" s="79" t="s">
        <v>539</v>
      </c>
      <c r="AK174" s="80">
        <v>46023</v>
      </c>
      <c r="AL174" s="80">
        <v>46387</v>
      </c>
      <c r="AM174" s="79"/>
      <c r="AN174" s="79"/>
      <c r="AO174" s="79"/>
      <c r="AP174" s="81" t="s">
        <v>540</v>
      </c>
      <c r="AQ174" s="80" cm="1">
        <f t="array" ref="AQ174">IFERROR(DATE(2026, _xlfn.AGGREGATE(15, 6, (COLUMN(CI174:CT174)-COLUMN(CI174)+1)/(CI174:CT174&lt;&gt;0), 1), 1),"N/A")</f>
        <v>46143</v>
      </c>
      <c r="AR174" s="80" cm="1">
        <f t="array" ref="AR174">IFERROR(EOMONTH(DATE(2026, _xlfn.AGGREGATE(14, 6, (COLUMN(CI174:CT174)-COLUMN(CI174)+1)/(CI174:CT174&lt;&gt;0), 1), 1), 0),"N/A")</f>
        <v>46387</v>
      </c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4" t="s">
        <v>612</v>
      </c>
      <c r="BG174" s="74"/>
      <c r="BH174" s="74" t="s">
        <v>879</v>
      </c>
      <c r="BI174" s="74" t="s">
        <v>137</v>
      </c>
      <c r="BJ174" s="78">
        <v>530241</v>
      </c>
      <c r="BK174" s="82" t="s">
        <v>74</v>
      </c>
      <c r="BL174" s="83">
        <v>3500</v>
      </c>
      <c r="BM174" s="73">
        <v>0</v>
      </c>
      <c r="BN174" s="73">
        <v>0</v>
      </c>
      <c r="BO174" s="73">
        <v>0</v>
      </c>
      <c r="BP174" s="73">
        <v>0</v>
      </c>
      <c r="BQ174" s="84">
        <v>400</v>
      </c>
      <c r="BR174" s="84">
        <v>400</v>
      </c>
      <c r="BS174" s="84">
        <v>400</v>
      </c>
      <c r="BT174" s="84">
        <v>400</v>
      </c>
      <c r="BU174" s="84">
        <v>400</v>
      </c>
      <c r="BV174" s="84">
        <v>400</v>
      </c>
      <c r="BW174" s="84">
        <v>400</v>
      </c>
      <c r="BX174" s="84">
        <v>700</v>
      </c>
      <c r="BY174" s="84"/>
      <c r="BZ174" s="84"/>
      <c r="CA174" s="84"/>
      <c r="CB174" s="84">
        <v>-1236</v>
      </c>
      <c r="CC174" s="84"/>
      <c r="CD174" s="84"/>
      <c r="CE174" s="84"/>
      <c r="CF174" s="84"/>
      <c r="CG174" s="84"/>
      <c r="CH174" s="73">
        <f t="shared" si="4"/>
        <v>2264</v>
      </c>
      <c r="CI174" s="73"/>
      <c r="CJ174" s="73"/>
      <c r="CK174" s="72">
        <v>0</v>
      </c>
      <c r="CL174" s="73">
        <v>0</v>
      </c>
      <c r="CM174" s="84">
        <v>117</v>
      </c>
      <c r="CN174" s="84">
        <v>270</v>
      </c>
      <c r="CO174" s="84">
        <v>270</v>
      </c>
      <c r="CP174" s="84">
        <v>270</v>
      </c>
      <c r="CQ174" s="84">
        <v>270</v>
      </c>
      <c r="CR174" s="84">
        <v>270</v>
      </c>
      <c r="CS174" s="84">
        <v>270</v>
      </c>
      <c r="CT174" s="84">
        <v>270</v>
      </c>
      <c r="CU174" s="84">
        <v>257</v>
      </c>
      <c r="CV174" s="84">
        <f t="shared" si="5"/>
        <v>0</v>
      </c>
      <c r="CW174" s="84"/>
      <c r="CX174" s="74"/>
      <c r="CY174" s="74"/>
      <c r="CZ174" s="74"/>
      <c r="DA174" s="74"/>
      <c r="DB174" s="74"/>
      <c r="DC174" s="74"/>
      <c r="DD174" s="74"/>
    </row>
    <row r="175" spans="1:108" s="68" customFormat="1" ht="15" customHeight="1" x14ac:dyDescent="0.25">
      <c r="A175" s="74" t="s">
        <v>691</v>
      </c>
      <c r="B175" s="74" t="s">
        <v>154</v>
      </c>
      <c r="C175" s="74" t="s">
        <v>172</v>
      </c>
      <c r="D175" s="74" t="s">
        <v>196</v>
      </c>
      <c r="E175" s="74" t="s">
        <v>309</v>
      </c>
      <c r="F175" s="74" t="s">
        <v>550</v>
      </c>
      <c r="G175" s="74" t="s">
        <v>137</v>
      </c>
      <c r="H175" s="74" t="s">
        <v>137</v>
      </c>
      <c r="I175" s="74" t="s">
        <v>66</v>
      </c>
      <c r="J175" s="74" t="s">
        <v>29</v>
      </c>
      <c r="K175" s="82" t="s">
        <v>137</v>
      </c>
      <c r="L175" s="82" t="s">
        <v>137</v>
      </c>
      <c r="M175" s="82" t="s">
        <v>137</v>
      </c>
      <c r="N175" s="82" t="s">
        <v>137</v>
      </c>
      <c r="O175" s="82" t="s">
        <v>137</v>
      </c>
      <c r="P175" s="82" t="s">
        <v>137</v>
      </c>
      <c r="Q175" s="74" t="s">
        <v>87</v>
      </c>
      <c r="R175" s="74" t="s">
        <v>709</v>
      </c>
      <c r="S175" s="74" t="s">
        <v>40</v>
      </c>
      <c r="T175" s="74" t="s">
        <v>2</v>
      </c>
      <c r="U175" s="75"/>
      <c r="V175" s="75">
        <v>0.05</v>
      </c>
      <c r="W175" s="75">
        <v>0.08</v>
      </c>
      <c r="X175" s="75">
        <v>0.15</v>
      </c>
      <c r="Y175" s="75">
        <v>0.2</v>
      </c>
      <c r="Z175" s="75">
        <v>0.25</v>
      </c>
      <c r="AA175" s="75">
        <v>0.37</v>
      </c>
      <c r="AB175" s="75">
        <v>0.42</v>
      </c>
      <c r="AC175" s="75">
        <v>0.57999999999999996</v>
      </c>
      <c r="AD175" s="75">
        <v>0.67</v>
      </c>
      <c r="AE175" s="75">
        <v>0.83</v>
      </c>
      <c r="AF175" s="75">
        <v>1</v>
      </c>
      <c r="AG175" s="74" t="s">
        <v>533</v>
      </c>
      <c r="AH175" s="74" t="s">
        <v>530</v>
      </c>
      <c r="AI175" s="78" t="s">
        <v>539</v>
      </c>
      <c r="AJ175" s="79" t="s">
        <v>539</v>
      </c>
      <c r="AK175" s="80">
        <v>46023</v>
      </c>
      <c r="AL175" s="80">
        <v>46387</v>
      </c>
      <c r="AM175" s="79"/>
      <c r="AN175" s="79"/>
      <c r="AO175" s="79"/>
      <c r="AP175" s="81" t="s">
        <v>540</v>
      </c>
      <c r="AQ175" s="80" cm="1">
        <f t="array" ref="AQ175">IFERROR(DATE(2026, _xlfn.AGGREGATE(15, 6, (COLUMN(CI175:CT175)-COLUMN(CI175)+1)/(CI175:CT175&lt;&gt;0), 1), 1),"N/A")</f>
        <v>46327</v>
      </c>
      <c r="AR175" s="80" cm="1">
        <f t="array" ref="AR175">IFERROR(EOMONTH(DATE(2026, _xlfn.AGGREGATE(14, 6, (COLUMN(CI175:CT175)-COLUMN(CI175)+1)/(CI175:CT175&lt;&gt;0), 1), 1), 0),"N/A")</f>
        <v>46356</v>
      </c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4" t="s">
        <v>1215</v>
      </c>
      <c r="BG175" s="74"/>
      <c r="BH175" s="74" t="s">
        <v>1216</v>
      </c>
      <c r="BI175" s="74" t="s">
        <v>137</v>
      </c>
      <c r="BJ175" s="78">
        <v>530701</v>
      </c>
      <c r="BK175" s="82" t="s">
        <v>74</v>
      </c>
      <c r="BL175" s="83"/>
      <c r="BM175" s="73"/>
      <c r="BN175" s="73"/>
      <c r="BO175" s="73"/>
      <c r="BP175" s="73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>
        <v>50400</v>
      </c>
      <c r="CH175" s="73">
        <f t="shared" si="4"/>
        <v>50400</v>
      </c>
      <c r="CI175" s="73"/>
      <c r="CJ175" s="73"/>
      <c r="CK175" s="72"/>
      <c r="CL175" s="73"/>
      <c r="CM175" s="84"/>
      <c r="CN175" s="84"/>
      <c r="CO175" s="84"/>
      <c r="CP175" s="84"/>
      <c r="CQ175" s="84"/>
      <c r="CR175" s="84"/>
      <c r="CS175" s="84">
        <v>50400</v>
      </c>
      <c r="CT175" s="84"/>
      <c r="CU175" s="84"/>
      <c r="CV175" s="84">
        <f t="shared" si="5"/>
        <v>0</v>
      </c>
      <c r="CW175" s="84"/>
      <c r="CX175" s="74"/>
      <c r="CY175" s="74"/>
      <c r="CZ175" s="74"/>
      <c r="DA175" s="74"/>
      <c r="DB175" s="74"/>
      <c r="DC175" s="74"/>
      <c r="DD175" s="74"/>
    </row>
    <row r="176" spans="1:108" s="68" customFormat="1" ht="15" customHeight="1" x14ac:dyDescent="0.25">
      <c r="A176" s="74" t="s">
        <v>691</v>
      </c>
      <c r="B176" s="74" t="s">
        <v>154</v>
      </c>
      <c r="C176" s="74" t="s">
        <v>172</v>
      </c>
      <c r="D176" s="74" t="s">
        <v>196</v>
      </c>
      <c r="E176" s="74" t="s">
        <v>309</v>
      </c>
      <c r="F176" s="74" t="s">
        <v>550</v>
      </c>
      <c r="G176" s="74" t="s">
        <v>137</v>
      </c>
      <c r="H176" s="74" t="s">
        <v>137</v>
      </c>
      <c r="I176" s="74" t="s">
        <v>66</v>
      </c>
      <c r="J176" s="74" t="s">
        <v>29</v>
      </c>
      <c r="K176" s="82" t="s">
        <v>137</v>
      </c>
      <c r="L176" s="82" t="s">
        <v>137</v>
      </c>
      <c r="M176" s="82" t="s">
        <v>137</v>
      </c>
      <c r="N176" s="82" t="s">
        <v>137</v>
      </c>
      <c r="O176" s="82" t="s">
        <v>137</v>
      </c>
      <c r="P176" s="82" t="s">
        <v>137</v>
      </c>
      <c r="Q176" s="74" t="s">
        <v>87</v>
      </c>
      <c r="R176" s="74" t="s">
        <v>709</v>
      </c>
      <c r="S176" s="74" t="s">
        <v>40</v>
      </c>
      <c r="T176" s="74" t="s">
        <v>2</v>
      </c>
      <c r="U176" s="75"/>
      <c r="V176" s="75">
        <v>0.05</v>
      </c>
      <c r="W176" s="75">
        <v>0.08</v>
      </c>
      <c r="X176" s="75">
        <v>0.15</v>
      </c>
      <c r="Y176" s="75">
        <v>0.2</v>
      </c>
      <c r="Z176" s="75">
        <v>0.25</v>
      </c>
      <c r="AA176" s="75">
        <v>0.37</v>
      </c>
      <c r="AB176" s="75">
        <v>0.42</v>
      </c>
      <c r="AC176" s="75">
        <v>0.57999999999999996</v>
      </c>
      <c r="AD176" s="75">
        <v>0.67</v>
      </c>
      <c r="AE176" s="75">
        <v>0.83</v>
      </c>
      <c r="AF176" s="75">
        <v>1</v>
      </c>
      <c r="AG176" s="74" t="s">
        <v>533</v>
      </c>
      <c r="AH176" s="74" t="s">
        <v>530</v>
      </c>
      <c r="AI176" s="78" t="s">
        <v>539</v>
      </c>
      <c r="AJ176" s="79" t="s">
        <v>539</v>
      </c>
      <c r="AK176" s="80">
        <v>46023</v>
      </c>
      <c r="AL176" s="80">
        <v>46387</v>
      </c>
      <c r="AM176" s="79"/>
      <c r="AN176" s="79"/>
      <c r="AO176" s="79"/>
      <c r="AP176" s="81" t="s">
        <v>540</v>
      </c>
      <c r="AQ176" s="80" cm="1">
        <f t="array" ref="AQ176">IFERROR(DATE(2026, _xlfn.AGGREGATE(15, 6, (COLUMN(CI176:CT176)-COLUMN(CI176)+1)/(CI176:CT176&lt;&gt;0), 1), 1),"N/A")</f>
        <v>46327</v>
      </c>
      <c r="AR176" s="80" cm="1">
        <f t="array" ref="AR176">IFERROR(EOMONTH(DATE(2026, _xlfn.AGGREGATE(14, 6, (COLUMN(CI176:CT176)-COLUMN(CI176)+1)/(CI176:CT176&lt;&gt;0), 1), 1), 0),"N/A")</f>
        <v>46356</v>
      </c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4" t="s">
        <v>1215</v>
      </c>
      <c r="BG176" s="74"/>
      <c r="BH176" s="74" t="s">
        <v>1217</v>
      </c>
      <c r="BI176" s="74" t="s">
        <v>137</v>
      </c>
      <c r="BJ176" s="78">
        <v>530702</v>
      </c>
      <c r="BK176" s="82" t="s">
        <v>74</v>
      </c>
      <c r="BL176" s="83"/>
      <c r="BM176" s="73"/>
      <c r="BN176" s="73"/>
      <c r="BO176" s="73"/>
      <c r="BP176" s="73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>
        <v>9600</v>
      </c>
      <c r="CH176" s="73">
        <f t="shared" si="4"/>
        <v>9600</v>
      </c>
      <c r="CI176" s="73"/>
      <c r="CJ176" s="73"/>
      <c r="CK176" s="72"/>
      <c r="CL176" s="73"/>
      <c r="CM176" s="84"/>
      <c r="CN176" s="84"/>
      <c r="CO176" s="84"/>
      <c r="CP176" s="84"/>
      <c r="CQ176" s="84"/>
      <c r="CR176" s="84"/>
      <c r="CS176" s="84">
        <v>9600</v>
      </c>
      <c r="CT176" s="84"/>
      <c r="CU176" s="84"/>
      <c r="CV176" s="84">
        <f t="shared" si="5"/>
        <v>0</v>
      </c>
      <c r="CW176" s="84"/>
      <c r="CX176" s="74"/>
      <c r="CY176" s="74"/>
      <c r="CZ176" s="74"/>
      <c r="DA176" s="74"/>
      <c r="DB176" s="74"/>
      <c r="DC176" s="74"/>
      <c r="DD176" s="74"/>
    </row>
    <row r="177" spans="1:108" s="68" customFormat="1" ht="15" customHeight="1" x14ac:dyDescent="0.25">
      <c r="A177" s="74" t="s">
        <v>691</v>
      </c>
      <c r="B177" s="74" t="s">
        <v>154</v>
      </c>
      <c r="C177" s="74" t="s">
        <v>172</v>
      </c>
      <c r="D177" s="74" t="s">
        <v>196</v>
      </c>
      <c r="E177" s="74" t="s">
        <v>309</v>
      </c>
      <c r="F177" s="74" t="s">
        <v>550</v>
      </c>
      <c r="G177" s="74" t="s">
        <v>137</v>
      </c>
      <c r="H177" s="74" t="s">
        <v>137</v>
      </c>
      <c r="I177" s="74" t="s">
        <v>66</v>
      </c>
      <c r="J177" s="74" t="s">
        <v>29</v>
      </c>
      <c r="K177" s="82" t="s">
        <v>137</v>
      </c>
      <c r="L177" s="82" t="s">
        <v>137</v>
      </c>
      <c r="M177" s="82" t="s">
        <v>137</v>
      </c>
      <c r="N177" s="82" t="s">
        <v>137</v>
      </c>
      <c r="O177" s="82" t="s">
        <v>137</v>
      </c>
      <c r="P177" s="82" t="s">
        <v>137</v>
      </c>
      <c r="Q177" s="74" t="s">
        <v>87</v>
      </c>
      <c r="R177" s="74" t="s">
        <v>709</v>
      </c>
      <c r="S177" s="74" t="s">
        <v>40</v>
      </c>
      <c r="T177" s="74" t="s">
        <v>2</v>
      </c>
      <c r="U177" s="75"/>
      <c r="V177" s="75">
        <v>0.05</v>
      </c>
      <c r="W177" s="75">
        <v>0.08</v>
      </c>
      <c r="X177" s="75">
        <v>0.15</v>
      </c>
      <c r="Y177" s="75">
        <v>0.2</v>
      </c>
      <c r="Z177" s="75">
        <v>0.25</v>
      </c>
      <c r="AA177" s="75">
        <v>0.37</v>
      </c>
      <c r="AB177" s="75">
        <v>0.42</v>
      </c>
      <c r="AC177" s="75">
        <v>0.57999999999999996</v>
      </c>
      <c r="AD177" s="75">
        <v>0.67</v>
      </c>
      <c r="AE177" s="75">
        <v>0.83</v>
      </c>
      <c r="AF177" s="75">
        <v>1</v>
      </c>
      <c r="AG177" s="74" t="s">
        <v>533</v>
      </c>
      <c r="AH177" s="74" t="s">
        <v>530</v>
      </c>
      <c r="AI177" s="78" t="s">
        <v>539</v>
      </c>
      <c r="AJ177" s="79" t="s">
        <v>539</v>
      </c>
      <c r="AK177" s="80">
        <v>46023</v>
      </c>
      <c r="AL177" s="80">
        <v>46387</v>
      </c>
      <c r="AM177" s="79"/>
      <c r="AN177" s="79"/>
      <c r="AO177" s="79"/>
      <c r="AP177" s="81" t="s">
        <v>540</v>
      </c>
      <c r="AQ177" s="80" t="str" cm="1">
        <f t="array" ref="AQ177">IFERROR(DATE(2026, _xlfn.AGGREGATE(15, 6, (COLUMN(CI177:CT177)-COLUMN(CI177)+1)/(CI177:CT177&lt;&gt;0), 1), 1),"N/A")</f>
        <v>N/A</v>
      </c>
      <c r="AR177" s="80" t="str" cm="1">
        <f t="array" ref="AR177">IFERROR(EOMONTH(DATE(2026, _xlfn.AGGREGATE(14, 6, (COLUMN(CI177:CT177)-COLUMN(CI177)+1)/(CI177:CT177&lt;&gt;0), 1), 1), 0),"N/A")</f>
        <v>N/A</v>
      </c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4" t="s">
        <v>670</v>
      </c>
      <c r="BG177" s="74" t="s">
        <v>1009</v>
      </c>
      <c r="BH177" s="74" t="s">
        <v>893</v>
      </c>
      <c r="BI177" s="74" t="s">
        <v>137</v>
      </c>
      <c r="BJ177" s="78">
        <v>530701</v>
      </c>
      <c r="BK177" s="82" t="s">
        <v>74</v>
      </c>
      <c r="BL177" s="83">
        <v>50000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73">
        <v>0</v>
      </c>
      <c r="BS177" s="73">
        <v>0</v>
      </c>
      <c r="BT177" s="84">
        <v>50000</v>
      </c>
      <c r="BU177" s="73">
        <v>0</v>
      </c>
      <c r="BV177" s="73">
        <v>0</v>
      </c>
      <c r="BW177" s="73">
        <v>0</v>
      </c>
      <c r="BX177" s="73">
        <v>0</v>
      </c>
      <c r="BY177" s="73">
        <v>-50000</v>
      </c>
      <c r="BZ177" s="73"/>
      <c r="CA177" s="73"/>
      <c r="CB177" s="73"/>
      <c r="CC177" s="73"/>
      <c r="CD177" s="73"/>
      <c r="CE177" s="73"/>
      <c r="CF177" s="73"/>
      <c r="CG177" s="73"/>
      <c r="CH177" s="73">
        <f t="shared" si="4"/>
        <v>0</v>
      </c>
      <c r="CI177" s="73"/>
      <c r="CJ177" s="73"/>
      <c r="CK177" s="72">
        <v>0</v>
      </c>
      <c r="CL177" s="73">
        <v>0</v>
      </c>
      <c r="CM177" s="73">
        <v>0</v>
      </c>
      <c r="CN177" s="73">
        <v>0</v>
      </c>
      <c r="CO177" s="73">
        <v>0</v>
      </c>
      <c r="CP177" s="84">
        <v>0</v>
      </c>
      <c r="CQ177" s="73">
        <v>0</v>
      </c>
      <c r="CR177" s="73">
        <v>0</v>
      </c>
      <c r="CS177" s="73">
        <v>0</v>
      </c>
      <c r="CT177" s="73">
        <v>0</v>
      </c>
      <c r="CU177" s="73"/>
      <c r="CV177" s="84">
        <f t="shared" si="5"/>
        <v>0</v>
      </c>
      <c r="CW177" s="84"/>
      <c r="CX177" s="74"/>
      <c r="CY177" s="74"/>
      <c r="CZ177" s="74"/>
      <c r="DA177" s="74"/>
      <c r="DB177" s="74"/>
      <c r="DC177" s="74"/>
      <c r="DD177" s="74"/>
    </row>
    <row r="178" spans="1:108" s="68" customFormat="1" ht="15" customHeight="1" x14ac:dyDescent="0.25">
      <c r="A178" s="74" t="s">
        <v>691</v>
      </c>
      <c r="B178" s="74" t="s">
        <v>154</v>
      </c>
      <c r="C178" s="74" t="s">
        <v>172</v>
      </c>
      <c r="D178" s="74" t="s">
        <v>196</v>
      </c>
      <c r="E178" s="74" t="s">
        <v>309</v>
      </c>
      <c r="F178" s="74" t="s">
        <v>550</v>
      </c>
      <c r="G178" s="74" t="s">
        <v>137</v>
      </c>
      <c r="H178" s="74" t="s">
        <v>137</v>
      </c>
      <c r="I178" s="74" t="s">
        <v>66</v>
      </c>
      <c r="J178" s="74" t="s">
        <v>29</v>
      </c>
      <c r="K178" s="82" t="s">
        <v>137</v>
      </c>
      <c r="L178" s="82" t="s">
        <v>137</v>
      </c>
      <c r="M178" s="82" t="s">
        <v>137</v>
      </c>
      <c r="N178" s="82" t="s">
        <v>137</v>
      </c>
      <c r="O178" s="82" t="s">
        <v>137</v>
      </c>
      <c r="P178" s="82" t="s">
        <v>137</v>
      </c>
      <c r="Q178" s="74" t="s">
        <v>87</v>
      </c>
      <c r="R178" s="74" t="s">
        <v>709</v>
      </c>
      <c r="S178" s="74" t="s">
        <v>40</v>
      </c>
      <c r="T178" s="74" t="s">
        <v>2</v>
      </c>
      <c r="U178" s="75"/>
      <c r="V178" s="75">
        <v>0.05</v>
      </c>
      <c r="W178" s="75">
        <v>0.08</v>
      </c>
      <c r="X178" s="75">
        <v>0.15</v>
      </c>
      <c r="Y178" s="75">
        <v>0.2</v>
      </c>
      <c r="Z178" s="75">
        <v>0.25</v>
      </c>
      <c r="AA178" s="75">
        <v>0.37</v>
      </c>
      <c r="AB178" s="75">
        <v>0.42</v>
      </c>
      <c r="AC178" s="75">
        <v>0.57999999999999996</v>
      </c>
      <c r="AD178" s="75">
        <v>0.67</v>
      </c>
      <c r="AE178" s="75">
        <v>0.83</v>
      </c>
      <c r="AF178" s="75">
        <v>1</v>
      </c>
      <c r="AG178" s="74" t="s">
        <v>533</v>
      </c>
      <c r="AH178" s="74" t="s">
        <v>530</v>
      </c>
      <c r="AI178" s="78" t="s">
        <v>539</v>
      </c>
      <c r="AJ178" s="79" t="s">
        <v>539</v>
      </c>
      <c r="AK178" s="80">
        <v>46023</v>
      </c>
      <c r="AL178" s="80">
        <v>46387</v>
      </c>
      <c r="AM178" s="79"/>
      <c r="AN178" s="79"/>
      <c r="AO178" s="79"/>
      <c r="AP178" s="81" t="s">
        <v>540</v>
      </c>
      <c r="AQ178" s="80" t="str" cm="1">
        <f t="array" ref="AQ178">IFERROR(DATE(2026, _xlfn.AGGREGATE(15, 6, (COLUMN(CI178:CT178)-COLUMN(CI178)+1)/(CI178:CT178&lt;&gt;0), 1), 1),"N/A")</f>
        <v>N/A</v>
      </c>
      <c r="AR178" s="80" t="str" cm="1">
        <f t="array" ref="AR178">IFERROR(EOMONTH(DATE(2026, _xlfn.AGGREGATE(14, 6, (COLUMN(CI178:CT178)-COLUMN(CI178)+1)/(CI178:CT178&lt;&gt;0), 1), 1), 0),"N/A")</f>
        <v>N/A</v>
      </c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4" t="s">
        <v>960</v>
      </c>
      <c r="BG178" s="85" t="s">
        <v>1009</v>
      </c>
      <c r="BH178" s="74" t="s">
        <v>961</v>
      </c>
      <c r="BI178" s="74" t="s">
        <v>137</v>
      </c>
      <c r="BJ178" s="78">
        <v>530702</v>
      </c>
      <c r="BK178" s="82" t="s">
        <v>74</v>
      </c>
      <c r="BL178" s="83">
        <v>0</v>
      </c>
      <c r="BM178" s="73"/>
      <c r="BN178" s="73"/>
      <c r="BO178" s="73"/>
      <c r="BP178" s="73"/>
      <c r="BQ178" s="73"/>
      <c r="BR178" s="73"/>
      <c r="BS178" s="73"/>
      <c r="BT178" s="84"/>
      <c r="BU178" s="73"/>
      <c r="BV178" s="73"/>
      <c r="BW178" s="73"/>
      <c r="BX178" s="73"/>
      <c r="BY178" s="73">
        <v>9259.93</v>
      </c>
      <c r="BZ178" s="73"/>
      <c r="CA178" s="73"/>
      <c r="CB178" s="73"/>
      <c r="CC178" s="73"/>
      <c r="CD178" s="73">
        <v>-9259.93</v>
      </c>
      <c r="CE178" s="73"/>
      <c r="CF178" s="73"/>
      <c r="CG178" s="73"/>
      <c r="CH178" s="73">
        <f t="shared" si="4"/>
        <v>0</v>
      </c>
      <c r="CI178" s="73"/>
      <c r="CJ178" s="73"/>
      <c r="CK178" s="72"/>
      <c r="CL178" s="73"/>
      <c r="CM178" s="73"/>
      <c r="CN178" s="73"/>
      <c r="CO178" s="73"/>
      <c r="CP178" s="84"/>
      <c r="CQ178" s="73"/>
      <c r="CR178" s="73"/>
      <c r="CS178" s="73"/>
      <c r="CT178" s="73"/>
      <c r="CU178" s="73"/>
      <c r="CV178" s="84">
        <f t="shared" si="5"/>
        <v>0</v>
      </c>
      <c r="CW178" s="84"/>
      <c r="CX178" s="74"/>
      <c r="CY178" s="74"/>
      <c r="CZ178" s="74"/>
      <c r="DA178" s="74"/>
      <c r="DB178" s="74"/>
      <c r="DC178" s="74"/>
      <c r="DD178" s="74"/>
    </row>
    <row r="179" spans="1:108" s="68" customFormat="1" ht="15" customHeight="1" x14ac:dyDescent="0.25">
      <c r="A179" s="74" t="s">
        <v>691</v>
      </c>
      <c r="B179" s="74" t="s">
        <v>154</v>
      </c>
      <c r="C179" s="74" t="s">
        <v>172</v>
      </c>
      <c r="D179" s="74" t="s">
        <v>196</v>
      </c>
      <c r="E179" s="74" t="s">
        <v>309</v>
      </c>
      <c r="F179" s="74" t="s">
        <v>550</v>
      </c>
      <c r="G179" s="74" t="s">
        <v>137</v>
      </c>
      <c r="H179" s="74" t="s">
        <v>137</v>
      </c>
      <c r="I179" s="74" t="s">
        <v>66</v>
      </c>
      <c r="J179" s="74" t="s">
        <v>29</v>
      </c>
      <c r="K179" s="82" t="s">
        <v>137</v>
      </c>
      <c r="L179" s="82" t="s">
        <v>137</v>
      </c>
      <c r="M179" s="82" t="s">
        <v>137</v>
      </c>
      <c r="N179" s="82" t="s">
        <v>137</v>
      </c>
      <c r="O179" s="82" t="s">
        <v>137</v>
      </c>
      <c r="P179" s="82" t="s">
        <v>137</v>
      </c>
      <c r="Q179" s="74" t="s">
        <v>87</v>
      </c>
      <c r="R179" s="74" t="s">
        <v>709</v>
      </c>
      <c r="S179" s="74" t="s">
        <v>40</v>
      </c>
      <c r="T179" s="74" t="s">
        <v>2</v>
      </c>
      <c r="U179" s="75"/>
      <c r="V179" s="75">
        <v>0.05</v>
      </c>
      <c r="W179" s="75">
        <v>0.08</v>
      </c>
      <c r="X179" s="75">
        <v>0.15</v>
      </c>
      <c r="Y179" s="75">
        <v>0.2</v>
      </c>
      <c r="Z179" s="75">
        <v>0.25</v>
      </c>
      <c r="AA179" s="75">
        <v>0.37</v>
      </c>
      <c r="AB179" s="75">
        <v>0.42</v>
      </c>
      <c r="AC179" s="75">
        <v>0.57999999999999996</v>
      </c>
      <c r="AD179" s="75">
        <v>0.67</v>
      </c>
      <c r="AE179" s="75">
        <v>0.83</v>
      </c>
      <c r="AF179" s="75">
        <v>1</v>
      </c>
      <c r="AG179" s="74" t="s">
        <v>533</v>
      </c>
      <c r="AH179" s="74" t="s">
        <v>530</v>
      </c>
      <c r="AI179" s="78" t="s">
        <v>539</v>
      </c>
      <c r="AJ179" s="79" t="s">
        <v>539</v>
      </c>
      <c r="AK179" s="80">
        <v>46023</v>
      </c>
      <c r="AL179" s="80">
        <v>46387</v>
      </c>
      <c r="AM179" s="79"/>
      <c r="AN179" s="79"/>
      <c r="AO179" s="79"/>
      <c r="AP179" s="81" t="s">
        <v>540</v>
      </c>
      <c r="AQ179" s="80" cm="1">
        <f t="array" ref="AQ179">IFERROR(DATE(2026, _xlfn.AGGREGATE(15, 6, (COLUMN(CI179:CT179)-COLUMN(CI179)+1)/(CI179:CT179&lt;&gt;0), 1), 1),"N/A")</f>
        <v>46327</v>
      </c>
      <c r="AR179" s="80" cm="1">
        <f t="array" ref="AR179">IFERROR(EOMONTH(DATE(2026, _xlfn.AGGREGATE(14, 6, (COLUMN(CI179:CT179)-COLUMN(CI179)+1)/(CI179:CT179&lt;&gt;0), 1), 1), 0),"N/A")</f>
        <v>46356</v>
      </c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4" t="s">
        <v>969</v>
      </c>
      <c r="BG179" s="85" t="s">
        <v>1009</v>
      </c>
      <c r="BH179" s="74" t="s">
        <v>970</v>
      </c>
      <c r="BI179" s="74" t="s">
        <v>137</v>
      </c>
      <c r="BJ179" s="78">
        <v>530702</v>
      </c>
      <c r="BK179" s="82" t="s">
        <v>74</v>
      </c>
      <c r="BL179" s="83">
        <v>0</v>
      </c>
      <c r="BM179" s="73"/>
      <c r="BN179" s="73"/>
      <c r="BO179" s="73"/>
      <c r="BP179" s="73"/>
      <c r="BQ179" s="73"/>
      <c r="BR179" s="73"/>
      <c r="BS179" s="73"/>
      <c r="BT179" s="84"/>
      <c r="BU179" s="73"/>
      <c r="BV179" s="73"/>
      <c r="BW179" s="73"/>
      <c r="BX179" s="73"/>
      <c r="BY179" s="73">
        <v>65000</v>
      </c>
      <c r="BZ179" s="73"/>
      <c r="CA179" s="73">
        <v>-25000</v>
      </c>
      <c r="CB179" s="73"/>
      <c r="CC179" s="73"/>
      <c r="CD179" s="73"/>
      <c r="CE179" s="73"/>
      <c r="CF179" s="73"/>
      <c r="CG179" s="73"/>
      <c r="CH179" s="73">
        <f t="shared" si="4"/>
        <v>40000</v>
      </c>
      <c r="CI179" s="73"/>
      <c r="CJ179" s="73"/>
      <c r="CK179" s="72"/>
      <c r="CL179" s="73"/>
      <c r="CM179" s="73"/>
      <c r="CN179" s="73"/>
      <c r="CO179" s="73"/>
      <c r="CP179" s="84"/>
      <c r="CQ179" s="73"/>
      <c r="CR179" s="73"/>
      <c r="CS179" s="73">
        <v>40000</v>
      </c>
      <c r="CT179" s="73"/>
      <c r="CU179" s="73"/>
      <c r="CV179" s="84">
        <f t="shared" si="5"/>
        <v>0</v>
      </c>
      <c r="CW179" s="84"/>
      <c r="CX179" s="74"/>
      <c r="CY179" s="74"/>
      <c r="CZ179" s="74"/>
      <c r="DA179" s="74"/>
      <c r="DB179" s="74"/>
      <c r="DC179" s="74"/>
      <c r="DD179" s="74"/>
    </row>
    <row r="180" spans="1:108" s="68" customFormat="1" ht="15" customHeight="1" x14ac:dyDescent="0.25">
      <c r="A180" s="74" t="s">
        <v>691</v>
      </c>
      <c r="B180" s="74" t="s">
        <v>154</v>
      </c>
      <c r="C180" s="74" t="s">
        <v>172</v>
      </c>
      <c r="D180" s="74" t="s">
        <v>196</v>
      </c>
      <c r="E180" s="74" t="s">
        <v>309</v>
      </c>
      <c r="F180" s="74" t="s">
        <v>550</v>
      </c>
      <c r="G180" s="74" t="s">
        <v>137</v>
      </c>
      <c r="H180" s="74" t="s">
        <v>137</v>
      </c>
      <c r="I180" s="74" t="s">
        <v>66</v>
      </c>
      <c r="J180" s="74" t="s">
        <v>29</v>
      </c>
      <c r="K180" s="82" t="s">
        <v>137</v>
      </c>
      <c r="L180" s="82" t="s">
        <v>137</v>
      </c>
      <c r="M180" s="82" t="s">
        <v>137</v>
      </c>
      <c r="N180" s="82" t="s">
        <v>137</v>
      </c>
      <c r="O180" s="82" t="s">
        <v>137</v>
      </c>
      <c r="P180" s="82" t="s">
        <v>137</v>
      </c>
      <c r="Q180" s="74" t="s">
        <v>87</v>
      </c>
      <c r="R180" s="74" t="s">
        <v>709</v>
      </c>
      <c r="S180" s="74" t="s">
        <v>40</v>
      </c>
      <c r="T180" s="74" t="s">
        <v>2</v>
      </c>
      <c r="U180" s="75"/>
      <c r="V180" s="75">
        <v>0.05</v>
      </c>
      <c r="W180" s="75">
        <v>0.08</v>
      </c>
      <c r="X180" s="75">
        <v>0.15</v>
      </c>
      <c r="Y180" s="75">
        <v>0.2</v>
      </c>
      <c r="Z180" s="75">
        <v>0.25</v>
      </c>
      <c r="AA180" s="75">
        <v>0.37</v>
      </c>
      <c r="AB180" s="75">
        <v>0.42</v>
      </c>
      <c r="AC180" s="75">
        <v>0.57999999999999996</v>
      </c>
      <c r="AD180" s="75">
        <v>0.67</v>
      </c>
      <c r="AE180" s="75">
        <v>0.83</v>
      </c>
      <c r="AF180" s="75">
        <v>1</v>
      </c>
      <c r="AG180" s="74" t="s">
        <v>533</v>
      </c>
      <c r="AH180" s="74" t="s">
        <v>530</v>
      </c>
      <c r="AI180" s="78" t="s">
        <v>539</v>
      </c>
      <c r="AJ180" s="79" t="s">
        <v>539</v>
      </c>
      <c r="AK180" s="80">
        <v>46023</v>
      </c>
      <c r="AL180" s="80">
        <v>46387</v>
      </c>
      <c r="AM180" s="79"/>
      <c r="AN180" s="79"/>
      <c r="AO180" s="79"/>
      <c r="AP180" s="81" t="s">
        <v>540</v>
      </c>
      <c r="AQ180" s="80" t="str" cm="1">
        <f t="array" ref="AQ180">IFERROR(DATE(2026, _xlfn.AGGREGATE(15, 6, (COLUMN(CI180:CT180)-COLUMN(CI180)+1)/(CI180:CT180&lt;&gt;0), 1), 1),"N/A")</f>
        <v>N/A</v>
      </c>
      <c r="AR180" s="80" t="str" cm="1">
        <f t="array" ref="AR180">IFERROR(EOMONTH(DATE(2026, _xlfn.AGGREGATE(14, 6, (COLUMN(CI180:CT180)-COLUMN(CI180)+1)/(CI180:CT180&lt;&gt;0), 1), 1), 0),"N/A")</f>
        <v>N/A</v>
      </c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4" t="s">
        <v>638</v>
      </c>
      <c r="BG180" s="74" t="s">
        <v>1009</v>
      </c>
      <c r="BH180" s="74" t="s">
        <v>845</v>
      </c>
      <c r="BI180" s="74" t="s">
        <v>137</v>
      </c>
      <c r="BJ180" s="78">
        <v>530702</v>
      </c>
      <c r="BK180" s="82" t="s">
        <v>74</v>
      </c>
      <c r="BL180" s="83">
        <v>28000</v>
      </c>
      <c r="BM180" s="73">
        <v>0</v>
      </c>
      <c r="BN180" s="73">
        <v>0</v>
      </c>
      <c r="BO180" s="73">
        <v>0</v>
      </c>
      <c r="BP180" s="73">
        <v>0</v>
      </c>
      <c r="BQ180" s="73">
        <v>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84">
        <v>28000</v>
      </c>
      <c r="BX180" s="73">
        <v>0</v>
      </c>
      <c r="BY180" s="73">
        <v>-28000</v>
      </c>
      <c r="BZ180" s="73"/>
      <c r="CA180" s="73"/>
      <c r="CB180" s="73"/>
      <c r="CC180" s="73"/>
      <c r="CD180" s="73"/>
      <c r="CE180" s="73"/>
      <c r="CF180" s="73"/>
      <c r="CG180" s="73"/>
      <c r="CH180" s="73">
        <f t="shared" si="4"/>
        <v>0</v>
      </c>
      <c r="CI180" s="73"/>
      <c r="CJ180" s="73"/>
      <c r="CK180" s="72">
        <v>0</v>
      </c>
      <c r="CL180" s="73">
        <v>0</v>
      </c>
      <c r="CM180" s="73">
        <v>0</v>
      </c>
      <c r="CN180" s="73">
        <v>0</v>
      </c>
      <c r="CO180" s="73">
        <v>0</v>
      </c>
      <c r="CP180" s="73">
        <v>0</v>
      </c>
      <c r="CQ180" s="73">
        <v>0</v>
      </c>
      <c r="CR180" s="73">
        <v>0</v>
      </c>
      <c r="CS180" s="84">
        <v>0</v>
      </c>
      <c r="CT180" s="73">
        <v>0</v>
      </c>
      <c r="CU180" s="73"/>
      <c r="CV180" s="84">
        <f t="shared" si="5"/>
        <v>0</v>
      </c>
      <c r="CW180" s="84"/>
      <c r="CX180" s="74"/>
      <c r="CY180" s="74"/>
      <c r="CZ180" s="74"/>
      <c r="DA180" s="74"/>
      <c r="DB180" s="74"/>
      <c r="DC180" s="74"/>
      <c r="DD180" s="74"/>
    </row>
    <row r="181" spans="1:108" s="68" customFormat="1" ht="15" customHeight="1" x14ac:dyDescent="0.25">
      <c r="A181" s="74" t="s">
        <v>691</v>
      </c>
      <c r="B181" s="74" t="s">
        <v>154</v>
      </c>
      <c r="C181" s="74" t="s">
        <v>172</v>
      </c>
      <c r="D181" s="74" t="s">
        <v>196</v>
      </c>
      <c r="E181" s="74" t="s">
        <v>309</v>
      </c>
      <c r="F181" s="74" t="s">
        <v>550</v>
      </c>
      <c r="G181" s="74" t="s">
        <v>137</v>
      </c>
      <c r="H181" s="74" t="s">
        <v>137</v>
      </c>
      <c r="I181" s="74" t="s">
        <v>66</v>
      </c>
      <c r="J181" s="74" t="s">
        <v>29</v>
      </c>
      <c r="K181" s="82" t="s">
        <v>137</v>
      </c>
      <c r="L181" s="82" t="s">
        <v>137</v>
      </c>
      <c r="M181" s="82" t="s">
        <v>137</v>
      </c>
      <c r="N181" s="82" t="s">
        <v>137</v>
      </c>
      <c r="O181" s="82" t="s">
        <v>137</v>
      </c>
      <c r="P181" s="82" t="s">
        <v>137</v>
      </c>
      <c r="Q181" s="74" t="s">
        <v>87</v>
      </c>
      <c r="R181" s="74" t="s">
        <v>709</v>
      </c>
      <c r="S181" s="74" t="s">
        <v>40</v>
      </c>
      <c r="T181" s="74" t="s">
        <v>2</v>
      </c>
      <c r="U181" s="75"/>
      <c r="V181" s="75">
        <v>0.05</v>
      </c>
      <c r="W181" s="75">
        <v>0.08</v>
      </c>
      <c r="X181" s="75">
        <v>0.15</v>
      </c>
      <c r="Y181" s="75">
        <v>0.2</v>
      </c>
      <c r="Z181" s="75">
        <v>0.25</v>
      </c>
      <c r="AA181" s="75">
        <v>0.37</v>
      </c>
      <c r="AB181" s="75">
        <v>0.42</v>
      </c>
      <c r="AC181" s="75">
        <v>0.57999999999999996</v>
      </c>
      <c r="AD181" s="75">
        <v>0.67</v>
      </c>
      <c r="AE181" s="75">
        <v>0.83</v>
      </c>
      <c r="AF181" s="75">
        <v>1</v>
      </c>
      <c r="AG181" s="74" t="s">
        <v>533</v>
      </c>
      <c r="AH181" s="74" t="s">
        <v>530</v>
      </c>
      <c r="AI181" s="78" t="s">
        <v>539</v>
      </c>
      <c r="AJ181" s="79" t="s">
        <v>539</v>
      </c>
      <c r="AK181" s="80">
        <v>46023</v>
      </c>
      <c r="AL181" s="80">
        <v>46387</v>
      </c>
      <c r="AM181" s="79"/>
      <c r="AN181" s="79"/>
      <c r="AO181" s="79"/>
      <c r="AP181" s="81" t="s">
        <v>540</v>
      </c>
      <c r="AQ181" s="80" t="str" cm="1">
        <f t="array" ref="AQ181">IFERROR(DATE(2026, _xlfn.AGGREGATE(15, 6, (COLUMN(CI181:CT181)-COLUMN(CI181)+1)/(CI181:CT181&lt;&gt;0), 1), 1),"N/A")</f>
        <v>N/A</v>
      </c>
      <c r="AR181" s="80" t="str" cm="1">
        <f t="array" ref="AR181">IFERROR(EOMONTH(DATE(2026, _xlfn.AGGREGATE(14, 6, (COLUMN(CI181:CT181)-COLUMN(CI181)+1)/(CI181:CT181&lt;&gt;0), 1), 1), 0),"N/A")</f>
        <v>N/A</v>
      </c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4" t="s">
        <v>638</v>
      </c>
      <c r="BG181" s="74" t="s">
        <v>1009</v>
      </c>
      <c r="BH181" s="74" t="s">
        <v>846</v>
      </c>
      <c r="BI181" s="74" t="s">
        <v>137</v>
      </c>
      <c r="BJ181" s="78">
        <v>530702</v>
      </c>
      <c r="BK181" s="82" t="s">
        <v>74</v>
      </c>
      <c r="BL181" s="83">
        <v>8000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73">
        <v>0</v>
      </c>
      <c r="BW181" s="84">
        <v>8000</v>
      </c>
      <c r="BX181" s="73">
        <v>0</v>
      </c>
      <c r="BY181" s="73">
        <v>-8000</v>
      </c>
      <c r="BZ181" s="73"/>
      <c r="CA181" s="73"/>
      <c r="CB181" s="73"/>
      <c r="CC181" s="73"/>
      <c r="CD181" s="73"/>
      <c r="CE181" s="73"/>
      <c r="CF181" s="73"/>
      <c r="CG181" s="73"/>
      <c r="CH181" s="73">
        <f t="shared" si="4"/>
        <v>0</v>
      </c>
      <c r="CI181" s="73"/>
      <c r="CJ181" s="73"/>
      <c r="CK181" s="72">
        <v>0</v>
      </c>
      <c r="CL181" s="73">
        <v>0</v>
      </c>
      <c r="CM181" s="73">
        <v>0</v>
      </c>
      <c r="CN181" s="73">
        <v>0</v>
      </c>
      <c r="CO181" s="73">
        <v>0</v>
      </c>
      <c r="CP181" s="73">
        <v>0</v>
      </c>
      <c r="CQ181" s="73">
        <v>0</v>
      </c>
      <c r="CR181" s="73">
        <v>0</v>
      </c>
      <c r="CS181" s="84">
        <v>0</v>
      </c>
      <c r="CT181" s="73">
        <v>0</v>
      </c>
      <c r="CU181" s="73"/>
      <c r="CV181" s="84">
        <f t="shared" si="5"/>
        <v>0</v>
      </c>
      <c r="CW181" s="84"/>
      <c r="CX181" s="74"/>
      <c r="CY181" s="74"/>
      <c r="CZ181" s="74"/>
      <c r="DA181" s="74"/>
      <c r="DB181" s="74"/>
      <c r="DC181" s="74"/>
      <c r="DD181" s="74"/>
    </row>
    <row r="182" spans="1:108" s="68" customFormat="1" ht="15" customHeight="1" x14ac:dyDescent="0.25">
      <c r="A182" s="74" t="s">
        <v>691</v>
      </c>
      <c r="B182" s="74" t="s">
        <v>154</v>
      </c>
      <c r="C182" s="74" t="s">
        <v>172</v>
      </c>
      <c r="D182" s="74" t="s">
        <v>196</v>
      </c>
      <c r="E182" s="74" t="s">
        <v>309</v>
      </c>
      <c r="F182" s="74" t="s">
        <v>550</v>
      </c>
      <c r="G182" s="74" t="s">
        <v>137</v>
      </c>
      <c r="H182" s="74" t="s">
        <v>137</v>
      </c>
      <c r="I182" s="74" t="s">
        <v>66</v>
      </c>
      <c r="J182" s="74" t="s">
        <v>29</v>
      </c>
      <c r="K182" s="82" t="s">
        <v>137</v>
      </c>
      <c r="L182" s="82" t="s">
        <v>137</v>
      </c>
      <c r="M182" s="82" t="s">
        <v>137</v>
      </c>
      <c r="N182" s="82" t="s">
        <v>137</v>
      </c>
      <c r="O182" s="82" t="s">
        <v>137</v>
      </c>
      <c r="P182" s="82" t="s">
        <v>137</v>
      </c>
      <c r="Q182" s="74" t="s">
        <v>87</v>
      </c>
      <c r="R182" s="74" t="s">
        <v>709</v>
      </c>
      <c r="S182" s="74" t="s">
        <v>40</v>
      </c>
      <c r="T182" s="74" t="s">
        <v>2</v>
      </c>
      <c r="U182" s="75"/>
      <c r="V182" s="75">
        <v>0.05</v>
      </c>
      <c r="W182" s="75">
        <v>0.08</v>
      </c>
      <c r="X182" s="75">
        <v>0.15</v>
      </c>
      <c r="Y182" s="75">
        <v>0.2</v>
      </c>
      <c r="Z182" s="75">
        <v>0.25</v>
      </c>
      <c r="AA182" s="75">
        <v>0.37</v>
      </c>
      <c r="AB182" s="75">
        <v>0.42</v>
      </c>
      <c r="AC182" s="75">
        <v>0.57999999999999996</v>
      </c>
      <c r="AD182" s="75">
        <v>0.67</v>
      </c>
      <c r="AE182" s="75">
        <v>0.83</v>
      </c>
      <c r="AF182" s="75">
        <v>1</v>
      </c>
      <c r="AG182" s="74" t="s">
        <v>533</v>
      </c>
      <c r="AH182" s="74" t="s">
        <v>530</v>
      </c>
      <c r="AI182" s="78" t="s">
        <v>539</v>
      </c>
      <c r="AJ182" s="79" t="s">
        <v>539</v>
      </c>
      <c r="AK182" s="80">
        <v>46023</v>
      </c>
      <c r="AL182" s="80">
        <v>46387</v>
      </c>
      <c r="AM182" s="79"/>
      <c r="AN182" s="79"/>
      <c r="AO182" s="79"/>
      <c r="AP182" s="81" t="s">
        <v>540</v>
      </c>
      <c r="AQ182" s="80" t="str" cm="1">
        <f t="array" ref="AQ182">IFERROR(DATE(2026, _xlfn.AGGREGATE(15, 6, (COLUMN(CI182:CT182)-COLUMN(CI182)+1)/(CI182:CT182&lt;&gt;0), 1), 1),"N/A")</f>
        <v>N/A</v>
      </c>
      <c r="AR182" s="80" t="str" cm="1">
        <f t="array" ref="AR182">IFERROR(EOMONTH(DATE(2026, _xlfn.AGGREGATE(14, 6, (COLUMN(CI182:CT182)-COLUMN(CI182)+1)/(CI182:CT182&lt;&gt;0), 1), 1), 0),"N/A")</f>
        <v>N/A</v>
      </c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4" t="s">
        <v>1007</v>
      </c>
      <c r="BG182" s="85" t="s">
        <v>1009</v>
      </c>
      <c r="BH182" s="74" t="s">
        <v>968</v>
      </c>
      <c r="BI182" s="74" t="s">
        <v>137</v>
      </c>
      <c r="BJ182" s="78">
        <v>530702</v>
      </c>
      <c r="BK182" s="82" t="s">
        <v>74</v>
      </c>
      <c r="BL182" s="83">
        <v>0</v>
      </c>
      <c r="BM182" s="73"/>
      <c r="BN182" s="73"/>
      <c r="BO182" s="73"/>
      <c r="BP182" s="73"/>
      <c r="BQ182" s="73"/>
      <c r="BR182" s="73"/>
      <c r="BS182" s="73"/>
      <c r="BT182" s="84"/>
      <c r="BU182" s="73"/>
      <c r="BV182" s="73"/>
      <c r="BW182" s="73"/>
      <c r="BX182" s="73"/>
      <c r="BY182" s="73">
        <v>26000</v>
      </c>
      <c r="BZ182" s="73"/>
      <c r="CA182" s="73">
        <v>-26000</v>
      </c>
      <c r="CB182" s="73"/>
      <c r="CC182" s="73"/>
      <c r="CD182" s="73"/>
      <c r="CE182" s="73"/>
      <c r="CF182" s="73"/>
      <c r="CG182" s="73"/>
      <c r="CH182" s="73">
        <f t="shared" si="4"/>
        <v>0</v>
      </c>
      <c r="CI182" s="73"/>
      <c r="CJ182" s="73"/>
      <c r="CK182" s="72"/>
      <c r="CL182" s="73"/>
      <c r="CM182" s="73"/>
      <c r="CN182" s="73"/>
      <c r="CO182" s="73"/>
      <c r="CP182" s="84"/>
      <c r="CQ182" s="73"/>
      <c r="CR182" s="73"/>
      <c r="CS182" s="73">
        <v>0</v>
      </c>
      <c r="CT182" s="73"/>
      <c r="CU182" s="73"/>
      <c r="CV182" s="84">
        <f t="shared" si="5"/>
        <v>0</v>
      </c>
      <c r="CW182" s="84"/>
      <c r="CX182" s="74"/>
      <c r="CY182" s="74"/>
      <c r="CZ182" s="74"/>
      <c r="DA182" s="74"/>
      <c r="DB182" s="74"/>
      <c r="DC182" s="74"/>
      <c r="DD182" s="74"/>
    </row>
    <row r="183" spans="1:108" s="68" customFormat="1" ht="15" customHeight="1" x14ac:dyDescent="0.25">
      <c r="A183" s="74" t="s">
        <v>691</v>
      </c>
      <c r="B183" s="74" t="s">
        <v>154</v>
      </c>
      <c r="C183" s="74" t="s">
        <v>172</v>
      </c>
      <c r="D183" s="74" t="s">
        <v>196</v>
      </c>
      <c r="E183" s="74" t="s">
        <v>309</v>
      </c>
      <c r="F183" s="74" t="s">
        <v>550</v>
      </c>
      <c r="G183" s="74" t="s">
        <v>137</v>
      </c>
      <c r="H183" s="74" t="s">
        <v>137</v>
      </c>
      <c r="I183" s="74" t="s">
        <v>66</v>
      </c>
      <c r="J183" s="74" t="s">
        <v>29</v>
      </c>
      <c r="K183" s="82" t="s">
        <v>137</v>
      </c>
      <c r="L183" s="82" t="s">
        <v>137</v>
      </c>
      <c r="M183" s="82" t="s">
        <v>137</v>
      </c>
      <c r="N183" s="82" t="s">
        <v>137</v>
      </c>
      <c r="O183" s="82" t="s">
        <v>137</v>
      </c>
      <c r="P183" s="82" t="s">
        <v>137</v>
      </c>
      <c r="Q183" s="74" t="s">
        <v>87</v>
      </c>
      <c r="R183" s="74" t="s">
        <v>709</v>
      </c>
      <c r="S183" s="74" t="s">
        <v>40</v>
      </c>
      <c r="T183" s="74" t="s">
        <v>2</v>
      </c>
      <c r="U183" s="75"/>
      <c r="V183" s="75">
        <v>0.05</v>
      </c>
      <c r="W183" s="75">
        <v>0.08</v>
      </c>
      <c r="X183" s="75">
        <v>0.15</v>
      </c>
      <c r="Y183" s="75">
        <v>0.2</v>
      </c>
      <c r="Z183" s="75">
        <v>0.25</v>
      </c>
      <c r="AA183" s="75">
        <v>0.37</v>
      </c>
      <c r="AB183" s="75">
        <v>0.42</v>
      </c>
      <c r="AC183" s="75">
        <v>0.57999999999999996</v>
      </c>
      <c r="AD183" s="75">
        <v>0.67</v>
      </c>
      <c r="AE183" s="75">
        <v>0.83</v>
      </c>
      <c r="AF183" s="75">
        <v>1</v>
      </c>
      <c r="AG183" s="74" t="s">
        <v>533</v>
      </c>
      <c r="AH183" s="74" t="s">
        <v>530</v>
      </c>
      <c r="AI183" s="78" t="s">
        <v>539</v>
      </c>
      <c r="AJ183" s="79" t="s">
        <v>539</v>
      </c>
      <c r="AK183" s="80">
        <v>46023</v>
      </c>
      <c r="AL183" s="80">
        <v>46387</v>
      </c>
      <c r="AM183" s="79"/>
      <c r="AN183" s="79"/>
      <c r="AO183" s="79"/>
      <c r="AP183" s="81" t="s">
        <v>540</v>
      </c>
      <c r="AQ183" s="80" t="str" cm="1">
        <f t="array" ref="AQ183">IFERROR(DATE(2026, _xlfn.AGGREGATE(15, 6, (COLUMN(CI183:CT183)-COLUMN(CI183)+1)/(CI183:CT183&lt;&gt;0), 1), 1),"N/A")</f>
        <v>N/A</v>
      </c>
      <c r="AR183" s="80" t="str" cm="1">
        <f t="array" ref="AR183">IFERROR(EOMONTH(DATE(2026, _xlfn.AGGREGATE(14, 6, (COLUMN(CI183:CT183)-COLUMN(CI183)+1)/(CI183:CT183&lt;&gt;0), 1), 1), 0),"N/A")</f>
        <v>N/A</v>
      </c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4" t="s">
        <v>1059</v>
      </c>
      <c r="BG183" s="74"/>
      <c r="BH183" s="74" t="s">
        <v>1060</v>
      </c>
      <c r="BI183" s="74" t="s">
        <v>137</v>
      </c>
      <c r="BJ183" s="78">
        <v>530701</v>
      </c>
      <c r="BK183" s="82" t="s">
        <v>74</v>
      </c>
      <c r="BL183" s="83">
        <v>0</v>
      </c>
      <c r="BM183" s="73"/>
      <c r="BN183" s="73"/>
      <c r="BO183" s="73"/>
      <c r="BP183" s="73"/>
      <c r="BQ183" s="73"/>
      <c r="BR183" s="73"/>
      <c r="BS183" s="73"/>
      <c r="BT183" s="73"/>
      <c r="BU183" s="84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>
        <f t="shared" si="4"/>
        <v>0</v>
      </c>
      <c r="CI183" s="73"/>
      <c r="CJ183" s="73"/>
      <c r="CK183" s="72"/>
      <c r="CL183" s="73"/>
      <c r="CM183" s="73"/>
      <c r="CN183" s="73"/>
      <c r="CO183" s="73"/>
      <c r="CP183" s="73"/>
      <c r="CQ183" s="84"/>
      <c r="CR183" s="73"/>
      <c r="CS183" s="73"/>
      <c r="CT183" s="73"/>
      <c r="CU183" s="73"/>
      <c r="CV183" s="84">
        <f t="shared" si="5"/>
        <v>0</v>
      </c>
      <c r="CW183" s="84"/>
      <c r="CX183" s="74"/>
      <c r="CY183" s="74"/>
      <c r="CZ183" s="74"/>
      <c r="DA183" s="74"/>
      <c r="DB183" s="74"/>
      <c r="DC183" s="74"/>
      <c r="DD183" s="74"/>
    </row>
    <row r="184" spans="1:108" s="68" customFormat="1" ht="15" customHeight="1" x14ac:dyDescent="0.25">
      <c r="A184" s="74" t="s">
        <v>691</v>
      </c>
      <c r="B184" s="74" t="s">
        <v>154</v>
      </c>
      <c r="C184" s="74" t="s">
        <v>172</v>
      </c>
      <c r="D184" s="74" t="s">
        <v>196</v>
      </c>
      <c r="E184" s="74" t="s">
        <v>309</v>
      </c>
      <c r="F184" s="74" t="s">
        <v>550</v>
      </c>
      <c r="G184" s="74" t="s">
        <v>137</v>
      </c>
      <c r="H184" s="74" t="s">
        <v>137</v>
      </c>
      <c r="I184" s="74" t="s">
        <v>66</v>
      </c>
      <c r="J184" s="74" t="s">
        <v>29</v>
      </c>
      <c r="K184" s="82" t="s">
        <v>137</v>
      </c>
      <c r="L184" s="82" t="s">
        <v>137</v>
      </c>
      <c r="M184" s="82" t="s">
        <v>137</v>
      </c>
      <c r="N184" s="82" t="s">
        <v>137</v>
      </c>
      <c r="O184" s="82" t="s">
        <v>137</v>
      </c>
      <c r="P184" s="82" t="s">
        <v>137</v>
      </c>
      <c r="Q184" s="74" t="s">
        <v>87</v>
      </c>
      <c r="R184" s="74" t="s">
        <v>709</v>
      </c>
      <c r="S184" s="74" t="s">
        <v>40</v>
      </c>
      <c r="T184" s="74" t="s">
        <v>2</v>
      </c>
      <c r="U184" s="75"/>
      <c r="V184" s="75">
        <v>0.05</v>
      </c>
      <c r="W184" s="75">
        <v>0.08</v>
      </c>
      <c r="X184" s="75">
        <v>0.15</v>
      </c>
      <c r="Y184" s="75">
        <v>0.2</v>
      </c>
      <c r="Z184" s="75">
        <v>0.25</v>
      </c>
      <c r="AA184" s="75">
        <v>0.37</v>
      </c>
      <c r="AB184" s="75">
        <v>0.42</v>
      </c>
      <c r="AC184" s="75">
        <v>0.57999999999999996</v>
      </c>
      <c r="AD184" s="75">
        <v>0.67</v>
      </c>
      <c r="AE184" s="75">
        <v>0.83</v>
      </c>
      <c r="AF184" s="75">
        <v>1</v>
      </c>
      <c r="AG184" s="74" t="s">
        <v>533</v>
      </c>
      <c r="AH184" s="74" t="s">
        <v>530</v>
      </c>
      <c r="AI184" s="78" t="s">
        <v>539</v>
      </c>
      <c r="AJ184" s="79" t="s">
        <v>539</v>
      </c>
      <c r="AK184" s="80">
        <v>46023</v>
      </c>
      <c r="AL184" s="80">
        <v>46387</v>
      </c>
      <c r="AM184" s="79"/>
      <c r="AN184" s="79"/>
      <c r="AO184" s="79"/>
      <c r="AP184" s="81" t="s">
        <v>540</v>
      </c>
      <c r="AQ184" s="80" t="str" cm="1">
        <f t="array" ref="AQ184">IFERROR(DATE(2026, _xlfn.AGGREGATE(15, 6, (COLUMN(CI184:CT184)-COLUMN(CI184)+1)/(CI184:CT184&lt;&gt;0), 1), 1),"N/A")</f>
        <v>N/A</v>
      </c>
      <c r="AR184" s="80" t="str" cm="1">
        <f t="array" ref="AR184">IFERROR(EOMONTH(DATE(2026, _xlfn.AGGREGATE(14, 6, (COLUMN(CI184:CT184)-COLUMN(CI184)+1)/(CI184:CT184&lt;&gt;0), 1), 1), 0),"N/A")</f>
        <v>N/A</v>
      </c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4" t="s">
        <v>1059</v>
      </c>
      <c r="BG184" s="74"/>
      <c r="BH184" s="74" t="s">
        <v>1061</v>
      </c>
      <c r="BI184" s="74" t="s">
        <v>137</v>
      </c>
      <c r="BJ184" s="78">
        <v>530702</v>
      </c>
      <c r="BK184" s="82" t="s">
        <v>74</v>
      </c>
      <c r="BL184" s="83">
        <v>0</v>
      </c>
      <c r="BM184" s="73"/>
      <c r="BN184" s="73"/>
      <c r="BO184" s="73"/>
      <c r="BP184" s="73"/>
      <c r="BQ184" s="73"/>
      <c r="BR184" s="73"/>
      <c r="BS184" s="73"/>
      <c r="BT184" s="73"/>
      <c r="BU184" s="84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>
        <f t="shared" si="4"/>
        <v>0</v>
      </c>
      <c r="CI184" s="73"/>
      <c r="CJ184" s="73"/>
      <c r="CK184" s="72"/>
      <c r="CL184" s="73"/>
      <c r="CM184" s="73"/>
      <c r="CN184" s="73"/>
      <c r="CO184" s="73"/>
      <c r="CP184" s="73"/>
      <c r="CQ184" s="84"/>
      <c r="CR184" s="73"/>
      <c r="CS184" s="73"/>
      <c r="CT184" s="73"/>
      <c r="CU184" s="73"/>
      <c r="CV184" s="84">
        <f t="shared" si="5"/>
        <v>0</v>
      </c>
      <c r="CW184" s="84"/>
      <c r="CX184" s="74"/>
      <c r="CY184" s="74"/>
      <c r="CZ184" s="74"/>
      <c r="DA184" s="74"/>
      <c r="DB184" s="74"/>
      <c r="DC184" s="74"/>
      <c r="DD184" s="74"/>
    </row>
    <row r="185" spans="1:108" s="68" customFormat="1" ht="15" hidden="1" customHeight="1" x14ac:dyDescent="0.25">
      <c r="A185" s="74" t="s">
        <v>689</v>
      </c>
      <c r="B185" s="74" t="s">
        <v>154</v>
      </c>
      <c r="C185" s="74" t="s">
        <v>172</v>
      </c>
      <c r="D185" s="74" t="s">
        <v>196</v>
      </c>
      <c r="E185" s="74" t="s">
        <v>309</v>
      </c>
      <c r="F185" s="74" t="s">
        <v>550</v>
      </c>
      <c r="G185" s="74" t="s">
        <v>137</v>
      </c>
      <c r="H185" s="74" t="s">
        <v>137</v>
      </c>
      <c r="I185" s="74" t="s">
        <v>66</v>
      </c>
      <c r="J185" s="74" t="s">
        <v>29</v>
      </c>
      <c r="K185" s="82" t="s">
        <v>137</v>
      </c>
      <c r="L185" s="82" t="s">
        <v>137</v>
      </c>
      <c r="M185" s="82" t="s">
        <v>137</v>
      </c>
      <c r="N185" s="82" t="s">
        <v>137</v>
      </c>
      <c r="O185" s="82" t="s">
        <v>137</v>
      </c>
      <c r="P185" s="82" t="s">
        <v>137</v>
      </c>
      <c r="Q185" s="74" t="s">
        <v>87</v>
      </c>
      <c r="R185" s="74" t="s">
        <v>709</v>
      </c>
      <c r="S185" s="74" t="s">
        <v>40</v>
      </c>
      <c r="T185" s="74" t="s">
        <v>2</v>
      </c>
      <c r="U185" s="75"/>
      <c r="V185" s="75">
        <v>0.05</v>
      </c>
      <c r="W185" s="75">
        <v>0.08</v>
      </c>
      <c r="X185" s="75">
        <v>0.15</v>
      </c>
      <c r="Y185" s="75">
        <v>0.2</v>
      </c>
      <c r="Z185" s="75">
        <v>0.25</v>
      </c>
      <c r="AA185" s="75">
        <v>0.37</v>
      </c>
      <c r="AB185" s="75">
        <v>0.42</v>
      </c>
      <c r="AC185" s="75">
        <v>0.57999999999999996</v>
      </c>
      <c r="AD185" s="75">
        <v>0.67</v>
      </c>
      <c r="AE185" s="75">
        <v>0.83</v>
      </c>
      <c r="AF185" s="75">
        <v>1</v>
      </c>
      <c r="AG185" s="74" t="s">
        <v>533</v>
      </c>
      <c r="AH185" s="74" t="s">
        <v>530</v>
      </c>
      <c r="AI185" s="78" t="s">
        <v>539</v>
      </c>
      <c r="AJ185" s="79" t="s">
        <v>539</v>
      </c>
      <c r="AK185" s="80">
        <v>46023</v>
      </c>
      <c r="AL185" s="80">
        <v>46387</v>
      </c>
      <c r="AM185" s="79"/>
      <c r="AN185" s="79"/>
      <c r="AO185" s="79"/>
      <c r="AP185" s="81" t="s">
        <v>540</v>
      </c>
      <c r="AQ185" s="80" cm="1">
        <f t="array" ref="AQ185">IFERROR(DATE(2026, _xlfn.AGGREGATE(15, 6, (COLUMN(CI185:CT185)-COLUMN(CI185)+1)/(CI185:CT185&lt;&gt;0), 1), 1),"N/A")</f>
        <v>46023</v>
      </c>
      <c r="AR185" s="80" cm="1">
        <f t="array" ref="AR185">IFERROR(EOMONTH(DATE(2026, _xlfn.AGGREGATE(14, 6, (COLUMN(CI185:CT185)-COLUMN(CI185)+1)/(CI185:CT185&lt;&gt;0), 1), 1), 0),"N/A")</f>
        <v>46387</v>
      </c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4" t="s">
        <v>778</v>
      </c>
      <c r="BG185" s="74"/>
      <c r="BH185" s="74" t="s">
        <v>873</v>
      </c>
      <c r="BI185" s="74" t="s">
        <v>137</v>
      </c>
      <c r="BJ185" s="78">
        <v>530304</v>
      </c>
      <c r="BK185" s="82" t="s">
        <v>74</v>
      </c>
      <c r="BL185" s="83">
        <v>54000</v>
      </c>
      <c r="BM185" s="84">
        <v>4500</v>
      </c>
      <c r="BN185" s="84">
        <v>4500</v>
      </c>
      <c r="BO185" s="84">
        <v>4500</v>
      </c>
      <c r="BP185" s="72">
        <v>4500</v>
      </c>
      <c r="BQ185" s="84">
        <v>4500</v>
      </c>
      <c r="BR185" s="84">
        <v>4500</v>
      </c>
      <c r="BS185" s="84">
        <v>4500</v>
      </c>
      <c r="BT185" s="84">
        <v>4500</v>
      </c>
      <c r="BU185" s="84">
        <v>4500</v>
      </c>
      <c r="BV185" s="84">
        <v>4500</v>
      </c>
      <c r="BW185" s="84">
        <v>4500</v>
      </c>
      <c r="BX185" s="84">
        <v>4500</v>
      </c>
      <c r="BY185" s="84"/>
      <c r="BZ185" s="84"/>
      <c r="CA185" s="84"/>
      <c r="CB185" s="84"/>
      <c r="CC185" s="84"/>
      <c r="CD185" s="84"/>
      <c r="CE185" s="84"/>
      <c r="CF185" s="84"/>
      <c r="CG185" s="84"/>
      <c r="CH185" s="73">
        <f t="shared" si="4"/>
        <v>54000</v>
      </c>
      <c r="CI185" s="102">
        <v>4500</v>
      </c>
      <c r="CJ185" s="102">
        <v>4500</v>
      </c>
      <c r="CK185" s="102">
        <v>4500</v>
      </c>
      <c r="CL185" s="73">
        <v>4500</v>
      </c>
      <c r="CM185" s="84">
        <v>4500</v>
      </c>
      <c r="CN185" s="84">
        <v>4500</v>
      </c>
      <c r="CO185" s="84">
        <v>4500</v>
      </c>
      <c r="CP185" s="84">
        <v>4500</v>
      </c>
      <c r="CQ185" s="84">
        <v>4500</v>
      </c>
      <c r="CR185" s="84">
        <v>4500</v>
      </c>
      <c r="CS185" s="84">
        <v>4500</v>
      </c>
      <c r="CT185" s="84">
        <v>4500</v>
      </c>
      <c r="CU185" s="84"/>
      <c r="CV185" s="84">
        <f t="shared" si="5"/>
        <v>0</v>
      </c>
      <c r="CW185" s="84"/>
      <c r="CX185" s="74"/>
      <c r="CY185" s="74"/>
      <c r="CZ185" s="74"/>
      <c r="DA185" s="74"/>
      <c r="DB185" s="74"/>
      <c r="DC185" s="74"/>
      <c r="DD185" s="74"/>
    </row>
    <row r="186" spans="1:108" s="68" customFormat="1" ht="15" hidden="1" customHeight="1" x14ac:dyDescent="0.25">
      <c r="A186" s="74" t="s">
        <v>689</v>
      </c>
      <c r="B186" s="74" t="s">
        <v>154</v>
      </c>
      <c r="C186" s="74" t="s">
        <v>172</v>
      </c>
      <c r="D186" s="74" t="s">
        <v>196</v>
      </c>
      <c r="E186" s="74" t="s">
        <v>309</v>
      </c>
      <c r="F186" s="74" t="s">
        <v>550</v>
      </c>
      <c r="G186" s="74" t="s">
        <v>137</v>
      </c>
      <c r="H186" s="74" t="s">
        <v>137</v>
      </c>
      <c r="I186" s="74" t="s">
        <v>66</v>
      </c>
      <c r="J186" s="74" t="s">
        <v>29</v>
      </c>
      <c r="K186" s="82" t="s">
        <v>137</v>
      </c>
      <c r="L186" s="82" t="s">
        <v>137</v>
      </c>
      <c r="M186" s="82" t="s">
        <v>137</v>
      </c>
      <c r="N186" s="82" t="s">
        <v>137</v>
      </c>
      <c r="O186" s="82" t="s">
        <v>137</v>
      </c>
      <c r="P186" s="82" t="s">
        <v>137</v>
      </c>
      <c r="Q186" s="74" t="s">
        <v>87</v>
      </c>
      <c r="R186" s="74" t="s">
        <v>709</v>
      </c>
      <c r="S186" s="74" t="s">
        <v>40</v>
      </c>
      <c r="T186" s="74" t="s">
        <v>2</v>
      </c>
      <c r="U186" s="75"/>
      <c r="V186" s="75">
        <v>0.05</v>
      </c>
      <c r="W186" s="75">
        <v>0.08</v>
      </c>
      <c r="X186" s="75">
        <v>0.15</v>
      </c>
      <c r="Y186" s="75">
        <v>0.2</v>
      </c>
      <c r="Z186" s="75">
        <v>0.25</v>
      </c>
      <c r="AA186" s="75">
        <v>0.37</v>
      </c>
      <c r="AB186" s="75">
        <v>0.42</v>
      </c>
      <c r="AC186" s="75">
        <v>0.57999999999999996</v>
      </c>
      <c r="AD186" s="75">
        <v>0.67</v>
      </c>
      <c r="AE186" s="75">
        <v>0.83</v>
      </c>
      <c r="AF186" s="75">
        <v>1</v>
      </c>
      <c r="AG186" s="74" t="s">
        <v>533</v>
      </c>
      <c r="AH186" s="74" t="s">
        <v>530</v>
      </c>
      <c r="AI186" s="78" t="s">
        <v>539</v>
      </c>
      <c r="AJ186" s="79" t="s">
        <v>539</v>
      </c>
      <c r="AK186" s="80">
        <v>46023</v>
      </c>
      <c r="AL186" s="80">
        <v>46387</v>
      </c>
      <c r="AM186" s="79"/>
      <c r="AN186" s="79"/>
      <c r="AO186" s="79"/>
      <c r="AP186" s="81" t="s">
        <v>540</v>
      </c>
      <c r="AQ186" s="80" cm="1">
        <f t="array" ref="AQ186">IFERROR(DATE(2026, _xlfn.AGGREGATE(15, 6, (COLUMN(CI186:CT186)-COLUMN(CI186)+1)/(CI186:CT186&lt;&gt;0), 1), 1),"N/A")</f>
        <v>46174</v>
      </c>
      <c r="AR186" s="80" cm="1">
        <f t="array" ref="AR186">IFERROR(EOMONTH(DATE(2026, _xlfn.AGGREGATE(14, 6, (COLUMN(CI186:CT186)-COLUMN(CI186)+1)/(CI186:CT186&lt;&gt;0), 1), 1), 0),"N/A")</f>
        <v>46387</v>
      </c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4" t="s">
        <v>778</v>
      </c>
      <c r="BG186" s="74"/>
      <c r="BH186" s="74" t="s">
        <v>872</v>
      </c>
      <c r="BI186" s="74" t="s">
        <v>137</v>
      </c>
      <c r="BJ186" s="78">
        <v>530303</v>
      </c>
      <c r="BK186" s="82" t="s">
        <v>74</v>
      </c>
      <c r="BL186" s="83">
        <v>8000</v>
      </c>
      <c r="BM186" s="84">
        <v>666.66666666666663</v>
      </c>
      <c r="BN186" s="84">
        <v>666.66666666666663</v>
      </c>
      <c r="BO186" s="84">
        <v>666.66666666666663</v>
      </c>
      <c r="BP186" s="72">
        <v>666.66666666666663</v>
      </c>
      <c r="BQ186" s="84">
        <v>666.66666666666663</v>
      </c>
      <c r="BR186" s="84">
        <v>666.66666666666663</v>
      </c>
      <c r="BS186" s="84">
        <v>666.66666666666663</v>
      </c>
      <c r="BT186" s="84">
        <v>666.66666666666663</v>
      </c>
      <c r="BU186" s="84">
        <v>666.66666666666663</v>
      </c>
      <c r="BV186" s="84">
        <v>666.66666666666663</v>
      </c>
      <c r="BW186" s="84">
        <v>666.66666666666663</v>
      </c>
      <c r="BX186" s="84">
        <v>666.66666666666663</v>
      </c>
      <c r="BY186" s="84"/>
      <c r="BZ186" s="84"/>
      <c r="CA186" s="84">
        <v>-3333.33</v>
      </c>
      <c r="CB186" s="84"/>
      <c r="CC186" s="84"/>
      <c r="CD186" s="84"/>
      <c r="CE186" s="84"/>
      <c r="CF186" s="84"/>
      <c r="CG186" s="84"/>
      <c r="CH186" s="73">
        <f t="shared" si="4"/>
        <v>4666.67</v>
      </c>
      <c r="CI186" s="84"/>
      <c r="CJ186" s="84"/>
      <c r="CK186" s="84"/>
      <c r="CL186" s="72"/>
      <c r="CM186" s="84"/>
      <c r="CN186" s="84">
        <v>666.67</v>
      </c>
      <c r="CO186" s="84">
        <v>666.66666666666663</v>
      </c>
      <c r="CP186" s="84">
        <v>666.66666666666663</v>
      </c>
      <c r="CQ186" s="84">
        <v>666.66666666666663</v>
      </c>
      <c r="CR186" s="84">
        <v>666.66666666666663</v>
      </c>
      <c r="CS186" s="84">
        <v>666.66666666666663</v>
      </c>
      <c r="CT186" s="84">
        <v>666.66666666666663</v>
      </c>
      <c r="CU186" s="84"/>
      <c r="CV186" s="84">
        <f t="shared" si="5"/>
        <v>0</v>
      </c>
      <c r="CW186" s="84"/>
      <c r="CX186" s="74"/>
      <c r="CY186" s="74"/>
      <c r="CZ186" s="74"/>
      <c r="DA186" s="74"/>
      <c r="DB186" s="74"/>
      <c r="DC186" s="74"/>
      <c r="DD186" s="74"/>
    </row>
    <row r="187" spans="1:108" s="68" customFormat="1" ht="150.6" hidden="1" customHeight="1" x14ac:dyDescent="0.35">
      <c r="A187" s="74" t="s">
        <v>699</v>
      </c>
      <c r="B187" s="74" t="s">
        <v>154</v>
      </c>
      <c r="C187" s="74" t="s">
        <v>172</v>
      </c>
      <c r="D187" s="85" t="s">
        <v>196</v>
      </c>
      <c r="E187" s="74" t="s">
        <v>309</v>
      </c>
      <c r="F187" s="74" t="s">
        <v>550</v>
      </c>
      <c r="G187" s="74" t="s">
        <v>137</v>
      </c>
      <c r="H187" s="74" t="s">
        <v>137</v>
      </c>
      <c r="I187" s="74" t="s">
        <v>66</v>
      </c>
      <c r="J187" s="74" t="s">
        <v>532</v>
      </c>
      <c r="K187" s="82" t="s">
        <v>137</v>
      </c>
      <c r="L187" s="82" t="s">
        <v>137</v>
      </c>
      <c r="M187" s="82" t="s">
        <v>137</v>
      </c>
      <c r="N187" s="82" t="s">
        <v>137</v>
      </c>
      <c r="O187" s="82" t="s">
        <v>137</v>
      </c>
      <c r="P187" s="82" t="s">
        <v>137</v>
      </c>
      <c r="Q187" s="74" t="s">
        <v>553</v>
      </c>
      <c r="R187" s="74" t="s">
        <v>710</v>
      </c>
      <c r="S187" s="74" t="s">
        <v>556</v>
      </c>
      <c r="T187" s="74" t="s">
        <v>320</v>
      </c>
      <c r="U187" s="75">
        <v>0.95</v>
      </c>
      <c r="V187" s="75">
        <v>0.95</v>
      </c>
      <c r="W187" s="75">
        <v>0.95</v>
      </c>
      <c r="X187" s="75">
        <v>0.95</v>
      </c>
      <c r="Y187" s="75">
        <v>0.95</v>
      </c>
      <c r="Z187" s="75">
        <v>0.95</v>
      </c>
      <c r="AA187" s="75">
        <v>0.95</v>
      </c>
      <c r="AB187" s="75">
        <v>0.95</v>
      </c>
      <c r="AC187" s="75">
        <v>0.95</v>
      </c>
      <c r="AD187" s="75">
        <v>0.95</v>
      </c>
      <c r="AE187" s="75">
        <v>0.95</v>
      </c>
      <c r="AF187" s="75">
        <v>0.95</v>
      </c>
      <c r="AG187" s="74" t="s">
        <v>534</v>
      </c>
      <c r="AH187" s="74" t="s">
        <v>530</v>
      </c>
      <c r="AI187" s="78" t="s">
        <v>539</v>
      </c>
      <c r="AJ187" s="79" t="s">
        <v>539</v>
      </c>
      <c r="AK187" s="80">
        <v>46023</v>
      </c>
      <c r="AL187" s="80">
        <v>46387</v>
      </c>
      <c r="AM187" s="79"/>
      <c r="AN187" s="79"/>
      <c r="AO187" s="79"/>
      <c r="AP187" s="81" t="s">
        <v>543</v>
      </c>
      <c r="AQ187" s="80" cm="1">
        <f t="array" ref="AQ187">IFERROR(DATE(2026, _xlfn.AGGREGATE(15, 6, (COLUMN(CI187:CT187)-COLUMN(CI187)+1)/(CI187:CT187&lt;&gt;0), 1), 1),"N/A")</f>
        <v>46235</v>
      </c>
      <c r="AR187" s="80" cm="1">
        <f t="array" ref="AR187">IFERROR(EOMONTH(DATE(2026, _xlfn.AGGREGATE(14, 6, (COLUMN(CI187:CT187)-COLUMN(CI187)+1)/(CI187:CT187&lt;&gt;0), 1), 1), 0),"N/A")</f>
        <v>46265</v>
      </c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85" t="s">
        <v>1072</v>
      </c>
      <c r="BG187" s="74"/>
      <c r="BH187" s="74" t="s">
        <v>1073</v>
      </c>
      <c r="BI187" s="74" t="s">
        <v>1011</v>
      </c>
      <c r="BJ187" s="78">
        <v>631203</v>
      </c>
      <c r="BK187" s="82" t="s">
        <v>74</v>
      </c>
      <c r="BL187" s="83">
        <v>0</v>
      </c>
      <c r="BM187" s="73"/>
      <c r="BN187" s="73"/>
      <c r="BO187" s="73"/>
      <c r="BP187" s="73"/>
      <c r="BQ187" s="73"/>
      <c r="BR187" s="73"/>
      <c r="BS187" s="84"/>
      <c r="BT187" s="84"/>
      <c r="BU187" s="73"/>
      <c r="BV187" s="73"/>
      <c r="BW187" s="73"/>
      <c r="BX187" s="73"/>
      <c r="BY187" s="73"/>
      <c r="BZ187" s="73"/>
      <c r="CA187" s="73">
        <v>7500</v>
      </c>
      <c r="CB187" s="73"/>
      <c r="CC187" s="73"/>
      <c r="CD187" s="73"/>
      <c r="CE187" s="73"/>
      <c r="CF187" s="73"/>
      <c r="CG187" s="73"/>
      <c r="CH187" s="73">
        <f t="shared" si="4"/>
        <v>7500</v>
      </c>
      <c r="CI187" s="73"/>
      <c r="CJ187" s="73"/>
      <c r="CK187" s="72"/>
      <c r="CL187" s="73"/>
      <c r="CM187" s="73"/>
      <c r="CN187" s="73"/>
      <c r="CO187" s="84"/>
      <c r="CP187" s="84">
        <v>7500</v>
      </c>
      <c r="CQ187" s="73"/>
      <c r="CR187" s="73"/>
      <c r="CS187" s="73"/>
      <c r="CT187" s="73"/>
      <c r="CU187" s="73"/>
      <c r="CV187" s="84">
        <f t="shared" si="5"/>
        <v>0</v>
      </c>
      <c r="CW187" s="140" t="s">
        <v>1240</v>
      </c>
      <c r="CX187" s="158" t="s">
        <v>1253</v>
      </c>
      <c r="CY187" s="158"/>
      <c r="CZ187" s="135" t="s">
        <v>1302</v>
      </c>
      <c r="DA187" s="135" t="s">
        <v>1372</v>
      </c>
      <c r="DB187" s="74"/>
      <c r="DC187" s="85" t="s">
        <v>1373</v>
      </c>
      <c r="DD187" s="74" t="s">
        <v>1370</v>
      </c>
    </row>
    <row r="188" spans="1:108" s="68" customFormat="1" ht="51.6" hidden="1" customHeight="1" x14ac:dyDescent="0.25">
      <c r="A188" s="74" t="s">
        <v>699</v>
      </c>
      <c r="B188" s="74" t="s">
        <v>154</v>
      </c>
      <c r="C188" s="74" t="s">
        <v>172</v>
      </c>
      <c r="D188" s="85" t="s">
        <v>196</v>
      </c>
      <c r="E188" s="74" t="s">
        <v>309</v>
      </c>
      <c r="F188" s="74" t="s">
        <v>550</v>
      </c>
      <c r="G188" s="74" t="s">
        <v>137</v>
      </c>
      <c r="H188" s="74" t="s">
        <v>137</v>
      </c>
      <c r="I188" s="74" t="s">
        <v>66</v>
      </c>
      <c r="J188" s="74" t="s">
        <v>532</v>
      </c>
      <c r="K188" s="82" t="s">
        <v>137</v>
      </c>
      <c r="L188" s="82" t="s">
        <v>137</v>
      </c>
      <c r="M188" s="82" t="s">
        <v>137</v>
      </c>
      <c r="N188" s="82" t="s">
        <v>137</v>
      </c>
      <c r="O188" s="82" t="s">
        <v>137</v>
      </c>
      <c r="P188" s="82" t="s">
        <v>137</v>
      </c>
      <c r="Q188" s="74" t="s">
        <v>553</v>
      </c>
      <c r="R188" s="74" t="s">
        <v>710</v>
      </c>
      <c r="S188" s="74" t="s">
        <v>556</v>
      </c>
      <c r="T188" s="74" t="s">
        <v>320</v>
      </c>
      <c r="U188" s="75">
        <v>0.95</v>
      </c>
      <c r="V188" s="75">
        <v>0.95</v>
      </c>
      <c r="W188" s="75">
        <v>0.95</v>
      </c>
      <c r="X188" s="75">
        <v>0.95</v>
      </c>
      <c r="Y188" s="75">
        <v>0.95</v>
      </c>
      <c r="Z188" s="75">
        <v>0.95</v>
      </c>
      <c r="AA188" s="75">
        <v>0.95</v>
      </c>
      <c r="AB188" s="75">
        <v>0.95</v>
      </c>
      <c r="AC188" s="75">
        <v>0.95</v>
      </c>
      <c r="AD188" s="75">
        <v>0.95</v>
      </c>
      <c r="AE188" s="75">
        <v>0.95</v>
      </c>
      <c r="AF188" s="75">
        <v>0.95</v>
      </c>
      <c r="AG188" s="74" t="s">
        <v>534</v>
      </c>
      <c r="AH188" s="74" t="s">
        <v>530</v>
      </c>
      <c r="AI188" s="78" t="s">
        <v>539</v>
      </c>
      <c r="AJ188" s="79" t="s">
        <v>539</v>
      </c>
      <c r="AK188" s="80">
        <v>46023</v>
      </c>
      <c r="AL188" s="80">
        <v>46387</v>
      </c>
      <c r="AM188" s="79"/>
      <c r="AN188" s="79"/>
      <c r="AO188" s="79"/>
      <c r="AP188" s="81" t="s">
        <v>543</v>
      </c>
      <c r="AQ188" s="80" t="str" cm="1">
        <f t="array" ref="AQ188">IFERROR(DATE(2026, _xlfn.AGGREGATE(15, 6, (COLUMN(CI188:CT188)-COLUMN(CI188)+1)/(CI188:CT188&lt;&gt;0), 1), 1),"N/A")</f>
        <v>N/A</v>
      </c>
      <c r="AR188" s="80" t="str" cm="1">
        <f t="array" ref="AR188">IFERROR(EOMONTH(DATE(2026, _xlfn.AGGREGATE(14, 6, (COLUMN(CI188:CT188)-COLUMN(CI188)+1)/(CI188:CT188&lt;&gt;0), 1), 1), 0),"N/A")</f>
        <v>N/A</v>
      </c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4" t="s">
        <v>1020</v>
      </c>
      <c r="BG188" s="74"/>
      <c r="BH188" s="74" t="s">
        <v>1026</v>
      </c>
      <c r="BI188" s="74" t="s">
        <v>1011</v>
      </c>
      <c r="BJ188" s="78">
        <v>840104</v>
      </c>
      <c r="BK188" s="82" t="s">
        <v>74</v>
      </c>
      <c r="BL188" s="86">
        <v>0</v>
      </c>
      <c r="BM188" s="73"/>
      <c r="BN188" s="84"/>
      <c r="BO188" s="84"/>
      <c r="BP188" s="72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>
        <v>35000</v>
      </c>
      <c r="CA188" s="84">
        <v>-35000</v>
      </c>
      <c r="CB188" s="84"/>
      <c r="CC188" s="84"/>
      <c r="CD188" s="84"/>
      <c r="CE188" s="84"/>
      <c r="CF188" s="84"/>
      <c r="CG188" s="84"/>
      <c r="CH188" s="73">
        <f t="shared" si="4"/>
        <v>0</v>
      </c>
      <c r="CI188" s="73"/>
      <c r="CJ188" s="84"/>
      <c r="CK188" s="84"/>
      <c r="CL188" s="72"/>
      <c r="CM188" s="84"/>
      <c r="CN188" s="84">
        <v>0</v>
      </c>
      <c r="CO188" s="84"/>
      <c r="CP188" s="84"/>
      <c r="CQ188" s="84"/>
      <c r="CR188" s="84"/>
      <c r="CS188" s="84"/>
      <c r="CT188" s="84"/>
      <c r="CU188" s="84"/>
      <c r="CV188" s="84">
        <f t="shared" si="5"/>
        <v>0</v>
      </c>
      <c r="CW188" s="84"/>
      <c r="CX188" s="74"/>
      <c r="CY188" s="74"/>
      <c r="CZ188" s="74"/>
      <c r="DA188" s="74"/>
      <c r="DB188" s="74"/>
      <c r="DC188" s="74"/>
      <c r="DD188" s="74"/>
    </row>
    <row r="189" spans="1:108" s="68" customFormat="1" ht="51.6" hidden="1" customHeight="1" x14ac:dyDescent="0.25">
      <c r="A189" s="74" t="s">
        <v>699</v>
      </c>
      <c r="B189" s="74" t="s">
        <v>154</v>
      </c>
      <c r="C189" s="74" t="s">
        <v>172</v>
      </c>
      <c r="D189" s="85" t="s">
        <v>196</v>
      </c>
      <c r="E189" s="74" t="s">
        <v>309</v>
      </c>
      <c r="F189" s="74" t="s">
        <v>550</v>
      </c>
      <c r="G189" s="74" t="s">
        <v>137</v>
      </c>
      <c r="H189" s="74" t="s">
        <v>137</v>
      </c>
      <c r="I189" s="74" t="s">
        <v>66</v>
      </c>
      <c r="J189" s="74" t="s">
        <v>532</v>
      </c>
      <c r="K189" s="82" t="s">
        <v>137</v>
      </c>
      <c r="L189" s="82" t="s">
        <v>137</v>
      </c>
      <c r="M189" s="82" t="s">
        <v>137</v>
      </c>
      <c r="N189" s="82" t="s">
        <v>137</v>
      </c>
      <c r="O189" s="82" t="s">
        <v>137</v>
      </c>
      <c r="P189" s="82" t="s">
        <v>137</v>
      </c>
      <c r="Q189" s="74" t="s">
        <v>553</v>
      </c>
      <c r="R189" s="74" t="s">
        <v>710</v>
      </c>
      <c r="S189" s="74" t="s">
        <v>556</v>
      </c>
      <c r="T189" s="74" t="s">
        <v>320</v>
      </c>
      <c r="U189" s="75">
        <v>0.95</v>
      </c>
      <c r="V189" s="75">
        <v>0.95</v>
      </c>
      <c r="W189" s="75">
        <v>0.95</v>
      </c>
      <c r="X189" s="75">
        <v>0.95</v>
      </c>
      <c r="Y189" s="75">
        <v>0.95</v>
      </c>
      <c r="Z189" s="75">
        <v>0.95</v>
      </c>
      <c r="AA189" s="75">
        <v>0.95</v>
      </c>
      <c r="AB189" s="75">
        <v>0.95</v>
      </c>
      <c r="AC189" s="75">
        <v>0.95</v>
      </c>
      <c r="AD189" s="75">
        <v>0.95</v>
      </c>
      <c r="AE189" s="75">
        <v>0.95</v>
      </c>
      <c r="AF189" s="75">
        <v>0.95</v>
      </c>
      <c r="AG189" s="74" t="s">
        <v>534</v>
      </c>
      <c r="AH189" s="74" t="s">
        <v>530</v>
      </c>
      <c r="AI189" s="78" t="s">
        <v>539</v>
      </c>
      <c r="AJ189" s="79" t="s">
        <v>539</v>
      </c>
      <c r="AK189" s="80">
        <v>46023</v>
      </c>
      <c r="AL189" s="80">
        <v>46387</v>
      </c>
      <c r="AM189" s="79"/>
      <c r="AN189" s="79"/>
      <c r="AO189" s="79"/>
      <c r="AP189" s="81" t="s">
        <v>543</v>
      </c>
      <c r="AQ189" s="80" t="str" cm="1">
        <f t="array" ref="AQ189">IFERROR(DATE(2026, _xlfn.AGGREGATE(15, 6, (COLUMN(CI189:CT189)-COLUMN(CI189)+1)/(CI189:CT189&lt;&gt;0), 1), 1),"N/A")</f>
        <v>N/A</v>
      </c>
      <c r="AR189" s="80" t="str" cm="1">
        <f t="array" ref="AR189">IFERROR(EOMONTH(DATE(2026, _xlfn.AGGREGATE(14, 6, (COLUMN(CI189:CT189)-COLUMN(CI189)+1)/(CI189:CT189&lt;&gt;0), 1), 1), 0),"N/A")</f>
        <v>N/A</v>
      </c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4" t="s">
        <v>1066</v>
      </c>
      <c r="BG189" s="74"/>
      <c r="BH189" s="74" t="s">
        <v>1067</v>
      </c>
      <c r="BI189" s="74" t="s">
        <v>137</v>
      </c>
      <c r="BJ189" s="78">
        <v>840104</v>
      </c>
      <c r="BK189" s="82" t="s">
        <v>74</v>
      </c>
      <c r="BL189" s="83">
        <v>0</v>
      </c>
      <c r="BM189" s="73"/>
      <c r="BN189" s="73"/>
      <c r="BO189" s="73"/>
      <c r="BP189" s="73"/>
      <c r="BQ189" s="73"/>
      <c r="BR189" s="73"/>
      <c r="BS189" s="84"/>
      <c r="BT189" s="84"/>
      <c r="BU189" s="73"/>
      <c r="BV189" s="73"/>
      <c r="BW189" s="73"/>
      <c r="BX189" s="73"/>
      <c r="BY189" s="73"/>
      <c r="BZ189" s="73"/>
      <c r="CA189" s="73">
        <v>15000</v>
      </c>
      <c r="CB189" s="73"/>
      <c r="CC189" s="73"/>
      <c r="CD189" s="73"/>
      <c r="CE189" s="73">
        <v>-15000</v>
      </c>
      <c r="CF189" s="73"/>
      <c r="CG189" s="73"/>
      <c r="CH189" s="73">
        <f t="shared" si="4"/>
        <v>0</v>
      </c>
      <c r="CI189" s="73"/>
      <c r="CJ189" s="73"/>
      <c r="CK189" s="72"/>
      <c r="CL189" s="73"/>
      <c r="CM189" s="73"/>
      <c r="CN189" s="73"/>
      <c r="CO189" s="84"/>
      <c r="CP189" s="84"/>
      <c r="CQ189" s="73"/>
      <c r="CR189" s="73"/>
      <c r="CS189" s="73"/>
      <c r="CT189" s="73"/>
      <c r="CU189" s="73"/>
      <c r="CV189" s="84">
        <f t="shared" si="5"/>
        <v>0</v>
      </c>
      <c r="CW189" s="84"/>
      <c r="CX189" s="74"/>
      <c r="CY189" s="74"/>
      <c r="CZ189" s="74"/>
      <c r="DA189" s="74"/>
      <c r="DB189" s="74"/>
      <c r="DC189" s="74"/>
      <c r="DD189" s="74"/>
    </row>
    <row r="190" spans="1:108" s="68" customFormat="1" ht="223.9" hidden="1" customHeight="1" x14ac:dyDescent="0.25">
      <c r="A190" s="161" t="s">
        <v>693</v>
      </c>
      <c r="B190" s="74" t="s">
        <v>154</v>
      </c>
      <c r="C190" s="74" t="s">
        <v>172</v>
      </c>
      <c r="D190" s="85" t="s">
        <v>196</v>
      </c>
      <c r="E190" s="74" t="s">
        <v>309</v>
      </c>
      <c r="F190" s="74" t="s">
        <v>550</v>
      </c>
      <c r="G190" s="74" t="s">
        <v>137</v>
      </c>
      <c r="H190" s="74" t="s">
        <v>137</v>
      </c>
      <c r="I190" s="74" t="s">
        <v>66</v>
      </c>
      <c r="J190" s="74" t="s">
        <v>532</v>
      </c>
      <c r="K190" s="82" t="s">
        <v>137</v>
      </c>
      <c r="L190" s="82" t="s">
        <v>137</v>
      </c>
      <c r="M190" s="82" t="s">
        <v>137</v>
      </c>
      <c r="N190" s="82" t="s">
        <v>137</v>
      </c>
      <c r="O190" s="82" t="s">
        <v>137</v>
      </c>
      <c r="P190" s="82" t="s">
        <v>137</v>
      </c>
      <c r="Q190" s="74" t="s">
        <v>553</v>
      </c>
      <c r="R190" s="74" t="s">
        <v>710</v>
      </c>
      <c r="S190" s="74" t="s">
        <v>556</v>
      </c>
      <c r="T190" s="74" t="s">
        <v>320</v>
      </c>
      <c r="U190" s="75">
        <v>0.95</v>
      </c>
      <c r="V190" s="75">
        <v>0.95</v>
      </c>
      <c r="W190" s="75">
        <v>0.95</v>
      </c>
      <c r="X190" s="75">
        <v>0.95</v>
      </c>
      <c r="Y190" s="75">
        <v>0.95</v>
      </c>
      <c r="Z190" s="75">
        <v>0.95</v>
      </c>
      <c r="AA190" s="75">
        <v>0.95</v>
      </c>
      <c r="AB190" s="75">
        <v>0.95</v>
      </c>
      <c r="AC190" s="75">
        <v>0.95</v>
      </c>
      <c r="AD190" s="75">
        <v>0.95</v>
      </c>
      <c r="AE190" s="75">
        <v>0.95</v>
      </c>
      <c r="AF190" s="75">
        <v>0.95</v>
      </c>
      <c r="AG190" s="74" t="s">
        <v>534</v>
      </c>
      <c r="AH190" s="74" t="s">
        <v>530</v>
      </c>
      <c r="AI190" s="78" t="s">
        <v>539</v>
      </c>
      <c r="AJ190" s="79" t="s">
        <v>539</v>
      </c>
      <c r="AK190" s="80">
        <v>46023</v>
      </c>
      <c r="AL190" s="80">
        <v>46387</v>
      </c>
      <c r="AM190" s="79"/>
      <c r="AN190" s="79"/>
      <c r="AO190" s="79"/>
      <c r="AP190" s="81" t="s">
        <v>543</v>
      </c>
      <c r="AQ190" s="80" cm="1">
        <f t="array" ref="AQ190">IFERROR(DATE(2026, _xlfn.AGGREGATE(15, 6, (COLUMN(CI190:CT190)-COLUMN(CI190)+1)/(CI190:CT190&lt;&gt;0), 1), 1),"N/A")</f>
        <v>46296</v>
      </c>
      <c r="AR190" s="80" cm="1">
        <f t="array" ref="AR190">IFERROR(EOMONTH(DATE(2026, _xlfn.AGGREGATE(14, 6, (COLUMN(CI190:CT190)-COLUMN(CI190)+1)/(CI190:CT190&lt;&gt;0), 1), 1), 0),"N/A")</f>
        <v>46326</v>
      </c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4" t="s">
        <v>719</v>
      </c>
      <c r="BG190" s="74"/>
      <c r="BH190" s="74" t="s">
        <v>915</v>
      </c>
      <c r="BI190" s="74" t="s">
        <v>1011</v>
      </c>
      <c r="BJ190" s="78">
        <v>530207</v>
      </c>
      <c r="BK190" s="82" t="s">
        <v>74</v>
      </c>
      <c r="BL190" s="83">
        <v>27795</v>
      </c>
      <c r="BM190" s="73"/>
      <c r="BN190" s="73"/>
      <c r="BO190" s="73"/>
      <c r="BP190" s="73"/>
      <c r="BQ190" s="73"/>
      <c r="BR190" s="84"/>
      <c r="BS190" s="73"/>
      <c r="BT190" s="84"/>
      <c r="BU190" s="73">
        <v>27795</v>
      </c>
      <c r="BV190" s="84"/>
      <c r="BW190" s="73"/>
      <c r="BX190" s="73"/>
      <c r="BY190" s="73"/>
      <c r="BZ190" s="73"/>
      <c r="CA190" s="73">
        <v>20980</v>
      </c>
      <c r="CB190" s="73"/>
      <c r="CC190" s="73"/>
      <c r="CD190" s="73"/>
      <c r="CE190" s="73"/>
      <c r="CF190" s="73"/>
      <c r="CG190" s="73">
        <v>10000</v>
      </c>
      <c r="CH190" s="73">
        <f t="shared" si="4"/>
        <v>58775</v>
      </c>
      <c r="CI190" s="73"/>
      <c r="CJ190" s="73"/>
      <c r="CK190" s="72"/>
      <c r="CL190" s="73"/>
      <c r="CM190" s="73"/>
      <c r="CN190" s="84"/>
      <c r="CO190" s="73"/>
      <c r="CP190" s="84"/>
      <c r="CQ190" s="73"/>
      <c r="CR190" s="84">
        <v>58775</v>
      </c>
      <c r="CS190" s="73"/>
      <c r="CT190" s="73">
        <v>0</v>
      </c>
      <c r="CU190" s="73"/>
      <c r="CV190" s="84">
        <f t="shared" si="5"/>
        <v>0</v>
      </c>
      <c r="CW190" s="139" t="s">
        <v>1234</v>
      </c>
      <c r="CX190" s="135" t="s">
        <v>1254</v>
      </c>
      <c r="CY190" s="135" t="s">
        <v>1262</v>
      </c>
      <c r="CZ190" s="135" t="s">
        <v>1291</v>
      </c>
      <c r="DA190" s="135" t="s">
        <v>1363</v>
      </c>
      <c r="DB190" s="74"/>
      <c r="DC190" s="74" t="s">
        <v>1364</v>
      </c>
      <c r="DD190" s="74" t="s">
        <v>1365</v>
      </c>
    </row>
    <row r="191" spans="1:108" s="68" customFormat="1" ht="149.44999999999999" hidden="1" customHeight="1" x14ac:dyDescent="0.25">
      <c r="A191" s="74" t="s">
        <v>699</v>
      </c>
      <c r="B191" s="74" t="s">
        <v>154</v>
      </c>
      <c r="C191" s="74" t="s">
        <v>172</v>
      </c>
      <c r="D191" s="85" t="s">
        <v>196</v>
      </c>
      <c r="E191" s="74" t="s">
        <v>309</v>
      </c>
      <c r="F191" s="74" t="s">
        <v>550</v>
      </c>
      <c r="G191" s="74" t="s">
        <v>137</v>
      </c>
      <c r="H191" s="74" t="s">
        <v>137</v>
      </c>
      <c r="I191" s="74" t="s">
        <v>66</v>
      </c>
      <c r="J191" s="74" t="s">
        <v>532</v>
      </c>
      <c r="K191" s="82" t="s">
        <v>137</v>
      </c>
      <c r="L191" s="82" t="s">
        <v>137</v>
      </c>
      <c r="M191" s="82" t="s">
        <v>137</v>
      </c>
      <c r="N191" s="82" t="s">
        <v>137</v>
      </c>
      <c r="O191" s="82" t="s">
        <v>137</v>
      </c>
      <c r="P191" s="82" t="s">
        <v>137</v>
      </c>
      <c r="Q191" s="74" t="s">
        <v>553</v>
      </c>
      <c r="R191" s="74" t="s">
        <v>710</v>
      </c>
      <c r="S191" s="74" t="s">
        <v>556</v>
      </c>
      <c r="T191" s="74" t="s">
        <v>320</v>
      </c>
      <c r="U191" s="75">
        <v>0.95</v>
      </c>
      <c r="V191" s="75">
        <v>0.95</v>
      </c>
      <c r="W191" s="75">
        <v>0.95</v>
      </c>
      <c r="X191" s="75">
        <v>0.95</v>
      </c>
      <c r="Y191" s="75">
        <v>0.95</v>
      </c>
      <c r="Z191" s="75">
        <v>0.95</v>
      </c>
      <c r="AA191" s="75">
        <v>0.95</v>
      </c>
      <c r="AB191" s="75">
        <v>0.95</v>
      </c>
      <c r="AC191" s="75">
        <v>0.95</v>
      </c>
      <c r="AD191" s="75">
        <v>0.95</v>
      </c>
      <c r="AE191" s="75">
        <v>0.95</v>
      </c>
      <c r="AF191" s="75">
        <v>0.95</v>
      </c>
      <c r="AG191" s="74" t="s">
        <v>534</v>
      </c>
      <c r="AH191" s="74" t="s">
        <v>530</v>
      </c>
      <c r="AI191" s="78" t="s">
        <v>539</v>
      </c>
      <c r="AJ191" s="79" t="s">
        <v>539</v>
      </c>
      <c r="AK191" s="80">
        <v>46023</v>
      </c>
      <c r="AL191" s="80">
        <v>46387</v>
      </c>
      <c r="AM191" s="79"/>
      <c r="AN191" s="79"/>
      <c r="AO191" s="79"/>
      <c r="AP191" s="81" t="s">
        <v>543</v>
      </c>
      <c r="AQ191" s="80" cm="1">
        <f t="array" ref="AQ191">IFERROR(DATE(2026, _xlfn.AGGREGATE(15, 6, (COLUMN(CI191:CT191)-COLUMN(CI191)+1)/(CI191:CT191&lt;&gt;0), 1), 1),"N/A")</f>
        <v>46235</v>
      </c>
      <c r="AR191" s="80" cm="1">
        <f t="array" ref="AR191">IFERROR(EOMONTH(DATE(2026, _xlfn.AGGREGATE(14, 6, (COLUMN(CI191:CT191)-COLUMN(CI191)+1)/(CI191:CT191&lt;&gt;0), 1), 1), 0),"N/A")</f>
        <v>46265</v>
      </c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85" t="s">
        <v>1070</v>
      </c>
      <c r="BG191" s="74"/>
      <c r="BH191" s="74" t="s">
        <v>1071</v>
      </c>
      <c r="BI191" s="74" t="s">
        <v>1011</v>
      </c>
      <c r="BJ191" s="78">
        <v>631203</v>
      </c>
      <c r="BK191" s="82" t="s">
        <v>74</v>
      </c>
      <c r="BL191" s="83">
        <v>0</v>
      </c>
      <c r="BM191" s="73"/>
      <c r="BN191" s="73"/>
      <c r="BO191" s="73"/>
      <c r="BP191" s="73"/>
      <c r="BQ191" s="73"/>
      <c r="BR191" s="73"/>
      <c r="BS191" s="84"/>
      <c r="BT191" s="84"/>
      <c r="BU191" s="73"/>
      <c r="BV191" s="73"/>
      <c r="BW191" s="73"/>
      <c r="BX191" s="73"/>
      <c r="BY191" s="73"/>
      <c r="BZ191" s="73"/>
      <c r="CA191" s="73">
        <v>7500</v>
      </c>
      <c r="CB191" s="73"/>
      <c r="CC191" s="73"/>
      <c r="CD191" s="73"/>
      <c r="CE191" s="73"/>
      <c r="CF191" s="73"/>
      <c r="CG191" s="73"/>
      <c r="CH191" s="73">
        <f t="shared" si="4"/>
        <v>7500</v>
      </c>
      <c r="CI191" s="73"/>
      <c r="CJ191" s="73"/>
      <c r="CK191" s="72"/>
      <c r="CL191" s="73"/>
      <c r="CM191" s="73"/>
      <c r="CN191" s="73"/>
      <c r="CO191" s="84"/>
      <c r="CP191" s="84">
        <v>7500</v>
      </c>
      <c r="CQ191" s="73"/>
      <c r="CR191" s="73"/>
      <c r="CS191" s="73"/>
      <c r="CT191" s="73"/>
      <c r="CU191" s="73"/>
      <c r="CV191" s="84">
        <f t="shared" si="5"/>
        <v>0</v>
      </c>
      <c r="CW191" s="139" t="s">
        <v>1238</v>
      </c>
      <c r="CX191" s="158" t="s">
        <v>1253</v>
      </c>
      <c r="CY191" s="158"/>
      <c r="CZ191" s="163" t="s">
        <v>1302</v>
      </c>
      <c r="DA191" s="135" t="s">
        <v>1372</v>
      </c>
      <c r="DB191" s="74"/>
      <c r="DC191" s="85" t="s">
        <v>1373</v>
      </c>
      <c r="DD191" s="74" t="s">
        <v>1370</v>
      </c>
    </row>
    <row r="192" spans="1:108" s="68" customFormat="1" ht="189" hidden="1" x14ac:dyDescent="0.25">
      <c r="A192" s="74" t="s">
        <v>699</v>
      </c>
      <c r="B192" s="74" t="s">
        <v>154</v>
      </c>
      <c r="C192" s="74" t="s">
        <v>172</v>
      </c>
      <c r="D192" s="85" t="s">
        <v>196</v>
      </c>
      <c r="E192" s="74" t="s">
        <v>309</v>
      </c>
      <c r="F192" s="74" t="s">
        <v>550</v>
      </c>
      <c r="G192" s="74" t="s">
        <v>137</v>
      </c>
      <c r="H192" s="74" t="s">
        <v>137</v>
      </c>
      <c r="I192" s="74" t="s">
        <v>66</v>
      </c>
      <c r="J192" s="74" t="s">
        <v>532</v>
      </c>
      <c r="K192" s="82" t="s">
        <v>137</v>
      </c>
      <c r="L192" s="82" t="s">
        <v>137</v>
      </c>
      <c r="M192" s="82" t="s">
        <v>137</v>
      </c>
      <c r="N192" s="82" t="s">
        <v>137</v>
      </c>
      <c r="O192" s="82" t="s">
        <v>137</v>
      </c>
      <c r="P192" s="82" t="s">
        <v>137</v>
      </c>
      <c r="Q192" s="74" t="s">
        <v>553</v>
      </c>
      <c r="R192" s="74" t="s">
        <v>710</v>
      </c>
      <c r="S192" s="74" t="s">
        <v>556</v>
      </c>
      <c r="T192" s="74" t="s">
        <v>320</v>
      </c>
      <c r="U192" s="75">
        <v>0.95</v>
      </c>
      <c r="V192" s="75">
        <v>0.95</v>
      </c>
      <c r="W192" s="75">
        <v>0.95</v>
      </c>
      <c r="X192" s="75">
        <v>0.95</v>
      </c>
      <c r="Y192" s="75">
        <v>0.95</v>
      </c>
      <c r="Z192" s="75">
        <v>0.95</v>
      </c>
      <c r="AA192" s="75">
        <v>0.95</v>
      </c>
      <c r="AB192" s="75">
        <v>0.95</v>
      </c>
      <c r="AC192" s="75">
        <v>0.95</v>
      </c>
      <c r="AD192" s="75">
        <v>0.95</v>
      </c>
      <c r="AE192" s="75">
        <v>0.95</v>
      </c>
      <c r="AF192" s="75">
        <v>0.95</v>
      </c>
      <c r="AG192" s="74" t="s">
        <v>534</v>
      </c>
      <c r="AH192" s="74" t="s">
        <v>530</v>
      </c>
      <c r="AI192" s="78" t="s">
        <v>539</v>
      </c>
      <c r="AJ192" s="79" t="s">
        <v>539</v>
      </c>
      <c r="AK192" s="80">
        <v>46023</v>
      </c>
      <c r="AL192" s="80">
        <v>46387</v>
      </c>
      <c r="AM192" s="79"/>
      <c r="AN192" s="79"/>
      <c r="AO192" s="79"/>
      <c r="AP192" s="81" t="s">
        <v>543</v>
      </c>
      <c r="AQ192" s="80" cm="1">
        <f t="array" ref="AQ192">IFERROR(DATE(2026, _xlfn.AGGREGATE(15, 6, (COLUMN(CI192:CT192)-COLUMN(CI192)+1)/(CI192:CT192&lt;&gt;0), 1), 1),"N/A")</f>
        <v>46235</v>
      </c>
      <c r="AR192" s="80" cm="1">
        <f t="array" ref="AR192">IFERROR(EOMONTH(DATE(2026, _xlfn.AGGREGATE(14, 6, (COLUMN(CI192:CT192)-COLUMN(CI192)+1)/(CI192:CT192&lt;&gt;0), 1), 1), 0),"N/A")</f>
        <v>46265</v>
      </c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85" t="s">
        <v>1160</v>
      </c>
      <c r="BG192" s="74"/>
      <c r="BH192" s="74" t="s">
        <v>1161</v>
      </c>
      <c r="BI192" s="74" t="s">
        <v>1011</v>
      </c>
      <c r="BJ192" s="78">
        <v>840104</v>
      </c>
      <c r="BK192" s="82" t="s">
        <v>74</v>
      </c>
      <c r="BL192" s="83"/>
      <c r="BM192" s="73"/>
      <c r="BN192" s="73"/>
      <c r="BO192" s="73"/>
      <c r="BP192" s="73"/>
      <c r="BQ192" s="73"/>
      <c r="BR192" s="73"/>
      <c r="BS192" s="84"/>
      <c r="BT192" s="84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>
        <v>15000</v>
      </c>
      <c r="CF192" s="73"/>
      <c r="CG192" s="73"/>
      <c r="CH192" s="73">
        <f t="shared" si="4"/>
        <v>15000</v>
      </c>
      <c r="CI192" s="73"/>
      <c r="CJ192" s="73"/>
      <c r="CK192" s="72"/>
      <c r="CL192" s="73"/>
      <c r="CM192" s="73"/>
      <c r="CN192" s="73"/>
      <c r="CO192" s="84"/>
      <c r="CP192" s="84">
        <v>15000</v>
      </c>
      <c r="CQ192" s="73"/>
      <c r="CR192" s="73"/>
      <c r="CS192" s="73"/>
      <c r="CT192" s="73"/>
      <c r="CU192" s="73"/>
      <c r="CV192" s="84">
        <f t="shared" si="5"/>
        <v>0</v>
      </c>
      <c r="CW192" s="141" t="s">
        <v>1241</v>
      </c>
      <c r="CX192" s="158" t="s">
        <v>1252</v>
      </c>
      <c r="CY192" s="158"/>
      <c r="CZ192" s="158"/>
      <c r="DA192" s="163" t="s">
        <v>1368</v>
      </c>
      <c r="DB192" s="74"/>
      <c r="DC192" s="85" t="s">
        <v>1369</v>
      </c>
      <c r="DD192" s="74" t="s">
        <v>1370</v>
      </c>
    </row>
    <row r="193" spans="1:108" s="68" customFormat="1" ht="189" hidden="1" x14ac:dyDescent="0.35">
      <c r="A193" s="74" t="s">
        <v>699</v>
      </c>
      <c r="B193" s="74" t="s">
        <v>154</v>
      </c>
      <c r="C193" s="74" t="s">
        <v>172</v>
      </c>
      <c r="D193" s="85" t="s">
        <v>196</v>
      </c>
      <c r="E193" s="74" t="s">
        <v>309</v>
      </c>
      <c r="F193" s="74" t="s">
        <v>550</v>
      </c>
      <c r="G193" s="74" t="s">
        <v>137</v>
      </c>
      <c r="H193" s="74" t="s">
        <v>137</v>
      </c>
      <c r="I193" s="74" t="s">
        <v>66</v>
      </c>
      <c r="J193" s="74" t="s">
        <v>532</v>
      </c>
      <c r="K193" s="82" t="s">
        <v>137</v>
      </c>
      <c r="L193" s="82" t="s">
        <v>137</v>
      </c>
      <c r="M193" s="82" t="s">
        <v>137</v>
      </c>
      <c r="N193" s="82" t="s">
        <v>137</v>
      </c>
      <c r="O193" s="82" t="s">
        <v>137</v>
      </c>
      <c r="P193" s="82" t="s">
        <v>137</v>
      </c>
      <c r="Q193" s="74" t="s">
        <v>553</v>
      </c>
      <c r="R193" s="74" t="s">
        <v>710</v>
      </c>
      <c r="S193" s="74" t="s">
        <v>556</v>
      </c>
      <c r="T193" s="74" t="s">
        <v>320</v>
      </c>
      <c r="U193" s="75">
        <v>0.95</v>
      </c>
      <c r="V193" s="75">
        <v>0.95</v>
      </c>
      <c r="W193" s="75">
        <v>0.95</v>
      </c>
      <c r="X193" s="75">
        <v>0.95</v>
      </c>
      <c r="Y193" s="75">
        <v>0.95</v>
      </c>
      <c r="Z193" s="75">
        <v>0.95</v>
      </c>
      <c r="AA193" s="75">
        <v>0.95</v>
      </c>
      <c r="AB193" s="75">
        <v>0.95</v>
      </c>
      <c r="AC193" s="75">
        <v>0.95</v>
      </c>
      <c r="AD193" s="75">
        <v>0.95</v>
      </c>
      <c r="AE193" s="75">
        <v>0.95</v>
      </c>
      <c r="AF193" s="75">
        <v>0.95</v>
      </c>
      <c r="AG193" s="74" t="s">
        <v>534</v>
      </c>
      <c r="AH193" s="74" t="s">
        <v>530</v>
      </c>
      <c r="AI193" s="78" t="s">
        <v>539</v>
      </c>
      <c r="AJ193" s="79" t="s">
        <v>539</v>
      </c>
      <c r="AK193" s="80">
        <v>46023</v>
      </c>
      <c r="AL193" s="80">
        <v>46387</v>
      </c>
      <c r="AM193" s="79"/>
      <c r="AN193" s="79"/>
      <c r="AO193" s="79"/>
      <c r="AP193" s="81" t="s">
        <v>543</v>
      </c>
      <c r="AQ193" s="80" cm="1">
        <f t="array" ref="AQ193">IFERROR(DATE(2026, _xlfn.AGGREGATE(15, 6, (COLUMN(CI193:CT193)-COLUMN(CI193)+1)/(CI193:CT193&lt;&gt;0), 1), 1),"N/A")</f>
        <v>46235</v>
      </c>
      <c r="AR193" s="80" cm="1">
        <f t="array" ref="AR193">IFERROR(EOMONTH(DATE(2026, _xlfn.AGGREGATE(14, 6, (COLUMN(CI193:CT193)-COLUMN(CI193)+1)/(CI193:CT193&lt;&gt;0), 1), 1), 0),"N/A")</f>
        <v>46265</v>
      </c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85" t="s">
        <v>1160</v>
      </c>
      <c r="BG193" s="74"/>
      <c r="BH193" s="74" t="s">
        <v>1162</v>
      </c>
      <c r="BI193" s="74" t="s">
        <v>1011</v>
      </c>
      <c r="BJ193" s="78">
        <v>630804</v>
      </c>
      <c r="BK193" s="82" t="s">
        <v>74</v>
      </c>
      <c r="BL193" s="83"/>
      <c r="BM193" s="73"/>
      <c r="BN193" s="73"/>
      <c r="BO193" s="73"/>
      <c r="BP193" s="73"/>
      <c r="BQ193" s="73"/>
      <c r="BR193" s="73"/>
      <c r="BS193" s="84"/>
      <c r="BT193" s="84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>
        <v>5000</v>
      </c>
      <c r="CF193" s="73"/>
      <c r="CG193" s="73"/>
      <c r="CH193" s="73">
        <f t="shared" si="4"/>
        <v>5000</v>
      </c>
      <c r="CI193" s="73"/>
      <c r="CJ193" s="73"/>
      <c r="CK193" s="72"/>
      <c r="CL193" s="73"/>
      <c r="CM193" s="73"/>
      <c r="CN193" s="73"/>
      <c r="CO193" s="84"/>
      <c r="CP193" s="84">
        <v>5000</v>
      </c>
      <c r="CQ193" s="73"/>
      <c r="CR193" s="73"/>
      <c r="CS193" s="73"/>
      <c r="CT193" s="73"/>
      <c r="CU193" s="73"/>
      <c r="CV193" s="84">
        <f t="shared" si="5"/>
        <v>0</v>
      </c>
      <c r="CW193" s="140" t="s">
        <v>1241</v>
      </c>
      <c r="CX193" s="158" t="s">
        <v>1252</v>
      </c>
      <c r="CY193" s="158"/>
      <c r="CZ193" s="158"/>
      <c r="DA193" s="163" t="s">
        <v>1368</v>
      </c>
      <c r="DB193" s="74"/>
      <c r="DC193" s="85" t="s">
        <v>1369</v>
      </c>
      <c r="DD193" s="74" t="s">
        <v>1370</v>
      </c>
    </row>
    <row r="194" spans="1:108" s="68" customFormat="1" ht="62.45" hidden="1" customHeight="1" x14ac:dyDescent="0.25">
      <c r="A194" s="74" t="s">
        <v>699</v>
      </c>
      <c r="B194" s="74" t="s">
        <v>154</v>
      </c>
      <c r="C194" s="74" t="s">
        <v>172</v>
      </c>
      <c r="D194" s="85" t="s">
        <v>196</v>
      </c>
      <c r="E194" s="74" t="s">
        <v>309</v>
      </c>
      <c r="F194" s="74" t="s">
        <v>550</v>
      </c>
      <c r="G194" s="74" t="s">
        <v>137</v>
      </c>
      <c r="H194" s="74" t="s">
        <v>137</v>
      </c>
      <c r="I194" s="74" t="s">
        <v>66</v>
      </c>
      <c r="J194" s="74" t="s">
        <v>532</v>
      </c>
      <c r="K194" s="82" t="s">
        <v>137</v>
      </c>
      <c r="L194" s="82" t="s">
        <v>137</v>
      </c>
      <c r="M194" s="82" t="s">
        <v>137</v>
      </c>
      <c r="N194" s="82" t="s">
        <v>137</v>
      </c>
      <c r="O194" s="82" t="s">
        <v>137</v>
      </c>
      <c r="P194" s="82" t="s">
        <v>137</v>
      </c>
      <c r="Q194" s="74" t="s">
        <v>553</v>
      </c>
      <c r="R194" s="74" t="s">
        <v>710</v>
      </c>
      <c r="S194" s="74" t="s">
        <v>556</v>
      </c>
      <c r="T194" s="74" t="s">
        <v>320</v>
      </c>
      <c r="U194" s="75">
        <v>0.95</v>
      </c>
      <c r="V194" s="75">
        <v>0.95</v>
      </c>
      <c r="W194" s="75">
        <v>0.95</v>
      </c>
      <c r="X194" s="75">
        <v>0.95</v>
      </c>
      <c r="Y194" s="75">
        <v>0.95</v>
      </c>
      <c r="Z194" s="75">
        <v>0.95</v>
      </c>
      <c r="AA194" s="75">
        <v>0.95</v>
      </c>
      <c r="AB194" s="75">
        <v>0.95</v>
      </c>
      <c r="AC194" s="75">
        <v>0.95</v>
      </c>
      <c r="AD194" s="75">
        <v>0.95</v>
      </c>
      <c r="AE194" s="75">
        <v>0.95</v>
      </c>
      <c r="AF194" s="75">
        <v>0.95</v>
      </c>
      <c r="AG194" s="74" t="s">
        <v>534</v>
      </c>
      <c r="AH194" s="74" t="s">
        <v>530</v>
      </c>
      <c r="AI194" s="78" t="s">
        <v>539</v>
      </c>
      <c r="AJ194" s="79" t="s">
        <v>539</v>
      </c>
      <c r="AK194" s="80">
        <v>46023</v>
      </c>
      <c r="AL194" s="80">
        <v>46387</v>
      </c>
      <c r="AM194" s="79"/>
      <c r="AN194" s="79"/>
      <c r="AO194" s="79"/>
      <c r="AP194" s="81" t="s">
        <v>543</v>
      </c>
      <c r="AQ194" s="80" t="str" cm="1">
        <f t="array" ref="AQ194">IFERROR(DATE(2026, _xlfn.AGGREGATE(15, 6, (COLUMN(CI194:CT194)-COLUMN(CI194)+1)/(CI194:CT194&lt;&gt;0), 1), 1),"N/A")</f>
        <v>N/A</v>
      </c>
      <c r="AR194" s="80" t="str" cm="1">
        <f t="array" ref="AR194">IFERROR(EOMONTH(DATE(2026, _xlfn.AGGREGATE(14, 6, (COLUMN(CI194:CT194)-COLUMN(CI194)+1)/(CI194:CT194&lt;&gt;0), 1), 1), 0),"N/A")</f>
        <v>N/A</v>
      </c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4" t="s">
        <v>1068</v>
      </c>
      <c r="BG194" s="74"/>
      <c r="BH194" s="74" t="s">
        <v>1069</v>
      </c>
      <c r="BI194" s="74" t="s">
        <v>1011</v>
      </c>
      <c r="BJ194" s="78">
        <v>530804</v>
      </c>
      <c r="BK194" s="82" t="s">
        <v>74</v>
      </c>
      <c r="BL194" s="83">
        <v>0</v>
      </c>
      <c r="BM194" s="73"/>
      <c r="BN194" s="73"/>
      <c r="BO194" s="73"/>
      <c r="BP194" s="73"/>
      <c r="BQ194" s="73"/>
      <c r="BR194" s="73"/>
      <c r="BS194" s="84"/>
      <c r="BT194" s="84"/>
      <c r="BU194" s="73"/>
      <c r="BV194" s="73"/>
      <c r="BW194" s="73"/>
      <c r="BX194" s="73"/>
      <c r="BY194" s="73"/>
      <c r="BZ194" s="73"/>
      <c r="CA194" s="73">
        <v>5000</v>
      </c>
      <c r="CB194" s="73"/>
      <c r="CC194" s="73"/>
      <c r="CD194" s="73"/>
      <c r="CE194" s="73">
        <v>-5000</v>
      </c>
      <c r="CF194" s="73"/>
      <c r="CG194" s="73"/>
      <c r="CH194" s="73">
        <f t="shared" si="4"/>
        <v>0</v>
      </c>
      <c r="CI194" s="73"/>
      <c r="CJ194" s="73"/>
      <c r="CK194" s="72"/>
      <c r="CL194" s="73"/>
      <c r="CM194" s="73"/>
      <c r="CN194" s="73"/>
      <c r="CO194" s="84"/>
      <c r="CP194" s="84"/>
      <c r="CQ194" s="73"/>
      <c r="CR194" s="73"/>
      <c r="CS194" s="73"/>
      <c r="CT194" s="73"/>
      <c r="CU194" s="73"/>
      <c r="CV194" s="84">
        <f t="shared" si="5"/>
        <v>0</v>
      </c>
      <c r="CW194" s="84"/>
      <c r="CX194" s="159"/>
      <c r="CY194" s="159"/>
      <c r="CZ194" s="159"/>
      <c r="DA194" s="159"/>
      <c r="DB194" s="74"/>
      <c r="DC194" s="74"/>
      <c r="DD194" s="74"/>
    </row>
    <row r="195" spans="1:108" s="68" customFormat="1" ht="228.6" hidden="1" customHeight="1" x14ac:dyDescent="0.35">
      <c r="A195" s="74" t="s">
        <v>699</v>
      </c>
      <c r="B195" s="74" t="s">
        <v>154</v>
      </c>
      <c r="C195" s="74" t="s">
        <v>172</v>
      </c>
      <c r="D195" s="85" t="s">
        <v>196</v>
      </c>
      <c r="E195" s="74" t="s">
        <v>309</v>
      </c>
      <c r="F195" s="74" t="s">
        <v>550</v>
      </c>
      <c r="G195" s="74" t="s">
        <v>137</v>
      </c>
      <c r="H195" s="74" t="s">
        <v>137</v>
      </c>
      <c r="I195" s="74" t="s">
        <v>66</v>
      </c>
      <c r="J195" s="74" t="s">
        <v>532</v>
      </c>
      <c r="K195" s="82" t="s">
        <v>137</v>
      </c>
      <c r="L195" s="82" t="s">
        <v>137</v>
      </c>
      <c r="M195" s="82" t="s">
        <v>137</v>
      </c>
      <c r="N195" s="82" t="s">
        <v>137</v>
      </c>
      <c r="O195" s="82" t="s">
        <v>137</v>
      </c>
      <c r="P195" s="82" t="s">
        <v>137</v>
      </c>
      <c r="Q195" s="74" t="s">
        <v>553</v>
      </c>
      <c r="R195" s="74" t="s">
        <v>710</v>
      </c>
      <c r="S195" s="74" t="s">
        <v>556</v>
      </c>
      <c r="T195" s="74" t="s">
        <v>320</v>
      </c>
      <c r="U195" s="75">
        <v>0.95</v>
      </c>
      <c r="V195" s="75">
        <v>0.95</v>
      </c>
      <c r="W195" s="75">
        <v>0.95</v>
      </c>
      <c r="X195" s="75">
        <v>0.95</v>
      </c>
      <c r="Y195" s="75">
        <v>0.95</v>
      </c>
      <c r="Z195" s="75">
        <v>0.95</v>
      </c>
      <c r="AA195" s="75">
        <v>0.95</v>
      </c>
      <c r="AB195" s="75">
        <v>0.95</v>
      </c>
      <c r="AC195" s="75">
        <v>0.95</v>
      </c>
      <c r="AD195" s="75">
        <v>0.95</v>
      </c>
      <c r="AE195" s="75">
        <v>0.95</v>
      </c>
      <c r="AF195" s="75">
        <v>0.95</v>
      </c>
      <c r="AG195" s="74" t="s">
        <v>534</v>
      </c>
      <c r="AH195" s="74" t="s">
        <v>530</v>
      </c>
      <c r="AI195" s="78" t="s">
        <v>539</v>
      </c>
      <c r="AJ195" s="79" t="s">
        <v>539</v>
      </c>
      <c r="AK195" s="80">
        <v>46023</v>
      </c>
      <c r="AL195" s="80">
        <v>46387</v>
      </c>
      <c r="AM195" s="79"/>
      <c r="AN195" s="79"/>
      <c r="AO195" s="79"/>
      <c r="AP195" s="81" t="s">
        <v>543</v>
      </c>
      <c r="AQ195" s="80" cm="1">
        <f t="array" ref="AQ195">IFERROR(DATE(2026, _xlfn.AGGREGATE(15, 6, (COLUMN(CI195:CT195)-COLUMN(CI195)+1)/(CI195:CT195&lt;&gt;0), 1), 1),"N/A")</f>
        <v>46235</v>
      </c>
      <c r="AR195" s="80" cm="1">
        <f t="array" ref="AR195">IFERROR(EOMONTH(DATE(2026, _xlfn.AGGREGATE(14, 6, (COLUMN(CI195:CT195)-COLUMN(CI195)+1)/(CI195:CT195&lt;&gt;0), 1), 1), 0),"N/A")</f>
        <v>46265</v>
      </c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85" t="s">
        <v>1097</v>
      </c>
      <c r="BG195" s="74"/>
      <c r="BH195" s="74" t="s">
        <v>1098</v>
      </c>
      <c r="BI195" s="74" t="s">
        <v>1011</v>
      </c>
      <c r="BJ195" s="78">
        <v>840104</v>
      </c>
      <c r="BK195" s="82" t="s">
        <v>74</v>
      </c>
      <c r="BL195" s="83">
        <v>0</v>
      </c>
      <c r="BM195" s="73"/>
      <c r="BN195" s="73"/>
      <c r="BO195" s="73"/>
      <c r="BP195" s="73"/>
      <c r="BQ195" s="73"/>
      <c r="BR195" s="73"/>
      <c r="BS195" s="84"/>
      <c r="BT195" s="84"/>
      <c r="BU195" s="73"/>
      <c r="BV195" s="73"/>
      <c r="BW195" s="73"/>
      <c r="BX195" s="73"/>
      <c r="BY195" s="73"/>
      <c r="BZ195" s="73"/>
      <c r="CA195" s="73">
        <v>14000</v>
      </c>
      <c r="CB195" s="73"/>
      <c r="CC195" s="73"/>
      <c r="CD195" s="73"/>
      <c r="CE195" s="73"/>
      <c r="CF195" s="73"/>
      <c r="CG195" s="73"/>
      <c r="CH195" s="73">
        <f t="shared" si="4"/>
        <v>14000</v>
      </c>
      <c r="CI195" s="73"/>
      <c r="CJ195" s="73"/>
      <c r="CK195" s="72"/>
      <c r="CL195" s="73"/>
      <c r="CM195" s="73"/>
      <c r="CN195" s="73"/>
      <c r="CO195" s="84"/>
      <c r="CP195" s="84">
        <v>14000</v>
      </c>
      <c r="CQ195" s="73"/>
      <c r="CR195" s="73"/>
      <c r="CS195" s="73"/>
      <c r="CT195" s="73"/>
      <c r="CU195" s="73"/>
      <c r="CV195" s="84">
        <f t="shared" si="5"/>
        <v>0</v>
      </c>
      <c r="CW195" s="140" t="s">
        <v>1239</v>
      </c>
      <c r="CX195" s="158" t="s">
        <v>1252</v>
      </c>
      <c r="CY195" s="158"/>
      <c r="CZ195" s="163" t="s">
        <v>1303</v>
      </c>
      <c r="DA195" s="163" t="s">
        <v>1371</v>
      </c>
      <c r="DB195" s="74"/>
      <c r="DC195" s="85" t="s">
        <v>1369</v>
      </c>
      <c r="DD195" s="74" t="s">
        <v>1370</v>
      </c>
    </row>
    <row r="196" spans="1:108" s="68" customFormat="1" ht="221.45" hidden="1" customHeight="1" x14ac:dyDescent="0.35">
      <c r="A196" s="74" t="s">
        <v>699</v>
      </c>
      <c r="B196" s="74" t="s">
        <v>154</v>
      </c>
      <c r="C196" s="74" t="s">
        <v>172</v>
      </c>
      <c r="D196" s="85" t="s">
        <v>196</v>
      </c>
      <c r="E196" s="74" t="s">
        <v>309</v>
      </c>
      <c r="F196" s="74" t="s">
        <v>550</v>
      </c>
      <c r="G196" s="74" t="s">
        <v>137</v>
      </c>
      <c r="H196" s="74" t="s">
        <v>137</v>
      </c>
      <c r="I196" s="74" t="s">
        <v>66</v>
      </c>
      <c r="J196" s="74" t="s">
        <v>532</v>
      </c>
      <c r="K196" s="82" t="s">
        <v>137</v>
      </c>
      <c r="L196" s="82" t="s">
        <v>137</v>
      </c>
      <c r="M196" s="82" t="s">
        <v>137</v>
      </c>
      <c r="N196" s="82" t="s">
        <v>137</v>
      </c>
      <c r="O196" s="82" t="s">
        <v>137</v>
      </c>
      <c r="P196" s="82" t="s">
        <v>137</v>
      </c>
      <c r="Q196" s="74" t="s">
        <v>553</v>
      </c>
      <c r="R196" s="74" t="s">
        <v>710</v>
      </c>
      <c r="S196" s="74" t="s">
        <v>556</v>
      </c>
      <c r="T196" s="74" t="s">
        <v>320</v>
      </c>
      <c r="U196" s="75">
        <v>0.95</v>
      </c>
      <c r="V196" s="75">
        <v>0.95</v>
      </c>
      <c r="W196" s="75">
        <v>0.95</v>
      </c>
      <c r="X196" s="75">
        <v>0.95</v>
      </c>
      <c r="Y196" s="75">
        <v>0.95</v>
      </c>
      <c r="Z196" s="75">
        <v>0.95</v>
      </c>
      <c r="AA196" s="75">
        <v>0.95</v>
      </c>
      <c r="AB196" s="75">
        <v>0.95</v>
      </c>
      <c r="AC196" s="75">
        <v>0.95</v>
      </c>
      <c r="AD196" s="75">
        <v>0.95</v>
      </c>
      <c r="AE196" s="75">
        <v>0.95</v>
      </c>
      <c r="AF196" s="75">
        <v>0.95</v>
      </c>
      <c r="AG196" s="74" t="s">
        <v>534</v>
      </c>
      <c r="AH196" s="74" t="s">
        <v>530</v>
      </c>
      <c r="AI196" s="78" t="s">
        <v>539</v>
      </c>
      <c r="AJ196" s="79" t="s">
        <v>539</v>
      </c>
      <c r="AK196" s="80">
        <v>46023</v>
      </c>
      <c r="AL196" s="80">
        <v>46387</v>
      </c>
      <c r="AM196" s="79"/>
      <c r="AN196" s="79"/>
      <c r="AO196" s="79"/>
      <c r="AP196" s="81" t="s">
        <v>543</v>
      </c>
      <c r="AQ196" s="80" cm="1">
        <f t="array" ref="AQ196">IFERROR(DATE(2026, _xlfn.AGGREGATE(15, 6, (COLUMN(CI196:CT196)-COLUMN(CI196)+1)/(CI196:CT196&lt;&gt;0), 1), 1),"N/A")</f>
        <v>46235</v>
      </c>
      <c r="AR196" s="80" cm="1">
        <f t="array" ref="AR196">IFERROR(EOMONTH(DATE(2026, _xlfn.AGGREGATE(14, 6, (COLUMN(CI196:CT196)-COLUMN(CI196)+1)/(CI196:CT196&lt;&gt;0), 1), 1), 0),"N/A")</f>
        <v>46265</v>
      </c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85" t="s">
        <v>1097</v>
      </c>
      <c r="BG196" s="74"/>
      <c r="BH196" s="74" t="s">
        <v>1210</v>
      </c>
      <c r="BI196" s="74" t="s">
        <v>1011</v>
      </c>
      <c r="BJ196" s="78">
        <v>840103</v>
      </c>
      <c r="BK196" s="82" t="s">
        <v>74</v>
      </c>
      <c r="BL196" s="83"/>
      <c r="BM196" s="73"/>
      <c r="BN196" s="73"/>
      <c r="BO196" s="73"/>
      <c r="BP196" s="73"/>
      <c r="BQ196" s="73"/>
      <c r="BR196" s="73"/>
      <c r="BS196" s="84"/>
      <c r="BT196" s="84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>
        <v>12600</v>
      </c>
      <c r="CH196" s="73">
        <f t="shared" si="4"/>
        <v>12600</v>
      </c>
      <c r="CI196" s="73"/>
      <c r="CJ196" s="73"/>
      <c r="CK196" s="72"/>
      <c r="CL196" s="73"/>
      <c r="CM196" s="73"/>
      <c r="CN196" s="73"/>
      <c r="CO196" s="84"/>
      <c r="CP196" s="84">
        <v>12600</v>
      </c>
      <c r="CQ196" s="73"/>
      <c r="CR196" s="73"/>
      <c r="CS196" s="73"/>
      <c r="CT196" s="73"/>
      <c r="CU196" s="73"/>
      <c r="CV196" s="84">
        <f t="shared" si="5"/>
        <v>0</v>
      </c>
      <c r="CW196" s="140" t="s">
        <v>1239</v>
      </c>
      <c r="CX196" s="158" t="s">
        <v>1252</v>
      </c>
      <c r="CY196" s="158"/>
      <c r="CZ196" s="158"/>
      <c r="DA196" s="163" t="s">
        <v>1371</v>
      </c>
      <c r="DB196" s="74"/>
      <c r="DC196" s="85" t="s">
        <v>1369</v>
      </c>
      <c r="DD196" s="74" t="s">
        <v>1370</v>
      </c>
    </row>
    <row r="197" spans="1:108" s="68" customFormat="1" ht="15" hidden="1" customHeight="1" x14ac:dyDescent="0.25">
      <c r="A197" s="74" t="s">
        <v>699</v>
      </c>
      <c r="B197" s="74" t="s">
        <v>154</v>
      </c>
      <c r="C197" s="74" t="s">
        <v>172</v>
      </c>
      <c r="D197" s="85" t="s">
        <v>196</v>
      </c>
      <c r="E197" s="74" t="s">
        <v>309</v>
      </c>
      <c r="F197" s="74" t="s">
        <v>550</v>
      </c>
      <c r="G197" s="74" t="s">
        <v>137</v>
      </c>
      <c r="H197" s="74" t="s">
        <v>137</v>
      </c>
      <c r="I197" s="74" t="s">
        <v>66</v>
      </c>
      <c r="J197" s="74" t="s">
        <v>532</v>
      </c>
      <c r="K197" s="82" t="s">
        <v>137</v>
      </c>
      <c r="L197" s="82" t="s">
        <v>137</v>
      </c>
      <c r="M197" s="82" t="s">
        <v>137</v>
      </c>
      <c r="N197" s="82" t="s">
        <v>137</v>
      </c>
      <c r="O197" s="82" t="s">
        <v>137</v>
      </c>
      <c r="P197" s="82" t="s">
        <v>137</v>
      </c>
      <c r="Q197" s="74" t="s">
        <v>553</v>
      </c>
      <c r="R197" s="74" t="s">
        <v>710</v>
      </c>
      <c r="S197" s="74" t="s">
        <v>556</v>
      </c>
      <c r="T197" s="74" t="s">
        <v>320</v>
      </c>
      <c r="U197" s="75">
        <v>0.95</v>
      </c>
      <c r="V197" s="75">
        <v>0.95</v>
      </c>
      <c r="W197" s="75">
        <v>0.95</v>
      </c>
      <c r="X197" s="75">
        <v>0.95</v>
      </c>
      <c r="Y197" s="75">
        <v>0.95</v>
      </c>
      <c r="Z197" s="75">
        <v>0.95</v>
      </c>
      <c r="AA197" s="75">
        <v>0.95</v>
      </c>
      <c r="AB197" s="75">
        <v>0.95</v>
      </c>
      <c r="AC197" s="75">
        <v>0.95</v>
      </c>
      <c r="AD197" s="75">
        <v>0.95</v>
      </c>
      <c r="AE197" s="75">
        <v>0.95</v>
      </c>
      <c r="AF197" s="75">
        <v>0.95</v>
      </c>
      <c r="AG197" s="74" t="s">
        <v>534</v>
      </c>
      <c r="AH197" s="74" t="s">
        <v>530</v>
      </c>
      <c r="AI197" s="78" t="s">
        <v>539</v>
      </c>
      <c r="AJ197" s="79" t="s">
        <v>539</v>
      </c>
      <c r="AK197" s="80">
        <v>46023</v>
      </c>
      <c r="AL197" s="80">
        <v>46387</v>
      </c>
      <c r="AM197" s="79"/>
      <c r="AN197" s="79"/>
      <c r="AO197" s="79"/>
      <c r="AP197" s="81" t="s">
        <v>543</v>
      </c>
      <c r="AQ197" s="80" t="str" cm="1">
        <f t="array" ref="AQ197">IFERROR(DATE(2026, _xlfn.AGGREGATE(15, 6, (COLUMN(CI197:CT197)-COLUMN(CI197)+1)/(CI197:CT197&lt;&gt;0), 1), 1),"N/A")</f>
        <v>N/A</v>
      </c>
      <c r="AR197" s="80" t="str" cm="1">
        <f t="array" ref="AR197">IFERROR(EOMONTH(DATE(2026, _xlfn.AGGREGATE(14, 6, (COLUMN(CI197:CT197)-COLUMN(CI197)+1)/(CI197:CT197&lt;&gt;0), 1), 1), 0),"N/A")</f>
        <v>N/A</v>
      </c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4" t="s">
        <v>1097</v>
      </c>
      <c r="BG197" s="74"/>
      <c r="BH197" s="74" t="s">
        <v>1099</v>
      </c>
      <c r="BI197" s="74" t="s">
        <v>1011</v>
      </c>
      <c r="BJ197" s="78">
        <v>530402</v>
      </c>
      <c r="BK197" s="82" t="s">
        <v>74</v>
      </c>
      <c r="BL197" s="83">
        <v>0</v>
      </c>
      <c r="BM197" s="73"/>
      <c r="BN197" s="73"/>
      <c r="BO197" s="73"/>
      <c r="BP197" s="73"/>
      <c r="BQ197" s="73"/>
      <c r="BR197" s="73"/>
      <c r="BS197" s="84"/>
      <c r="BT197" s="84"/>
      <c r="BU197" s="73"/>
      <c r="BV197" s="73"/>
      <c r="BW197" s="73"/>
      <c r="BX197" s="73"/>
      <c r="BY197" s="73"/>
      <c r="BZ197" s="73"/>
      <c r="CA197" s="73">
        <v>6000</v>
      </c>
      <c r="CB197" s="73"/>
      <c r="CC197" s="73"/>
      <c r="CD197" s="73"/>
      <c r="CE197" s="73">
        <v>6600</v>
      </c>
      <c r="CF197" s="73"/>
      <c r="CG197" s="73">
        <v>-12600</v>
      </c>
      <c r="CH197" s="73">
        <f t="shared" si="4"/>
        <v>0</v>
      </c>
      <c r="CI197" s="73"/>
      <c r="CJ197" s="73"/>
      <c r="CK197" s="72"/>
      <c r="CL197" s="73"/>
      <c r="CM197" s="73"/>
      <c r="CN197" s="73"/>
      <c r="CO197" s="84"/>
      <c r="CP197" s="84"/>
      <c r="CQ197" s="73"/>
      <c r="CR197" s="73"/>
      <c r="CS197" s="73"/>
      <c r="CT197" s="73"/>
      <c r="CU197" s="73"/>
      <c r="CV197" s="84">
        <f t="shared" si="5"/>
        <v>0</v>
      </c>
      <c r="CW197" s="84"/>
      <c r="CX197" s="74"/>
      <c r="CY197" s="74"/>
      <c r="CZ197" s="74"/>
      <c r="DA197" s="74"/>
      <c r="DB197" s="74"/>
      <c r="DC197" s="74"/>
      <c r="DD197" s="74"/>
    </row>
    <row r="198" spans="1:108" s="68" customFormat="1" ht="15" hidden="1" customHeight="1" x14ac:dyDescent="0.25">
      <c r="A198" s="74" t="s">
        <v>699</v>
      </c>
      <c r="B198" s="74" t="s">
        <v>154</v>
      </c>
      <c r="C198" s="74" t="s">
        <v>172</v>
      </c>
      <c r="D198" s="85" t="s">
        <v>196</v>
      </c>
      <c r="E198" s="74" t="s">
        <v>309</v>
      </c>
      <c r="F198" s="74" t="s">
        <v>550</v>
      </c>
      <c r="G198" s="74" t="s">
        <v>137</v>
      </c>
      <c r="H198" s="74" t="s">
        <v>137</v>
      </c>
      <c r="I198" s="74" t="s">
        <v>66</v>
      </c>
      <c r="J198" s="74" t="s">
        <v>532</v>
      </c>
      <c r="K198" s="82" t="s">
        <v>137</v>
      </c>
      <c r="L198" s="82" t="s">
        <v>137</v>
      </c>
      <c r="M198" s="82" t="s">
        <v>137</v>
      </c>
      <c r="N198" s="82" t="s">
        <v>137</v>
      </c>
      <c r="O198" s="82" t="s">
        <v>137</v>
      </c>
      <c r="P198" s="82" t="s">
        <v>137</v>
      </c>
      <c r="Q198" s="74" t="s">
        <v>553</v>
      </c>
      <c r="R198" s="74" t="s">
        <v>710</v>
      </c>
      <c r="S198" s="74" t="s">
        <v>556</v>
      </c>
      <c r="T198" s="74" t="s">
        <v>320</v>
      </c>
      <c r="U198" s="75">
        <v>0.95</v>
      </c>
      <c r="V198" s="75">
        <v>0.95</v>
      </c>
      <c r="W198" s="75">
        <v>0.95</v>
      </c>
      <c r="X198" s="75">
        <v>0.95</v>
      </c>
      <c r="Y198" s="75">
        <v>0.95</v>
      </c>
      <c r="Z198" s="75">
        <v>0.95</v>
      </c>
      <c r="AA198" s="75">
        <v>0.95</v>
      </c>
      <c r="AB198" s="75">
        <v>0.95</v>
      </c>
      <c r="AC198" s="75">
        <v>0.95</v>
      </c>
      <c r="AD198" s="75">
        <v>0.95</v>
      </c>
      <c r="AE198" s="75">
        <v>0.95</v>
      </c>
      <c r="AF198" s="75">
        <v>0.95</v>
      </c>
      <c r="AG198" s="74" t="s">
        <v>534</v>
      </c>
      <c r="AH198" s="74" t="s">
        <v>530</v>
      </c>
      <c r="AI198" s="78" t="s">
        <v>539</v>
      </c>
      <c r="AJ198" s="79" t="s">
        <v>539</v>
      </c>
      <c r="AK198" s="80">
        <v>46023</v>
      </c>
      <c r="AL198" s="80">
        <v>46387</v>
      </c>
      <c r="AM198" s="79"/>
      <c r="AN198" s="79"/>
      <c r="AO198" s="79"/>
      <c r="AP198" s="81" t="s">
        <v>543</v>
      </c>
      <c r="AQ198" s="80" t="str" cm="1">
        <f t="array" ref="AQ198">IFERROR(DATE(2026, _xlfn.AGGREGATE(15, 6, (COLUMN(CI198:CT198)-COLUMN(CI198)+1)/(CI198:CT198&lt;&gt;0), 1), 1),"N/A")</f>
        <v>N/A</v>
      </c>
      <c r="AR198" s="80" t="str" cm="1">
        <f t="array" ref="AR198">IFERROR(EOMONTH(DATE(2026, _xlfn.AGGREGATE(14, 6, (COLUMN(CI198:CT198)-COLUMN(CI198)+1)/(CI198:CT198&lt;&gt;0), 1), 1), 0),"N/A")</f>
        <v>N/A</v>
      </c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4" t="s">
        <v>1019</v>
      </c>
      <c r="BG198" s="74"/>
      <c r="BH198" s="74" t="s">
        <v>1027</v>
      </c>
      <c r="BI198" s="74" t="s">
        <v>137</v>
      </c>
      <c r="BJ198" s="78">
        <v>840104</v>
      </c>
      <c r="BK198" s="82" t="s">
        <v>74</v>
      </c>
      <c r="BL198" s="86">
        <v>0</v>
      </c>
      <c r="BM198" s="73"/>
      <c r="BN198" s="84"/>
      <c r="BO198" s="84"/>
      <c r="BP198" s="72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>
        <v>20000</v>
      </c>
      <c r="CA198" s="84">
        <v>-20000</v>
      </c>
      <c r="CB198" s="84"/>
      <c r="CC198" s="84"/>
      <c r="CD198" s="84"/>
      <c r="CE198" s="84"/>
      <c r="CF198" s="84"/>
      <c r="CG198" s="84"/>
      <c r="CH198" s="73">
        <f t="shared" si="4"/>
        <v>0</v>
      </c>
      <c r="CI198" s="73"/>
      <c r="CJ198" s="84"/>
      <c r="CK198" s="84"/>
      <c r="CL198" s="72"/>
      <c r="CM198" s="84"/>
      <c r="CN198" s="84">
        <v>0</v>
      </c>
      <c r="CO198" s="84"/>
      <c r="CP198" s="84"/>
      <c r="CQ198" s="84"/>
      <c r="CR198" s="84"/>
      <c r="CS198" s="84"/>
      <c r="CT198" s="84"/>
      <c r="CU198" s="84"/>
      <c r="CV198" s="84">
        <f t="shared" si="5"/>
        <v>0</v>
      </c>
      <c r="CW198" s="84"/>
      <c r="CX198" s="74"/>
      <c r="CY198" s="74"/>
      <c r="CZ198" s="74"/>
      <c r="DA198" s="74"/>
      <c r="DB198" s="74"/>
      <c r="DC198" s="74"/>
      <c r="DD198" s="74"/>
    </row>
    <row r="199" spans="1:108" s="68" customFormat="1" ht="15" hidden="1" customHeight="1" x14ac:dyDescent="0.25">
      <c r="A199" s="74" t="s">
        <v>699</v>
      </c>
      <c r="B199" s="74" t="s">
        <v>154</v>
      </c>
      <c r="C199" s="74" t="s">
        <v>172</v>
      </c>
      <c r="D199" s="85" t="s">
        <v>196</v>
      </c>
      <c r="E199" s="74" t="s">
        <v>309</v>
      </c>
      <c r="F199" s="74" t="s">
        <v>550</v>
      </c>
      <c r="G199" s="74" t="s">
        <v>137</v>
      </c>
      <c r="H199" s="74" t="s">
        <v>137</v>
      </c>
      <c r="I199" s="74" t="s">
        <v>66</v>
      </c>
      <c r="J199" s="74" t="s">
        <v>532</v>
      </c>
      <c r="K199" s="82" t="s">
        <v>137</v>
      </c>
      <c r="L199" s="82" t="s">
        <v>137</v>
      </c>
      <c r="M199" s="82" t="s">
        <v>137</v>
      </c>
      <c r="N199" s="82" t="s">
        <v>137</v>
      </c>
      <c r="O199" s="82" t="s">
        <v>137</v>
      </c>
      <c r="P199" s="82" t="s">
        <v>137</v>
      </c>
      <c r="Q199" s="74" t="s">
        <v>553</v>
      </c>
      <c r="R199" s="74" t="s">
        <v>710</v>
      </c>
      <c r="S199" s="74" t="s">
        <v>556</v>
      </c>
      <c r="T199" s="74" t="s">
        <v>320</v>
      </c>
      <c r="U199" s="75">
        <v>0.95</v>
      </c>
      <c r="V199" s="75">
        <v>0.95</v>
      </c>
      <c r="W199" s="75">
        <v>0.95</v>
      </c>
      <c r="X199" s="75">
        <v>0.95</v>
      </c>
      <c r="Y199" s="75">
        <v>0.95</v>
      </c>
      <c r="Z199" s="75">
        <v>0.95</v>
      </c>
      <c r="AA199" s="75">
        <v>0.95</v>
      </c>
      <c r="AB199" s="75">
        <v>0.95</v>
      </c>
      <c r="AC199" s="75">
        <v>0.95</v>
      </c>
      <c r="AD199" s="75">
        <v>0.95</v>
      </c>
      <c r="AE199" s="75">
        <v>0.95</v>
      </c>
      <c r="AF199" s="75">
        <v>0.95</v>
      </c>
      <c r="AG199" s="74" t="s">
        <v>534</v>
      </c>
      <c r="AH199" s="74" t="s">
        <v>530</v>
      </c>
      <c r="AI199" s="78" t="s">
        <v>539</v>
      </c>
      <c r="AJ199" s="79" t="s">
        <v>539</v>
      </c>
      <c r="AK199" s="80">
        <v>46023</v>
      </c>
      <c r="AL199" s="80">
        <v>46387</v>
      </c>
      <c r="AM199" s="79"/>
      <c r="AN199" s="79"/>
      <c r="AO199" s="79"/>
      <c r="AP199" s="81" t="s">
        <v>543</v>
      </c>
      <c r="AQ199" s="80" t="str" cm="1">
        <f t="array" ref="AQ199">IFERROR(DATE(2026, _xlfn.AGGREGATE(15, 6, (COLUMN(CI199:CT199)-COLUMN(CI199)+1)/(CI199:CT199&lt;&gt;0), 1), 1),"N/A")</f>
        <v>N/A</v>
      </c>
      <c r="AR199" s="80" t="str" cm="1">
        <f t="array" ref="AR199">IFERROR(EOMONTH(DATE(2026, _xlfn.AGGREGATE(14, 6, (COLUMN(CI199:CT199)-COLUMN(CI199)+1)/(CI199:CT199&lt;&gt;0), 1), 1), 0),"N/A")</f>
        <v>N/A</v>
      </c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4" t="s">
        <v>1018</v>
      </c>
      <c r="BG199" s="74"/>
      <c r="BH199" s="74" t="s">
        <v>1025</v>
      </c>
      <c r="BI199" s="74" t="s">
        <v>137</v>
      </c>
      <c r="BJ199" s="78">
        <v>630601</v>
      </c>
      <c r="BK199" s="82" t="s">
        <v>74</v>
      </c>
      <c r="BL199" s="86">
        <v>0</v>
      </c>
      <c r="BM199" s="73"/>
      <c r="BN199" s="84"/>
      <c r="BO199" s="84"/>
      <c r="BP199" s="72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>
        <v>25000</v>
      </c>
      <c r="CA199" s="84">
        <v>-25000</v>
      </c>
      <c r="CB199" s="84"/>
      <c r="CC199" s="84"/>
      <c r="CD199" s="84"/>
      <c r="CE199" s="84"/>
      <c r="CF199" s="84"/>
      <c r="CG199" s="84"/>
      <c r="CH199" s="73">
        <f t="shared" ref="CH199:CH262" si="6">+BL199+BY199+BZ199+CA199+CB199+CC199+CD199+CE199+CF199+CG199</f>
        <v>0</v>
      </c>
      <c r="CI199" s="73"/>
      <c r="CJ199" s="84"/>
      <c r="CK199" s="84"/>
      <c r="CL199" s="72"/>
      <c r="CM199" s="84"/>
      <c r="CN199" s="84"/>
      <c r="CO199" s="84"/>
      <c r="CP199" s="84"/>
      <c r="CQ199" s="84"/>
      <c r="CR199" s="84"/>
      <c r="CS199" s="84"/>
      <c r="CT199" s="84">
        <v>0</v>
      </c>
      <c r="CU199" s="84"/>
      <c r="CV199" s="84">
        <f t="shared" ref="CV199:CV262" si="7">+CH199-SUM(CI199:CU199)</f>
        <v>0</v>
      </c>
      <c r="CW199" s="84"/>
      <c r="CX199" s="74"/>
      <c r="CY199" s="74"/>
      <c r="CZ199" s="74"/>
      <c r="DA199" s="74"/>
      <c r="DB199" s="74"/>
      <c r="DC199" s="74"/>
      <c r="DD199" s="74"/>
    </row>
    <row r="200" spans="1:108" s="68" customFormat="1" ht="79.900000000000006" hidden="1" customHeight="1" x14ac:dyDescent="0.25">
      <c r="A200" s="74" t="s">
        <v>697</v>
      </c>
      <c r="B200" s="74" t="s">
        <v>154</v>
      </c>
      <c r="C200" s="74" t="s">
        <v>172</v>
      </c>
      <c r="D200" s="85" t="s">
        <v>196</v>
      </c>
      <c r="E200" s="74" t="s">
        <v>309</v>
      </c>
      <c r="F200" s="74" t="s">
        <v>550</v>
      </c>
      <c r="G200" s="74" t="s">
        <v>137</v>
      </c>
      <c r="H200" s="74" t="s">
        <v>137</v>
      </c>
      <c r="I200" s="74" t="s">
        <v>66</v>
      </c>
      <c r="J200" s="74" t="s">
        <v>532</v>
      </c>
      <c r="K200" s="82" t="s">
        <v>137</v>
      </c>
      <c r="L200" s="82" t="s">
        <v>137</v>
      </c>
      <c r="M200" s="82" t="s">
        <v>137</v>
      </c>
      <c r="N200" s="82" t="s">
        <v>137</v>
      </c>
      <c r="O200" s="82" t="s">
        <v>137</v>
      </c>
      <c r="P200" s="82" t="s">
        <v>137</v>
      </c>
      <c r="Q200" s="74" t="s">
        <v>553</v>
      </c>
      <c r="R200" s="74" t="s">
        <v>710</v>
      </c>
      <c r="S200" s="74" t="s">
        <v>556</v>
      </c>
      <c r="T200" s="74" t="s">
        <v>320</v>
      </c>
      <c r="U200" s="75">
        <v>0.95</v>
      </c>
      <c r="V200" s="75">
        <v>0.95</v>
      </c>
      <c r="W200" s="75">
        <v>0.95</v>
      </c>
      <c r="X200" s="75">
        <v>0.95</v>
      </c>
      <c r="Y200" s="75">
        <v>0.95</v>
      </c>
      <c r="Z200" s="75">
        <v>0.95</v>
      </c>
      <c r="AA200" s="75">
        <v>0.95</v>
      </c>
      <c r="AB200" s="75">
        <v>0.95</v>
      </c>
      <c r="AC200" s="75">
        <v>0.95</v>
      </c>
      <c r="AD200" s="75">
        <v>0.95</v>
      </c>
      <c r="AE200" s="75">
        <v>0.95</v>
      </c>
      <c r="AF200" s="75">
        <v>0.95</v>
      </c>
      <c r="AG200" s="74" t="s">
        <v>534</v>
      </c>
      <c r="AH200" s="74" t="s">
        <v>530</v>
      </c>
      <c r="AI200" s="78" t="s">
        <v>539</v>
      </c>
      <c r="AJ200" s="79" t="s">
        <v>539</v>
      </c>
      <c r="AK200" s="80">
        <v>46023</v>
      </c>
      <c r="AL200" s="80">
        <v>46387</v>
      </c>
      <c r="AM200" s="79"/>
      <c r="AN200" s="79"/>
      <c r="AO200" s="79"/>
      <c r="AP200" s="81" t="s">
        <v>543</v>
      </c>
      <c r="AQ200" s="80" cm="1">
        <f t="array" ref="AQ200">IFERROR(DATE(2026, _xlfn.AGGREGATE(15, 6, (COLUMN(CI200:CT200)-COLUMN(CI200)+1)/(CI200:CT200&lt;&gt;0), 1), 1),"N/A")</f>
        <v>46174</v>
      </c>
      <c r="AR200" s="80" cm="1">
        <f t="array" ref="AR200">IFERROR(EOMONTH(DATE(2026, _xlfn.AGGREGATE(14, 6, (COLUMN(CI200:CT200)-COLUMN(CI200)+1)/(CI200:CT200&lt;&gt;0), 1), 1), 0),"N/A")</f>
        <v>46265</v>
      </c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85" t="s">
        <v>722</v>
      </c>
      <c r="BG200" s="74"/>
      <c r="BH200" s="74" t="s">
        <v>992</v>
      </c>
      <c r="BI200" s="74" t="s">
        <v>1013</v>
      </c>
      <c r="BJ200" s="78">
        <v>530801</v>
      </c>
      <c r="BK200" s="82" t="s">
        <v>74</v>
      </c>
      <c r="BL200" s="83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>
        <v>14500</v>
      </c>
      <c r="BZ200" s="73"/>
      <c r="CA200" s="73"/>
      <c r="CB200" s="73"/>
      <c r="CC200" s="73"/>
      <c r="CD200" s="73"/>
      <c r="CE200" s="73"/>
      <c r="CF200" s="73"/>
      <c r="CG200" s="73"/>
      <c r="CH200" s="73">
        <f t="shared" si="6"/>
        <v>14500</v>
      </c>
      <c r="CI200" s="73"/>
      <c r="CJ200" s="73"/>
      <c r="CK200" s="72"/>
      <c r="CL200" s="120">
        <v>0</v>
      </c>
      <c r="CM200" s="120">
        <v>0</v>
      </c>
      <c r="CN200" s="73">
        <v>3625</v>
      </c>
      <c r="CO200" s="73">
        <v>3625</v>
      </c>
      <c r="CP200" s="73">
        <v>7250</v>
      </c>
      <c r="CQ200" s="73"/>
      <c r="CR200" s="73"/>
      <c r="CS200" s="73"/>
      <c r="CT200" s="73"/>
      <c r="CU200" s="73"/>
      <c r="CV200" s="84">
        <f t="shared" si="7"/>
        <v>0</v>
      </c>
      <c r="CW200" s="74" t="s">
        <v>1235</v>
      </c>
      <c r="CX200" s="74"/>
      <c r="CY200" s="74"/>
      <c r="CZ200" s="74"/>
      <c r="DA200" s="74"/>
      <c r="DB200" s="85" t="s">
        <v>1327</v>
      </c>
      <c r="DC200" s="74" t="s">
        <v>1328</v>
      </c>
      <c r="DD200" s="74" t="s">
        <v>1329</v>
      </c>
    </row>
    <row r="201" spans="1:108" s="68" customFormat="1" ht="45.6" hidden="1" customHeight="1" x14ac:dyDescent="0.25">
      <c r="A201" s="74" t="s">
        <v>697</v>
      </c>
      <c r="B201" s="74" t="s">
        <v>154</v>
      </c>
      <c r="C201" s="74" t="s">
        <v>172</v>
      </c>
      <c r="D201" s="85" t="s">
        <v>196</v>
      </c>
      <c r="E201" s="74" t="s">
        <v>309</v>
      </c>
      <c r="F201" s="74" t="s">
        <v>550</v>
      </c>
      <c r="G201" s="74" t="s">
        <v>137</v>
      </c>
      <c r="H201" s="74" t="s">
        <v>137</v>
      </c>
      <c r="I201" s="74" t="s">
        <v>66</v>
      </c>
      <c r="J201" s="74" t="s">
        <v>532</v>
      </c>
      <c r="K201" s="82" t="s">
        <v>137</v>
      </c>
      <c r="L201" s="82" t="s">
        <v>137</v>
      </c>
      <c r="M201" s="82" t="s">
        <v>137</v>
      </c>
      <c r="N201" s="82" t="s">
        <v>137</v>
      </c>
      <c r="O201" s="82" t="s">
        <v>137</v>
      </c>
      <c r="P201" s="82" t="s">
        <v>137</v>
      </c>
      <c r="Q201" s="74" t="s">
        <v>553</v>
      </c>
      <c r="R201" s="74" t="s">
        <v>710</v>
      </c>
      <c r="S201" s="74" t="s">
        <v>556</v>
      </c>
      <c r="T201" s="74" t="s">
        <v>320</v>
      </c>
      <c r="U201" s="75">
        <v>0.95</v>
      </c>
      <c r="V201" s="75">
        <v>0.95</v>
      </c>
      <c r="W201" s="75">
        <v>0.95</v>
      </c>
      <c r="X201" s="75">
        <v>0.95</v>
      </c>
      <c r="Y201" s="75">
        <v>0.95</v>
      </c>
      <c r="Z201" s="75">
        <v>0.95</v>
      </c>
      <c r="AA201" s="75">
        <v>0.95</v>
      </c>
      <c r="AB201" s="75">
        <v>0.95</v>
      </c>
      <c r="AC201" s="75">
        <v>0.95</v>
      </c>
      <c r="AD201" s="75">
        <v>0.95</v>
      </c>
      <c r="AE201" s="75">
        <v>0.95</v>
      </c>
      <c r="AF201" s="75">
        <v>0.95</v>
      </c>
      <c r="AG201" s="74" t="s">
        <v>534</v>
      </c>
      <c r="AH201" s="74" t="s">
        <v>530</v>
      </c>
      <c r="AI201" s="78" t="s">
        <v>539</v>
      </c>
      <c r="AJ201" s="79" t="s">
        <v>539</v>
      </c>
      <c r="AK201" s="80">
        <v>46023</v>
      </c>
      <c r="AL201" s="80">
        <v>46387</v>
      </c>
      <c r="AM201" s="79"/>
      <c r="AN201" s="79"/>
      <c r="AO201" s="79"/>
      <c r="AP201" s="81" t="s">
        <v>543</v>
      </c>
      <c r="AQ201" s="80" cm="1">
        <f t="array" ref="AQ201">IFERROR(DATE(2026, _xlfn.AGGREGATE(15, 6, (COLUMN(CI201:CT201)-COLUMN(CI201)+1)/(CI201:CT201&lt;&gt;0), 1), 1),"N/A")</f>
        <v>46204</v>
      </c>
      <c r="AR201" s="80" cm="1">
        <f t="array" ref="AR201">IFERROR(EOMONTH(DATE(2026, _xlfn.AGGREGATE(14, 6, (COLUMN(CI201:CT201)-COLUMN(CI201)+1)/(CI201:CT201&lt;&gt;0), 1), 1), 0),"N/A")</f>
        <v>46265</v>
      </c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85" t="s">
        <v>722</v>
      </c>
      <c r="BG201" s="74"/>
      <c r="BH201" s="74" t="s">
        <v>901</v>
      </c>
      <c r="BI201" s="74" t="s">
        <v>1013</v>
      </c>
      <c r="BJ201" s="78">
        <v>530606</v>
      </c>
      <c r="BK201" s="82" t="s">
        <v>74</v>
      </c>
      <c r="BL201" s="83">
        <v>12500</v>
      </c>
      <c r="BM201" s="73">
        <v>2500</v>
      </c>
      <c r="BN201" s="73">
        <v>2500</v>
      </c>
      <c r="BO201" s="73">
        <v>2500</v>
      </c>
      <c r="BP201" s="73">
        <v>2500</v>
      </c>
      <c r="BQ201" s="73">
        <v>2500</v>
      </c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>
        <f t="shared" si="6"/>
        <v>12500</v>
      </c>
      <c r="CI201" s="73"/>
      <c r="CJ201" s="73"/>
      <c r="CK201" s="72"/>
      <c r="CL201" s="73"/>
      <c r="CM201" s="73"/>
      <c r="CN201" s="73"/>
      <c r="CO201" s="73">
        <v>2500</v>
      </c>
      <c r="CP201" s="73">
        <v>10000</v>
      </c>
      <c r="CQ201" s="73"/>
      <c r="CR201" s="73"/>
      <c r="CS201" s="73"/>
      <c r="CT201" s="73"/>
      <c r="CU201" s="73"/>
      <c r="CV201" s="84">
        <f t="shared" si="7"/>
        <v>0</v>
      </c>
      <c r="CW201" s="74" t="s">
        <v>1235</v>
      </c>
      <c r="CX201" s="74"/>
      <c r="CY201" s="74"/>
      <c r="CZ201" s="74"/>
      <c r="DA201" s="74"/>
      <c r="DB201" s="74"/>
      <c r="DC201" s="74" t="s">
        <v>1328</v>
      </c>
      <c r="DD201" s="74" t="s">
        <v>1329</v>
      </c>
    </row>
    <row r="202" spans="1:108" s="169" customFormat="1" ht="61.15" hidden="1" customHeight="1" x14ac:dyDescent="0.25">
      <c r="A202" s="166" t="s">
        <v>692</v>
      </c>
      <c r="B202" s="74" t="s">
        <v>154</v>
      </c>
      <c r="C202" s="74" t="s">
        <v>172</v>
      </c>
      <c r="D202" s="85" t="s">
        <v>196</v>
      </c>
      <c r="E202" s="166" t="s">
        <v>309</v>
      </c>
      <c r="F202" s="74" t="s">
        <v>550</v>
      </c>
      <c r="G202" s="74" t="s">
        <v>137</v>
      </c>
      <c r="H202" s="74" t="s">
        <v>137</v>
      </c>
      <c r="I202" s="74" t="s">
        <v>66</v>
      </c>
      <c r="J202" s="74" t="s">
        <v>532</v>
      </c>
      <c r="K202" s="82" t="s">
        <v>137</v>
      </c>
      <c r="L202" s="82" t="s">
        <v>137</v>
      </c>
      <c r="M202" s="82" t="s">
        <v>137</v>
      </c>
      <c r="N202" s="82" t="s">
        <v>137</v>
      </c>
      <c r="O202" s="82" t="s">
        <v>137</v>
      </c>
      <c r="P202" s="82" t="s">
        <v>137</v>
      </c>
      <c r="Q202" s="74" t="s">
        <v>553</v>
      </c>
      <c r="R202" s="74" t="s">
        <v>710</v>
      </c>
      <c r="S202" s="74" t="s">
        <v>556</v>
      </c>
      <c r="T202" s="74" t="s">
        <v>320</v>
      </c>
      <c r="U202" s="75">
        <v>0.95</v>
      </c>
      <c r="V202" s="75">
        <v>0.95</v>
      </c>
      <c r="W202" s="75">
        <v>0.95</v>
      </c>
      <c r="X202" s="75">
        <v>0.95</v>
      </c>
      <c r="Y202" s="75">
        <v>0.95</v>
      </c>
      <c r="Z202" s="75">
        <v>0.95</v>
      </c>
      <c r="AA202" s="75">
        <v>0.95</v>
      </c>
      <c r="AB202" s="75">
        <v>0.95</v>
      </c>
      <c r="AC202" s="75">
        <v>0.95</v>
      </c>
      <c r="AD202" s="75">
        <v>0.95</v>
      </c>
      <c r="AE202" s="75">
        <v>0.95</v>
      </c>
      <c r="AF202" s="75">
        <v>0.95</v>
      </c>
      <c r="AG202" s="74" t="s">
        <v>534</v>
      </c>
      <c r="AH202" s="74" t="s">
        <v>530</v>
      </c>
      <c r="AI202" s="78" t="s">
        <v>539</v>
      </c>
      <c r="AJ202" s="79" t="s">
        <v>539</v>
      </c>
      <c r="AK202" s="80">
        <v>46023</v>
      </c>
      <c r="AL202" s="80">
        <v>46387</v>
      </c>
      <c r="AM202" s="79"/>
      <c r="AN202" s="79"/>
      <c r="AO202" s="79"/>
      <c r="AP202" s="81" t="s">
        <v>543</v>
      </c>
      <c r="AQ202" s="80" t="s">
        <v>137</v>
      </c>
      <c r="AR202" s="80" t="s">
        <v>137</v>
      </c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167" t="s">
        <v>1023</v>
      </c>
      <c r="BG202" s="74"/>
      <c r="BH202" s="74" t="s">
        <v>1033</v>
      </c>
      <c r="BI202" s="74" t="s">
        <v>1013</v>
      </c>
      <c r="BJ202" s="78">
        <v>530606</v>
      </c>
      <c r="BK202" s="82" t="s">
        <v>74</v>
      </c>
      <c r="BL202" s="86">
        <v>0</v>
      </c>
      <c r="BM202" s="73"/>
      <c r="BN202" s="84"/>
      <c r="BO202" s="84"/>
      <c r="BP202" s="72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>
        <v>25000</v>
      </c>
      <c r="CA202" s="84">
        <v>-10000</v>
      </c>
      <c r="CB202" s="84"/>
      <c r="CC202" s="84"/>
      <c r="CD202" s="84"/>
      <c r="CE202" s="84"/>
      <c r="CF202" s="84"/>
      <c r="CG202" s="84"/>
      <c r="CH202" s="168">
        <f t="shared" si="6"/>
        <v>15000</v>
      </c>
      <c r="CI202" s="73"/>
      <c r="CJ202" s="84"/>
      <c r="CK202" s="84"/>
      <c r="CL202" s="72"/>
      <c r="CM202" s="84"/>
      <c r="CN202" s="84">
        <v>2500</v>
      </c>
      <c r="CO202" s="84">
        <v>2500</v>
      </c>
      <c r="CP202" s="84">
        <v>2500</v>
      </c>
      <c r="CQ202" s="84">
        <v>2500</v>
      </c>
      <c r="CR202" s="84">
        <v>2500</v>
      </c>
      <c r="CS202" s="84">
        <v>2500</v>
      </c>
      <c r="CT202" s="84"/>
      <c r="CU202" s="84"/>
      <c r="CV202" s="84">
        <f t="shared" si="7"/>
        <v>0</v>
      </c>
      <c r="CW202" s="74"/>
      <c r="CX202" s="74" t="s">
        <v>1231</v>
      </c>
      <c r="CY202" s="74"/>
      <c r="CZ202" s="166" t="s">
        <v>1284</v>
      </c>
      <c r="DA202" s="166" t="s">
        <v>1235</v>
      </c>
      <c r="DB202" s="166"/>
      <c r="DC202" s="166"/>
      <c r="DD202" s="166"/>
    </row>
    <row r="203" spans="1:108" s="68" customFormat="1" ht="30" hidden="1" x14ac:dyDescent="0.25">
      <c r="A203" s="74" t="s">
        <v>699</v>
      </c>
      <c r="B203" s="74" t="s">
        <v>154</v>
      </c>
      <c r="C203" s="74" t="s">
        <v>172</v>
      </c>
      <c r="D203" s="85" t="s">
        <v>196</v>
      </c>
      <c r="E203" s="74" t="s">
        <v>309</v>
      </c>
      <c r="F203" s="74" t="s">
        <v>550</v>
      </c>
      <c r="G203" s="74" t="s">
        <v>137</v>
      </c>
      <c r="H203" s="74" t="s">
        <v>137</v>
      </c>
      <c r="I203" s="74" t="s">
        <v>66</v>
      </c>
      <c r="J203" s="74" t="s">
        <v>532</v>
      </c>
      <c r="K203" s="82" t="s">
        <v>137</v>
      </c>
      <c r="L203" s="82" t="s">
        <v>137</v>
      </c>
      <c r="M203" s="82" t="s">
        <v>137</v>
      </c>
      <c r="N203" s="82" t="s">
        <v>137</v>
      </c>
      <c r="O203" s="82" t="s">
        <v>137</v>
      </c>
      <c r="P203" s="82" t="s">
        <v>137</v>
      </c>
      <c r="Q203" s="74" t="s">
        <v>553</v>
      </c>
      <c r="R203" s="74" t="s">
        <v>710</v>
      </c>
      <c r="S203" s="74" t="s">
        <v>556</v>
      </c>
      <c r="T203" s="74" t="s">
        <v>320</v>
      </c>
      <c r="U203" s="75">
        <v>0.95</v>
      </c>
      <c r="V203" s="75">
        <v>0.95</v>
      </c>
      <c r="W203" s="75">
        <v>0.95</v>
      </c>
      <c r="X203" s="75">
        <v>0.95</v>
      </c>
      <c r="Y203" s="75">
        <v>0.95</v>
      </c>
      <c r="Z203" s="75">
        <v>0.95</v>
      </c>
      <c r="AA203" s="75">
        <v>0.95</v>
      </c>
      <c r="AB203" s="75">
        <v>0.95</v>
      </c>
      <c r="AC203" s="75">
        <v>0.95</v>
      </c>
      <c r="AD203" s="75">
        <v>0.95</v>
      </c>
      <c r="AE203" s="75">
        <v>0.95</v>
      </c>
      <c r="AF203" s="75">
        <v>0.95</v>
      </c>
      <c r="AG203" s="74" t="s">
        <v>534</v>
      </c>
      <c r="AH203" s="74" t="s">
        <v>530</v>
      </c>
      <c r="AI203" s="78" t="s">
        <v>539</v>
      </c>
      <c r="AJ203" s="79" t="s">
        <v>539</v>
      </c>
      <c r="AK203" s="80">
        <v>46023</v>
      </c>
      <c r="AL203" s="80">
        <v>46387</v>
      </c>
      <c r="AM203" s="79"/>
      <c r="AN203" s="79"/>
      <c r="AO203" s="79"/>
      <c r="AP203" s="81" t="s">
        <v>543</v>
      </c>
      <c r="AQ203" s="80" t="str" cm="1">
        <f t="array" ref="AQ203">IFERROR(DATE(2026, _xlfn.AGGREGATE(15, 6, (COLUMN(CI203:CT203)-COLUMN(CI203)+1)/(CI203:CT203&lt;&gt;0), 1), 1),"N/A")</f>
        <v>N/A</v>
      </c>
      <c r="AR203" s="80" t="str" cm="1">
        <f t="array" ref="AR203">IFERROR(EOMONTH(DATE(2026, _xlfn.AGGREGATE(14, 6, (COLUMN(CI203:CT203)-COLUMN(CI203)+1)/(CI203:CT203&lt;&gt;0), 1), 1), 0),"N/A")</f>
        <v>N/A</v>
      </c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85" t="s">
        <v>1074</v>
      </c>
      <c r="BG203" s="74"/>
      <c r="BH203" s="74" t="s">
        <v>1075</v>
      </c>
      <c r="BI203" s="74" t="s">
        <v>1011</v>
      </c>
      <c r="BJ203" s="78">
        <v>530606</v>
      </c>
      <c r="BK203" s="82" t="s">
        <v>74</v>
      </c>
      <c r="BL203" s="83">
        <v>0</v>
      </c>
      <c r="BM203" s="73"/>
      <c r="BN203" s="73"/>
      <c r="BO203" s="73"/>
      <c r="BP203" s="73"/>
      <c r="BQ203" s="73"/>
      <c r="BR203" s="73"/>
      <c r="BS203" s="84"/>
      <c r="BT203" s="84"/>
      <c r="BU203" s="73"/>
      <c r="BV203" s="73"/>
      <c r="BW203" s="73"/>
      <c r="BX203" s="73"/>
      <c r="BY203" s="73"/>
      <c r="BZ203" s="73"/>
      <c r="CA203" s="73">
        <v>25000</v>
      </c>
      <c r="CB203" s="73"/>
      <c r="CC203" s="73"/>
      <c r="CD203" s="73"/>
      <c r="CE203" s="73"/>
      <c r="CF203" s="73">
        <v>-12500</v>
      </c>
      <c r="CG203" s="73">
        <v>-500</v>
      </c>
      <c r="CH203" s="73">
        <f t="shared" si="6"/>
        <v>12000</v>
      </c>
      <c r="CI203" s="73"/>
      <c r="CJ203" s="73"/>
      <c r="CK203" s="72"/>
      <c r="CL203" s="119">
        <v>0</v>
      </c>
      <c r="CM203" s="120">
        <v>0</v>
      </c>
      <c r="CN203" s="73">
        <v>0</v>
      </c>
      <c r="CO203" s="73"/>
      <c r="CP203" s="73"/>
      <c r="CQ203" s="73"/>
      <c r="CR203" s="73"/>
      <c r="CS203" s="73"/>
      <c r="CT203" s="73"/>
      <c r="CU203" s="73">
        <v>12000</v>
      </c>
      <c r="CV203" s="84">
        <f t="shared" si="7"/>
        <v>0</v>
      </c>
      <c r="CW203" s="85" t="s">
        <v>1247</v>
      </c>
      <c r="CX203" s="74" t="s">
        <v>1242</v>
      </c>
      <c r="CY203" s="74"/>
      <c r="CZ203" s="74"/>
      <c r="DA203" s="74"/>
      <c r="DB203" s="74"/>
      <c r="DC203" s="74"/>
      <c r="DD203" s="74"/>
    </row>
    <row r="204" spans="1:108" s="68" customFormat="1" ht="30" hidden="1" x14ac:dyDescent="0.25">
      <c r="A204" s="74" t="s">
        <v>699</v>
      </c>
      <c r="B204" s="74" t="s">
        <v>154</v>
      </c>
      <c r="C204" s="74" t="s">
        <v>172</v>
      </c>
      <c r="D204" s="85" t="s">
        <v>196</v>
      </c>
      <c r="E204" s="74" t="s">
        <v>309</v>
      </c>
      <c r="F204" s="74" t="s">
        <v>550</v>
      </c>
      <c r="G204" s="74" t="s">
        <v>137</v>
      </c>
      <c r="H204" s="74" t="s">
        <v>137</v>
      </c>
      <c r="I204" s="74" t="s">
        <v>66</v>
      </c>
      <c r="J204" s="74" t="s">
        <v>532</v>
      </c>
      <c r="K204" s="82" t="s">
        <v>137</v>
      </c>
      <c r="L204" s="82" t="s">
        <v>137</v>
      </c>
      <c r="M204" s="82" t="s">
        <v>137</v>
      </c>
      <c r="N204" s="82" t="s">
        <v>137</v>
      </c>
      <c r="O204" s="82" t="s">
        <v>137</v>
      </c>
      <c r="P204" s="82" t="s">
        <v>137</v>
      </c>
      <c r="Q204" s="74" t="s">
        <v>553</v>
      </c>
      <c r="R204" s="74" t="s">
        <v>710</v>
      </c>
      <c r="S204" s="74" t="s">
        <v>556</v>
      </c>
      <c r="T204" s="74" t="s">
        <v>320</v>
      </c>
      <c r="U204" s="75">
        <v>0.95</v>
      </c>
      <c r="V204" s="75">
        <v>0.95</v>
      </c>
      <c r="W204" s="75">
        <v>0.95</v>
      </c>
      <c r="X204" s="75">
        <v>0.95</v>
      </c>
      <c r="Y204" s="75">
        <v>0.95</v>
      </c>
      <c r="Z204" s="75">
        <v>0.95</v>
      </c>
      <c r="AA204" s="75">
        <v>0.95</v>
      </c>
      <c r="AB204" s="75">
        <v>0.95</v>
      </c>
      <c r="AC204" s="75">
        <v>0.95</v>
      </c>
      <c r="AD204" s="75">
        <v>0.95</v>
      </c>
      <c r="AE204" s="75">
        <v>0.95</v>
      </c>
      <c r="AF204" s="75">
        <v>0.95</v>
      </c>
      <c r="AG204" s="74" t="s">
        <v>534</v>
      </c>
      <c r="AH204" s="74" t="s">
        <v>530</v>
      </c>
      <c r="AI204" s="78" t="s">
        <v>539</v>
      </c>
      <c r="AJ204" s="79" t="s">
        <v>539</v>
      </c>
      <c r="AK204" s="80">
        <v>46023</v>
      </c>
      <c r="AL204" s="80">
        <v>46387</v>
      </c>
      <c r="AM204" s="79"/>
      <c r="AN204" s="79"/>
      <c r="AO204" s="79"/>
      <c r="AP204" s="81" t="s">
        <v>543</v>
      </c>
      <c r="AQ204" s="80" cm="1">
        <f t="array" ref="AQ204">IFERROR(DATE(2026, _xlfn.AGGREGATE(15, 6, (COLUMN(CI204:CT204)-COLUMN(CI204)+1)/(CI204:CT204&lt;&gt;0), 1), 1),"N/A")</f>
        <v>46204</v>
      </c>
      <c r="AR204" s="80" cm="1">
        <f t="array" ref="AR204">IFERROR(EOMONTH(DATE(2026, _xlfn.AGGREGATE(14, 6, (COLUMN(CI204:CT204)-COLUMN(CI204)+1)/(CI204:CT204&lt;&gt;0), 1), 1), 0),"N/A")</f>
        <v>46356</v>
      </c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85" t="s">
        <v>1174</v>
      </c>
      <c r="BG204" s="74"/>
      <c r="BH204" s="74" t="s">
        <v>1175</v>
      </c>
      <c r="BI204" s="74" t="s">
        <v>1011</v>
      </c>
      <c r="BJ204" s="78">
        <v>530606</v>
      </c>
      <c r="BK204" s="82" t="s">
        <v>74</v>
      </c>
      <c r="BL204" s="83"/>
      <c r="BM204" s="73"/>
      <c r="BN204" s="73"/>
      <c r="BO204" s="73"/>
      <c r="BP204" s="73"/>
      <c r="BQ204" s="73"/>
      <c r="BR204" s="73"/>
      <c r="BS204" s="84"/>
      <c r="BT204" s="84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>
        <v>12500</v>
      </c>
      <c r="CG204" s="73"/>
      <c r="CH204" s="73">
        <f t="shared" si="6"/>
        <v>12500</v>
      </c>
      <c r="CI204" s="73"/>
      <c r="CJ204" s="73"/>
      <c r="CK204" s="72"/>
      <c r="CL204" s="119"/>
      <c r="CM204" s="120"/>
      <c r="CN204" s="73"/>
      <c r="CO204" s="73">
        <v>2500</v>
      </c>
      <c r="CP204" s="73">
        <v>2500</v>
      </c>
      <c r="CQ204" s="73">
        <v>2500</v>
      </c>
      <c r="CR204" s="73">
        <v>2500</v>
      </c>
      <c r="CS204" s="73">
        <v>2500</v>
      </c>
      <c r="CT204" s="73"/>
      <c r="CU204" s="73"/>
      <c r="CV204" s="84">
        <f t="shared" si="7"/>
        <v>0</v>
      </c>
      <c r="CX204" s="74" t="s">
        <v>1243</v>
      </c>
      <c r="CY204" s="74"/>
      <c r="CZ204" s="74"/>
      <c r="DA204" s="74" t="s">
        <v>1235</v>
      </c>
      <c r="DB204" s="74"/>
      <c r="DC204" s="74"/>
      <c r="DD204" s="74"/>
    </row>
    <row r="205" spans="1:108" s="169" customFormat="1" ht="30" hidden="1" customHeight="1" x14ac:dyDescent="0.25">
      <c r="A205" s="166" t="s">
        <v>692</v>
      </c>
      <c r="B205" s="74" t="s">
        <v>154</v>
      </c>
      <c r="C205" s="74" t="s">
        <v>172</v>
      </c>
      <c r="D205" s="85" t="s">
        <v>196</v>
      </c>
      <c r="E205" s="166" t="s">
        <v>309</v>
      </c>
      <c r="F205" s="74" t="s">
        <v>550</v>
      </c>
      <c r="G205" s="74" t="s">
        <v>137</v>
      </c>
      <c r="H205" s="74" t="s">
        <v>137</v>
      </c>
      <c r="I205" s="74" t="s">
        <v>66</v>
      </c>
      <c r="J205" s="74" t="s">
        <v>532</v>
      </c>
      <c r="K205" s="82" t="s">
        <v>137</v>
      </c>
      <c r="L205" s="82" t="s">
        <v>137</v>
      </c>
      <c r="M205" s="82" t="s">
        <v>137</v>
      </c>
      <c r="N205" s="82" t="s">
        <v>137</v>
      </c>
      <c r="O205" s="82" t="s">
        <v>137</v>
      </c>
      <c r="P205" s="82" t="s">
        <v>137</v>
      </c>
      <c r="Q205" s="74" t="s">
        <v>553</v>
      </c>
      <c r="R205" s="74" t="s">
        <v>710</v>
      </c>
      <c r="S205" s="74" t="s">
        <v>556</v>
      </c>
      <c r="T205" s="74" t="s">
        <v>320</v>
      </c>
      <c r="U205" s="75">
        <v>0.95</v>
      </c>
      <c r="V205" s="75">
        <v>0.95</v>
      </c>
      <c r="W205" s="75">
        <v>0.95</v>
      </c>
      <c r="X205" s="75">
        <v>0.95</v>
      </c>
      <c r="Y205" s="75">
        <v>0.95</v>
      </c>
      <c r="Z205" s="75">
        <v>0.95</v>
      </c>
      <c r="AA205" s="75">
        <v>0.95</v>
      </c>
      <c r="AB205" s="75">
        <v>0.95</v>
      </c>
      <c r="AC205" s="75">
        <v>0.95</v>
      </c>
      <c r="AD205" s="75">
        <v>0.95</v>
      </c>
      <c r="AE205" s="75">
        <v>0.95</v>
      </c>
      <c r="AF205" s="75">
        <v>0.95</v>
      </c>
      <c r="AG205" s="74" t="s">
        <v>773</v>
      </c>
      <c r="AH205" s="74" t="s">
        <v>531</v>
      </c>
      <c r="AI205" s="78" t="s">
        <v>539</v>
      </c>
      <c r="AJ205" s="79" t="s">
        <v>539</v>
      </c>
      <c r="AK205" s="80">
        <v>46023</v>
      </c>
      <c r="AL205" s="80">
        <v>46387</v>
      </c>
      <c r="AM205" s="79"/>
      <c r="AN205" s="79"/>
      <c r="AO205" s="79"/>
      <c r="AP205" s="81" t="s">
        <v>543</v>
      </c>
      <c r="AQ205" s="80" cm="1">
        <f t="array" ref="AQ205">IFERROR(DATE(2026, _xlfn.AGGREGATE(15, 6, (COLUMN(CI205:CT205)-COLUMN(CI205)+1)/(CI205:CT205&lt;&gt;0), 1), 1),"N/A")</f>
        <v>46143</v>
      </c>
      <c r="AR205" s="80" cm="1">
        <f t="array" ref="AR205">IFERROR(EOMONTH(DATE(2026, _xlfn.AGGREGATE(14, 6, (COLUMN(CI205:CT205)-COLUMN(CI205)+1)/(CI205:CT205&lt;&gt;0), 1), 1), 0),"N/A")</f>
        <v>46387</v>
      </c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167" t="s">
        <v>660</v>
      </c>
      <c r="BG205" s="74"/>
      <c r="BH205" s="74" t="s">
        <v>730</v>
      </c>
      <c r="BI205" s="74" t="s">
        <v>1013</v>
      </c>
      <c r="BJ205" s="78">
        <v>630207</v>
      </c>
      <c r="BK205" s="82" t="s">
        <v>74</v>
      </c>
      <c r="BL205" s="83">
        <v>84951.1</v>
      </c>
      <c r="BM205" s="84">
        <v>2000</v>
      </c>
      <c r="BN205" s="84">
        <v>6000</v>
      </c>
      <c r="BO205" s="84">
        <v>6000</v>
      </c>
      <c r="BP205" s="72">
        <v>6000</v>
      </c>
      <c r="BQ205" s="84">
        <v>6000</v>
      </c>
      <c r="BR205" s="84">
        <v>10000</v>
      </c>
      <c r="BS205" s="84">
        <v>10000</v>
      </c>
      <c r="BT205" s="84">
        <v>10000</v>
      </c>
      <c r="BU205" s="84">
        <v>10000</v>
      </c>
      <c r="BV205" s="84">
        <v>6000</v>
      </c>
      <c r="BW205" s="84">
        <v>6000</v>
      </c>
      <c r="BX205" s="84">
        <v>6951.1</v>
      </c>
      <c r="BY205" s="84"/>
      <c r="BZ205" s="84">
        <v>-4684.82</v>
      </c>
      <c r="CA205" s="84"/>
      <c r="CB205" s="84"/>
      <c r="CC205" s="84"/>
      <c r="CD205" s="84"/>
      <c r="CE205" s="84"/>
      <c r="CF205" s="84"/>
      <c r="CG205" s="84"/>
      <c r="CH205" s="168">
        <f t="shared" si="6"/>
        <v>80266.28</v>
      </c>
      <c r="CI205" s="102"/>
      <c r="CJ205" s="102"/>
      <c r="CK205" s="102"/>
      <c r="CL205" s="102"/>
      <c r="CM205" s="84">
        <v>5394.14</v>
      </c>
      <c r="CN205" s="84">
        <v>24289.14</v>
      </c>
      <c r="CO205" s="84">
        <v>8430.5</v>
      </c>
      <c r="CP205" s="84">
        <v>8430.5</v>
      </c>
      <c r="CQ205" s="84">
        <v>8430.5</v>
      </c>
      <c r="CR205" s="84">
        <v>8430.5</v>
      </c>
      <c r="CS205" s="84">
        <v>8430.5</v>
      </c>
      <c r="CT205" s="84">
        <v>8430.5</v>
      </c>
      <c r="CU205" s="102"/>
      <c r="CV205" s="84">
        <f t="shared" si="7"/>
        <v>0</v>
      </c>
      <c r="CW205" s="74"/>
      <c r="CX205" s="74" t="s">
        <v>1231</v>
      </c>
      <c r="CY205" s="74"/>
      <c r="CZ205" s="166" t="s">
        <v>1285</v>
      </c>
      <c r="DA205" s="166" t="s">
        <v>1235</v>
      </c>
      <c r="DB205" s="166"/>
      <c r="DC205" s="166"/>
      <c r="DD205" s="166"/>
    </row>
    <row r="206" spans="1:108" s="68" customFormat="1" ht="144" hidden="1" x14ac:dyDescent="0.25">
      <c r="A206" s="167" t="s">
        <v>695</v>
      </c>
      <c r="B206" s="74" t="s">
        <v>154</v>
      </c>
      <c r="C206" s="74" t="s">
        <v>172</v>
      </c>
      <c r="D206" s="85" t="s">
        <v>196</v>
      </c>
      <c r="E206" s="166" t="s">
        <v>309</v>
      </c>
      <c r="F206" s="74" t="s">
        <v>550</v>
      </c>
      <c r="G206" s="74" t="s">
        <v>137</v>
      </c>
      <c r="H206" s="74" t="s">
        <v>137</v>
      </c>
      <c r="I206" s="74" t="s">
        <v>66</v>
      </c>
      <c r="J206" s="74" t="s">
        <v>532</v>
      </c>
      <c r="K206" s="82" t="s">
        <v>137</v>
      </c>
      <c r="L206" s="82" t="s">
        <v>137</v>
      </c>
      <c r="M206" s="82" t="s">
        <v>137</v>
      </c>
      <c r="N206" s="82" t="s">
        <v>137</v>
      </c>
      <c r="O206" s="82" t="s">
        <v>137</v>
      </c>
      <c r="P206" s="82" t="s">
        <v>137</v>
      </c>
      <c r="Q206" s="74" t="s">
        <v>553</v>
      </c>
      <c r="R206" s="74" t="s">
        <v>710</v>
      </c>
      <c r="S206" s="74" t="s">
        <v>556</v>
      </c>
      <c r="T206" s="74" t="s">
        <v>320</v>
      </c>
      <c r="U206" s="75">
        <v>0.95</v>
      </c>
      <c r="V206" s="75">
        <v>0.95</v>
      </c>
      <c r="W206" s="75">
        <v>0.95</v>
      </c>
      <c r="X206" s="75">
        <v>0.95</v>
      </c>
      <c r="Y206" s="75">
        <v>0.95</v>
      </c>
      <c r="Z206" s="75">
        <v>0.95</v>
      </c>
      <c r="AA206" s="75">
        <v>0.95</v>
      </c>
      <c r="AB206" s="75">
        <v>0.95</v>
      </c>
      <c r="AC206" s="75">
        <v>0.95</v>
      </c>
      <c r="AD206" s="75">
        <v>0.95</v>
      </c>
      <c r="AE206" s="75">
        <v>0.95</v>
      </c>
      <c r="AF206" s="75">
        <v>0.95</v>
      </c>
      <c r="AG206" s="74" t="s">
        <v>773</v>
      </c>
      <c r="AH206" s="74" t="s">
        <v>531</v>
      </c>
      <c r="AI206" s="78" t="s">
        <v>539</v>
      </c>
      <c r="AJ206" s="79" t="s">
        <v>539</v>
      </c>
      <c r="AK206" s="80">
        <v>46023</v>
      </c>
      <c r="AL206" s="80">
        <v>46387</v>
      </c>
      <c r="AM206" s="79"/>
      <c r="AN206" s="79"/>
      <c r="AO206" s="79"/>
      <c r="AP206" s="81" t="s">
        <v>543</v>
      </c>
      <c r="AQ206" s="80" cm="1">
        <f t="array" ref="AQ206">IFERROR(DATE(2026, _xlfn.AGGREGATE(15, 6, (COLUMN(CI206:CT206)-COLUMN(CI206)+1)/(CI206:CT206&lt;&gt;0), 1), 1),"N/A")</f>
        <v>46113</v>
      </c>
      <c r="AR206" s="80" cm="1">
        <f t="array" ref="AR206">IFERROR(EOMONTH(DATE(2026, _xlfn.AGGREGATE(14, 6, (COLUMN(CI206:CT206)-COLUMN(CI206)+1)/(CI206:CT206&lt;&gt;0), 1), 1), 0),"N/A")</f>
        <v>46387</v>
      </c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167" t="s">
        <v>660</v>
      </c>
      <c r="BG206" s="74"/>
      <c r="BH206" s="74" t="s">
        <v>731</v>
      </c>
      <c r="BI206" s="74" t="s">
        <v>1013</v>
      </c>
      <c r="BJ206" s="78">
        <v>630207</v>
      </c>
      <c r="BK206" s="82" t="s">
        <v>74</v>
      </c>
      <c r="BL206" s="83">
        <v>84951.1</v>
      </c>
      <c r="BM206" s="73">
        <v>0</v>
      </c>
      <c r="BN206" s="84">
        <v>10000</v>
      </c>
      <c r="BO206" s="84">
        <v>10000</v>
      </c>
      <c r="BP206" s="72">
        <v>10000</v>
      </c>
      <c r="BQ206" s="84">
        <v>10000</v>
      </c>
      <c r="BR206" s="84">
        <v>15000</v>
      </c>
      <c r="BS206" s="84">
        <v>15000</v>
      </c>
      <c r="BT206" s="84">
        <v>10000</v>
      </c>
      <c r="BU206" s="84">
        <v>4951.1000000000004</v>
      </c>
      <c r="BV206" s="73">
        <v>0</v>
      </c>
      <c r="BW206" s="73">
        <v>0</v>
      </c>
      <c r="BX206" s="73">
        <v>0</v>
      </c>
      <c r="BY206" s="73"/>
      <c r="BZ206" s="73">
        <v>-4684.82</v>
      </c>
      <c r="CA206" s="73"/>
      <c r="CB206" s="73"/>
      <c r="CC206" s="73"/>
      <c r="CD206" s="73"/>
      <c r="CE206" s="73"/>
      <c r="CF206" s="73"/>
      <c r="CG206" s="73"/>
      <c r="CH206" s="168">
        <f t="shared" si="6"/>
        <v>80266.28</v>
      </c>
      <c r="CI206" s="73"/>
      <c r="CJ206" s="102"/>
      <c r="CK206" s="102"/>
      <c r="CL206" s="73">
        <v>3274.46</v>
      </c>
      <c r="CM206" s="84"/>
      <c r="CN206" s="84">
        <v>21149.61</v>
      </c>
      <c r="CO206" s="84"/>
      <c r="CP206" s="84"/>
      <c r="CQ206" s="84">
        <v>20000</v>
      </c>
      <c r="CR206" s="73"/>
      <c r="CS206" s="73"/>
      <c r="CT206" s="73">
        <v>35842.21</v>
      </c>
      <c r="CU206" s="73"/>
      <c r="CV206" s="84">
        <f t="shared" si="7"/>
        <v>0</v>
      </c>
      <c r="CW206" s="132" t="s">
        <v>1246</v>
      </c>
      <c r="CX206" s="74"/>
      <c r="CY206" s="74"/>
      <c r="CZ206" s="132" t="s">
        <v>1312</v>
      </c>
      <c r="DA206" s="171" t="s">
        <v>1235</v>
      </c>
      <c r="DB206" s="74"/>
      <c r="DC206" s="74"/>
      <c r="DD206" s="74"/>
    </row>
    <row r="207" spans="1:108" s="68" customFormat="1" ht="144" hidden="1" x14ac:dyDescent="0.25">
      <c r="A207" s="161" t="s">
        <v>693</v>
      </c>
      <c r="B207" s="74" t="s">
        <v>154</v>
      </c>
      <c r="C207" s="74" t="s">
        <v>172</v>
      </c>
      <c r="D207" s="85" t="s">
        <v>196</v>
      </c>
      <c r="E207" s="74" t="s">
        <v>309</v>
      </c>
      <c r="F207" s="74" t="s">
        <v>550</v>
      </c>
      <c r="G207" s="74" t="s">
        <v>137</v>
      </c>
      <c r="H207" s="74" t="s">
        <v>137</v>
      </c>
      <c r="I207" s="74" t="s">
        <v>66</v>
      </c>
      <c r="J207" s="74" t="s">
        <v>532</v>
      </c>
      <c r="K207" s="82" t="s">
        <v>137</v>
      </c>
      <c r="L207" s="82" t="s">
        <v>137</v>
      </c>
      <c r="M207" s="82" t="s">
        <v>137</v>
      </c>
      <c r="N207" s="82" t="s">
        <v>137</v>
      </c>
      <c r="O207" s="82" t="s">
        <v>137</v>
      </c>
      <c r="P207" s="82" t="s">
        <v>137</v>
      </c>
      <c r="Q207" s="74" t="s">
        <v>553</v>
      </c>
      <c r="R207" s="74" t="s">
        <v>710</v>
      </c>
      <c r="S207" s="74" t="s">
        <v>556</v>
      </c>
      <c r="T207" s="74" t="s">
        <v>320</v>
      </c>
      <c r="U207" s="75">
        <v>0.95</v>
      </c>
      <c r="V207" s="75">
        <v>0.95</v>
      </c>
      <c r="W207" s="75">
        <v>0.95</v>
      </c>
      <c r="X207" s="75">
        <v>0.95</v>
      </c>
      <c r="Y207" s="75">
        <v>0.95</v>
      </c>
      <c r="Z207" s="75">
        <v>0.95</v>
      </c>
      <c r="AA207" s="75">
        <v>0.95</v>
      </c>
      <c r="AB207" s="75">
        <v>0.95</v>
      </c>
      <c r="AC207" s="75">
        <v>0.95</v>
      </c>
      <c r="AD207" s="75">
        <v>0.95</v>
      </c>
      <c r="AE207" s="75">
        <v>0.95</v>
      </c>
      <c r="AF207" s="75">
        <v>0.95</v>
      </c>
      <c r="AG207" s="74" t="s">
        <v>773</v>
      </c>
      <c r="AH207" s="74" t="s">
        <v>531</v>
      </c>
      <c r="AI207" s="78" t="s">
        <v>539</v>
      </c>
      <c r="AJ207" s="79" t="s">
        <v>539</v>
      </c>
      <c r="AK207" s="80">
        <v>46023</v>
      </c>
      <c r="AL207" s="80">
        <v>46387</v>
      </c>
      <c r="AM207" s="79"/>
      <c r="AN207" s="79"/>
      <c r="AO207" s="79"/>
      <c r="AP207" s="81" t="s">
        <v>543</v>
      </c>
      <c r="AQ207" s="80" cm="1">
        <f t="array" ref="AQ207">IFERROR(DATE(2026, _xlfn.AGGREGATE(15, 6, (COLUMN(CI207:CT207)-COLUMN(CI207)+1)/(CI207:CT207&lt;&gt;0), 1), 1),"N/A")</f>
        <v>46174</v>
      </c>
      <c r="AR207" s="80" cm="1">
        <f t="array" ref="AR207">IFERROR(EOMONTH(DATE(2026, _xlfn.AGGREGATE(14, 6, (COLUMN(CI207:CT207)-COLUMN(CI207)+1)/(CI207:CT207&lt;&gt;0), 1), 1), 0),"N/A")</f>
        <v>46203</v>
      </c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4" t="s">
        <v>660</v>
      </c>
      <c r="BG207" s="74"/>
      <c r="BH207" s="74" t="s">
        <v>733</v>
      </c>
      <c r="BI207" s="74" t="s">
        <v>1013</v>
      </c>
      <c r="BJ207" s="78">
        <v>630207</v>
      </c>
      <c r="BK207" s="82" t="s">
        <v>74</v>
      </c>
      <c r="BL207" s="83">
        <v>25485.23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84">
        <v>25485.23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73">
        <v>0</v>
      </c>
      <c r="BY207" s="73"/>
      <c r="BZ207" s="73">
        <v>-1405.33</v>
      </c>
      <c r="CA207" s="73"/>
      <c r="CB207" s="73"/>
      <c r="CC207" s="73"/>
      <c r="CD207" s="73"/>
      <c r="CE207" s="73"/>
      <c r="CF207" s="73"/>
      <c r="CG207" s="73"/>
      <c r="CH207" s="73">
        <f t="shared" si="6"/>
        <v>24079.9</v>
      </c>
      <c r="CI207" s="73"/>
      <c r="CJ207" s="73"/>
      <c r="CK207" s="73">
        <v>0</v>
      </c>
      <c r="CL207" s="73">
        <v>0</v>
      </c>
      <c r="CM207" s="73">
        <v>0</v>
      </c>
      <c r="CN207" s="84">
        <v>24079.9</v>
      </c>
      <c r="CO207" s="73">
        <v>0</v>
      </c>
      <c r="CP207" s="73">
        <v>0</v>
      </c>
      <c r="CQ207" s="73">
        <v>0</v>
      </c>
      <c r="CR207" s="73">
        <v>0</v>
      </c>
      <c r="CS207" s="73">
        <v>0</v>
      </c>
      <c r="CT207" s="73">
        <v>0</v>
      </c>
      <c r="CU207" s="73"/>
      <c r="CV207" s="84">
        <f t="shared" si="7"/>
        <v>0</v>
      </c>
      <c r="CW207" s="132" t="s">
        <v>1246</v>
      </c>
      <c r="CX207" s="74" t="s">
        <v>1235</v>
      </c>
      <c r="CY207" s="74"/>
      <c r="CZ207" s="74"/>
      <c r="DA207" s="74" t="s">
        <v>1366</v>
      </c>
      <c r="DB207" s="74" t="s">
        <v>1304</v>
      </c>
      <c r="DC207" s="74"/>
      <c r="DD207" s="74"/>
    </row>
    <row r="208" spans="1:108" s="68" customFormat="1" ht="144" hidden="1" x14ac:dyDescent="0.25">
      <c r="A208" s="85" t="s">
        <v>695</v>
      </c>
      <c r="B208" s="74" t="s">
        <v>154</v>
      </c>
      <c r="C208" s="74" t="s">
        <v>172</v>
      </c>
      <c r="D208" s="85" t="s">
        <v>196</v>
      </c>
      <c r="E208" s="74" t="s">
        <v>309</v>
      </c>
      <c r="F208" s="74" t="s">
        <v>550</v>
      </c>
      <c r="G208" s="74" t="s">
        <v>137</v>
      </c>
      <c r="H208" s="74" t="s">
        <v>137</v>
      </c>
      <c r="I208" s="74" t="s">
        <v>66</v>
      </c>
      <c r="J208" s="74" t="s">
        <v>532</v>
      </c>
      <c r="K208" s="82" t="s">
        <v>137</v>
      </c>
      <c r="L208" s="82" t="s">
        <v>137</v>
      </c>
      <c r="M208" s="82" t="s">
        <v>137</v>
      </c>
      <c r="N208" s="82" t="s">
        <v>137</v>
      </c>
      <c r="O208" s="82" t="s">
        <v>137</v>
      </c>
      <c r="P208" s="82" t="s">
        <v>137</v>
      </c>
      <c r="Q208" s="74" t="s">
        <v>553</v>
      </c>
      <c r="R208" s="74" t="s">
        <v>710</v>
      </c>
      <c r="S208" s="74" t="s">
        <v>556</v>
      </c>
      <c r="T208" s="74" t="s">
        <v>320</v>
      </c>
      <c r="U208" s="75">
        <v>0.95</v>
      </c>
      <c r="V208" s="75">
        <v>0.95</v>
      </c>
      <c r="W208" s="75">
        <v>0.95</v>
      </c>
      <c r="X208" s="75">
        <v>0.95</v>
      </c>
      <c r="Y208" s="75">
        <v>0.95</v>
      </c>
      <c r="Z208" s="75">
        <v>0.95</v>
      </c>
      <c r="AA208" s="75">
        <v>0.95</v>
      </c>
      <c r="AB208" s="75">
        <v>0.95</v>
      </c>
      <c r="AC208" s="75">
        <v>0.95</v>
      </c>
      <c r="AD208" s="75">
        <v>0.95</v>
      </c>
      <c r="AE208" s="75">
        <v>0.95</v>
      </c>
      <c r="AF208" s="75">
        <v>0.95</v>
      </c>
      <c r="AG208" s="74" t="s">
        <v>534</v>
      </c>
      <c r="AH208" s="74" t="s">
        <v>530</v>
      </c>
      <c r="AI208" s="78" t="s">
        <v>539</v>
      </c>
      <c r="AJ208" s="79" t="s">
        <v>539</v>
      </c>
      <c r="AK208" s="80">
        <v>46023</v>
      </c>
      <c r="AL208" s="80">
        <v>46387</v>
      </c>
      <c r="AM208" s="79"/>
      <c r="AN208" s="79"/>
      <c r="AO208" s="79"/>
      <c r="AP208" s="81" t="s">
        <v>543</v>
      </c>
      <c r="AQ208" s="80" t="str" cm="1">
        <f t="array" ref="AQ208">IFERROR(DATE(2026, _xlfn.AGGREGATE(15, 6, (COLUMN(CI208:CT208)-COLUMN(CI208)+1)/(CI208:CT208&lt;&gt;0), 1), 1),"N/A")</f>
        <v>N/A</v>
      </c>
      <c r="AR208" s="80" t="str" cm="1">
        <f t="array" ref="AR208">IFERROR(EOMONTH(DATE(2026, _xlfn.AGGREGATE(14, 6, (COLUMN(CI208:CT208)-COLUMN(CI208)+1)/(CI208:CT208&lt;&gt;0), 1), 1), 0),"N/A")</f>
        <v>N/A</v>
      </c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4" t="s">
        <v>668</v>
      </c>
      <c r="BG208" s="74"/>
      <c r="BH208" s="74" t="s">
        <v>904</v>
      </c>
      <c r="BI208" s="74" t="s">
        <v>1013</v>
      </c>
      <c r="BJ208" s="78">
        <v>630207</v>
      </c>
      <c r="BK208" s="82" t="s">
        <v>74</v>
      </c>
      <c r="BL208" s="83">
        <v>50000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73">
        <v>0</v>
      </c>
      <c r="BU208" s="73">
        <v>0</v>
      </c>
      <c r="BV208" s="73">
        <v>0</v>
      </c>
      <c r="BW208" s="73">
        <v>0</v>
      </c>
      <c r="BX208" s="84">
        <v>50000</v>
      </c>
      <c r="BY208" s="84">
        <v>-50000</v>
      </c>
      <c r="BZ208" s="84"/>
      <c r="CA208" s="84"/>
      <c r="CB208" s="84"/>
      <c r="CC208" s="84"/>
      <c r="CD208" s="84"/>
      <c r="CE208" s="84"/>
      <c r="CF208" s="84"/>
      <c r="CG208" s="84"/>
      <c r="CH208" s="73">
        <f t="shared" si="6"/>
        <v>0</v>
      </c>
      <c r="CI208" s="73"/>
      <c r="CJ208" s="73"/>
      <c r="CK208" s="72">
        <v>0</v>
      </c>
      <c r="CL208" s="73">
        <v>0</v>
      </c>
      <c r="CM208" s="73">
        <v>0</v>
      </c>
      <c r="CN208" s="73">
        <v>0</v>
      </c>
      <c r="CO208" s="73">
        <v>0</v>
      </c>
      <c r="CP208" s="73">
        <v>0</v>
      </c>
      <c r="CQ208" s="73">
        <v>0</v>
      </c>
      <c r="CR208" s="73">
        <v>0</v>
      </c>
      <c r="CS208" s="73">
        <v>0</v>
      </c>
      <c r="CT208" s="84"/>
      <c r="CU208" s="84"/>
      <c r="CV208" s="84">
        <f t="shared" si="7"/>
        <v>0</v>
      </c>
      <c r="CW208" s="132" t="s">
        <v>1246</v>
      </c>
      <c r="CX208" s="74"/>
      <c r="CY208" s="74"/>
      <c r="CZ208" s="74"/>
      <c r="DA208" s="74"/>
      <c r="DB208" s="74" t="s">
        <v>1013</v>
      </c>
      <c r="DC208" s="74"/>
      <c r="DD208" s="74"/>
    </row>
    <row r="209" spans="1:108" s="68" customFormat="1" ht="30" hidden="1" x14ac:dyDescent="0.25">
      <c r="A209" s="161" t="s">
        <v>693</v>
      </c>
      <c r="B209" s="74" t="s">
        <v>154</v>
      </c>
      <c r="C209" s="74" t="s">
        <v>172</v>
      </c>
      <c r="D209" s="85" t="s">
        <v>196</v>
      </c>
      <c r="E209" s="74" t="s">
        <v>309</v>
      </c>
      <c r="F209" s="74" t="s">
        <v>550</v>
      </c>
      <c r="G209" s="74" t="s">
        <v>137</v>
      </c>
      <c r="H209" s="74" t="s">
        <v>137</v>
      </c>
      <c r="I209" s="74" t="s">
        <v>66</v>
      </c>
      <c r="J209" s="74" t="s">
        <v>532</v>
      </c>
      <c r="K209" s="82" t="s">
        <v>137</v>
      </c>
      <c r="L209" s="82" t="s">
        <v>137</v>
      </c>
      <c r="M209" s="82" t="s">
        <v>137</v>
      </c>
      <c r="N209" s="82" t="s">
        <v>137</v>
      </c>
      <c r="O209" s="82" t="s">
        <v>137</v>
      </c>
      <c r="P209" s="82" t="s">
        <v>137</v>
      </c>
      <c r="Q209" s="74" t="s">
        <v>553</v>
      </c>
      <c r="R209" s="74" t="s">
        <v>710</v>
      </c>
      <c r="S209" s="74" t="s">
        <v>556</v>
      </c>
      <c r="T209" s="74" t="s">
        <v>320</v>
      </c>
      <c r="U209" s="75">
        <v>0.95</v>
      </c>
      <c r="V209" s="75">
        <v>0.95</v>
      </c>
      <c r="W209" s="75">
        <v>0.95</v>
      </c>
      <c r="X209" s="75">
        <v>0.95</v>
      </c>
      <c r="Y209" s="75">
        <v>0.95</v>
      </c>
      <c r="Z209" s="75">
        <v>0.95</v>
      </c>
      <c r="AA209" s="75">
        <v>0.95</v>
      </c>
      <c r="AB209" s="75">
        <v>0.95</v>
      </c>
      <c r="AC209" s="75">
        <v>0.95</v>
      </c>
      <c r="AD209" s="75">
        <v>0.95</v>
      </c>
      <c r="AE209" s="75">
        <v>0.95</v>
      </c>
      <c r="AF209" s="75">
        <v>0.95</v>
      </c>
      <c r="AG209" s="74" t="s">
        <v>534</v>
      </c>
      <c r="AH209" s="74" t="s">
        <v>530</v>
      </c>
      <c r="AI209" s="78" t="s">
        <v>539</v>
      </c>
      <c r="AJ209" s="79" t="s">
        <v>539</v>
      </c>
      <c r="AK209" s="80">
        <v>46023</v>
      </c>
      <c r="AL209" s="80">
        <v>46387</v>
      </c>
      <c r="AM209" s="79"/>
      <c r="AN209" s="79"/>
      <c r="AO209" s="79"/>
      <c r="AP209" s="81" t="s">
        <v>543</v>
      </c>
      <c r="AQ209" s="80" t="str" cm="1">
        <f t="array" ref="AQ209">IFERROR(DATE(2026, _xlfn.AGGREGATE(15, 6, (COLUMN(CI209:CT209)-COLUMN(CI209)+1)/(CI209:CT209&lt;&gt;0), 1), 1),"N/A")</f>
        <v>N/A</v>
      </c>
      <c r="AR209" s="80" t="str" cm="1">
        <f t="array" ref="AR209">IFERROR(EOMONTH(DATE(2026, _xlfn.AGGREGATE(14, 6, (COLUMN(CI209:CT209)-COLUMN(CI209)+1)/(CI209:CT209&lt;&gt;0), 1), 1), 0),"N/A")</f>
        <v>N/A</v>
      </c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4" t="s">
        <v>668</v>
      </c>
      <c r="BG209" s="74"/>
      <c r="BH209" s="74" t="s">
        <v>905</v>
      </c>
      <c r="BI209" s="74" t="s">
        <v>1013</v>
      </c>
      <c r="BJ209" s="78">
        <v>630207</v>
      </c>
      <c r="BK209" s="82" t="s">
        <v>74</v>
      </c>
      <c r="BL209" s="83">
        <v>40000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84">
        <v>15000</v>
      </c>
      <c r="BT209" s="84">
        <v>25000</v>
      </c>
      <c r="BU209" s="73">
        <v>0</v>
      </c>
      <c r="BV209" s="73">
        <v>0</v>
      </c>
      <c r="BW209" s="73">
        <v>0</v>
      </c>
      <c r="BX209" s="73">
        <v>0</v>
      </c>
      <c r="BY209" s="73">
        <v>-40000</v>
      </c>
      <c r="BZ209" s="73"/>
      <c r="CA209" s="73"/>
      <c r="CB209" s="73"/>
      <c r="CC209" s="73"/>
      <c r="CD209" s="73"/>
      <c r="CE209" s="73"/>
      <c r="CF209" s="73"/>
      <c r="CG209" s="73"/>
      <c r="CH209" s="73">
        <f t="shared" si="6"/>
        <v>0</v>
      </c>
      <c r="CI209" s="73"/>
      <c r="CJ209" s="73"/>
      <c r="CK209" s="72">
        <v>0</v>
      </c>
      <c r="CL209" s="73">
        <v>0</v>
      </c>
      <c r="CM209" s="73">
        <v>0</v>
      </c>
      <c r="CN209" s="73">
        <v>0</v>
      </c>
      <c r="CO209" s="84"/>
      <c r="CP209" s="84"/>
      <c r="CQ209" s="73">
        <v>0</v>
      </c>
      <c r="CR209" s="73">
        <v>0</v>
      </c>
      <c r="CS209" s="73">
        <v>0</v>
      </c>
      <c r="CT209" s="73">
        <v>0</v>
      </c>
      <c r="CU209" s="73"/>
      <c r="CV209" s="84">
        <f t="shared" si="7"/>
        <v>0</v>
      </c>
      <c r="CW209" s="84"/>
      <c r="CX209" s="74"/>
      <c r="CY209" s="74"/>
      <c r="CZ209" s="74"/>
      <c r="DA209" s="74"/>
      <c r="DB209" s="74"/>
      <c r="DC209" s="74"/>
      <c r="DD209" s="74"/>
    </row>
    <row r="210" spans="1:108" s="68" customFormat="1" ht="30" hidden="1" x14ac:dyDescent="0.25">
      <c r="A210" s="74" t="s">
        <v>699</v>
      </c>
      <c r="B210" s="74" t="s">
        <v>154</v>
      </c>
      <c r="C210" s="74" t="s">
        <v>172</v>
      </c>
      <c r="D210" s="85" t="s">
        <v>196</v>
      </c>
      <c r="E210" s="74" t="s">
        <v>309</v>
      </c>
      <c r="F210" s="74" t="s">
        <v>550</v>
      </c>
      <c r="G210" s="74" t="s">
        <v>137</v>
      </c>
      <c r="H210" s="74" t="s">
        <v>137</v>
      </c>
      <c r="I210" s="74" t="s">
        <v>66</v>
      </c>
      <c r="J210" s="74" t="s">
        <v>532</v>
      </c>
      <c r="K210" s="82" t="s">
        <v>137</v>
      </c>
      <c r="L210" s="82" t="s">
        <v>137</v>
      </c>
      <c r="M210" s="82" t="s">
        <v>137</v>
      </c>
      <c r="N210" s="82" t="s">
        <v>137</v>
      </c>
      <c r="O210" s="82" t="s">
        <v>137</v>
      </c>
      <c r="P210" s="82" t="s">
        <v>137</v>
      </c>
      <c r="Q210" s="74" t="s">
        <v>553</v>
      </c>
      <c r="R210" s="74" t="s">
        <v>710</v>
      </c>
      <c r="S210" s="74" t="s">
        <v>556</v>
      </c>
      <c r="T210" s="74" t="s">
        <v>320</v>
      </c>
      <c r="U210" s="75">
        <v>0.95</v>
      </c>
      <c r="V210" s="75">
        <v>0.95</v>
      </c>
      <c r="W210" s="75">
        <v>0.95</v>
      </c>
      <c r="X210" s="75">
        <v>0.95</v>
      </c>
      <c r="Y210" s="75">
        <v>0.95</v>
      </c>
      <c r="Z210" s="75">
        <v>0.95</v>
      </c>
      <c r="AA210" s="75">
        <v>0.95</v>
      </c>
      <c r="AB210" s="75">
        <v>0.95</v>
      </c>
      <c r="AC210" s="75">
        <v>0.95</v>
      </c>
      <c r="AD210" s="75">
        <v>0.95</v>
      </c>
      <c r="AE210" s="75">
        <v>0.95</v>
      </c>
      <c r="AF210" s="75">
        <v>0.95</v>
      </c>
      <c r="AG210" s="74" t="s">
        <v>534</v>
      </c>
      <c r="AH210" s="74" t="s">
        <v>530</v>
      </c>
      <c r="AI210" s="78" t="s">
        <v>539</v>
      </c>
      <c r="AJ210" s="79" t="s">
        <v>539</v>
      </c>
      <c r="AK210" s="80">
        <v>46023</v>
      </c>
      <c r="AL210" s="80">
        <v>46387</v>
      </c>
      <c r="AM210" s="79"/>
      <c r="AN210" s="79"/>
      <c r="AO210" s="79"/>
      <c r="AP210" s="81" t="s">
        <v>543</v>
      </c>
      <c r="AQ210" s="80" cm="1">
        <f t="array" ref="AQ210">IFERROR(DATE(2026, _xlfn.AGGREGATE(15, 6, (COLUMN(CI210:CT210)-COLUMN(CI210)+1)/(CI210:CT210&lt;&gt;0), 1), 1),"N/A")</f>
        <v>46054</v>
      </c>
      <c r="AR210" s="80" cm="1">
        <f t="array" ref="AR210">IFERROR(EOMONTH(DATE(2026, _xlfn.AGGREGATE(14, 6, (COLUMN(CI210:CT210)-COLUMN(CI210)+1)/(CI210:CT210&lt;&gt;0), 1), 1), 0),"N/A")</f>
        <v>46387</v>
      </c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85" t="s">
        <v>607</v>
      </c>
      <c r="BG210" s="74"/>
      <c r="BH210" s="74" t="s">
        <v>895</v>
      </c>
      <c r="BI210" s="74" t="s">
        <v>137</v>
      </c>
      <c r="BJ210" s="78">
        <v>670204</v>
      </c>
      <c r="BK210" s="82" t="s">
        <v>74</v>
      </c>
      <c r="BL210" s="83">
        <v>3000</v>
      </c>
      <c r="BM210" s="84" t="s">
        <v>549</v>
      </c>
      <c r="BN210" s="84">
        <v>272.72000000000003</v>
      </c>
      <c r="BO210" s="84">
        <v>272.72000000000003</v>
      </c>
      <c r="BP210" s="72">
        <v>272.72000000000003</v>
      </c>
      <c r="BQ210" s="84">
        <v>272.73</v>
      </c>
      <c r="BR210" s="84">
        <v>272.73</v>
      </c>
      <c r="BS210" s="84">
        <v>272.73</v>
      </c>
      <c r="BT210" s="84">
        <v>272.73</v>
      </c>
      <c r="BU210" s="84">
        <v>272.73</v>
      </c>
      <c r="BV210" s="84">
        <v>272.73</v>
      </c>
      <c r="BW210" s="84">
        <v>272.73</v>
      </c>
      <c r="BX210" s="84">
        <v>272.73</v>
      </c>
      <c r="BY210" s="84"/>
      <c r="BZ210" s="84"/>
      <c r="CA210" s="84"/>
      <c r="CB210" s="84"/>
      <c r="CC210" s="84"/>
      <c r="CD210" s="84"/>
      <c r="CE210" s="84"/>
      <c r="CF210" s="84"/>
      <c r="CG210" s="84"/>
      <c r="CH210" s="73">
        <f t="shared" si="6"/>
        <v>3000</v>
      </c>
      <c r="CI210" s="102"/>
      <c r="CJ210" s="102">
        <v>272.72000000000003</v>
      </c>
      <c r="CK210" s="102">
        <v>272.72000000000003</v>
      </c>
      <c r="CL210" s="73">
        <v>272.72000000000003</v>
      </c>
      <c r="CM210" s="84">
        <v>272.73</v>
      </c>
      <c r="CN210" s="84">
        <v>272.73</v>
      </c>
      <c r="CO210" s="84">
        <v>272.73</v>
      </c>
      <c r="CP210" s="84">
        <v>272.73</v>
      </c>
      <c r="CQ210" s="84">
        <v>272.73</v>
      </c>
      <c r="CR210" s="84">
        <v>272.73</v>
      </c>
      <c r="CS210" s="84">
        <v>272.73</v>
      </c>
      <c r="CT210" s="84">
        <v>272.73</v>
      </c>
      <c r="CU210" s="84"/>
      <c r="CV210" s="84">
        <f t="shared" si="7"/>
        <v>0</v>
      </c>
      <c r="CW210" s="84"/>
      <c r="CX210" s="74" t="s">
        <v>1235</v>
      </c>
      <c r="CY210" s="74"/>
      <c r="CZ210" s="74"/>
      <c r="DA210" s="74" t="s">
        <v>1235</v>
      </c>
      <c r="DB210" s="74"/>
      <c r="DC210" s="74"/>
      <c r="DD210" s="74"/>
    </row>
    <row r="211" spans="1:108" s="68" customFormat="1" ht="30" hidden="1" x14ac:dyDescent="0.25">
      <c r="A211" s="161" t="s">
        <v>693</v>
      </c>
      <c r="B211" s="74" t="s">
        <v>154</v>
      </c>
      <c r="C211" s="74" t="s">
        <v>172</v>
      </c>
      <c r="D211" s="85" t="s">
        <v>196</v>
      </c>
      <c r="E211" s="74" t="s">
        <v>309</v>
      </c>
      <c r="F211" s="74" t="s">
        <v>550</v>
      </c>
      <c r="G211" s="74" t="s">
        <v>137</v>
      </c>
      <c r="H211" s="74" t="s">
        <v>137</v>
      </c>
      <c r="I211" s="74" t="s">
        <v>66</v>
      </c>
      <c r="J211" s="74" t="s">
        <v>532</v>
      </c>
      <c r="K211" s="82" t="s">
        <v>137</v>
      </c>
      <c r="L211" s="82" t="s">
        <v>137</v>
      </c>
      <c r="M211" s="82" t="s">
        <v>137</v>
      </c>
      <c r="N211" s="82" t="s">
        <v>137</v>
      </c>
      <c r="O211" s="82" t="s">
        <v>137</v>
      </c>
      <c r="P211" s="82" t="s">
        <v>137</v>
      </c>
      <c r="Q211" s="74" t="s">
        <v>553</v>
      </c>
      <c r="R211" s="74" t="s">
        <v>710</v>
      </c>
      <c r="S211" s="74" t="s">
        <v>556</v>
      </c>
      <c r="T211" s="74" t="s">
        <v>320</v>
      </c>
      <c r="U211" s="75">
        <v>0.95</v>
      </c>
      <c r="V211" s="75">
        <v>0.95</v>
      </c>
      <c r="W211" s="75">
        <v>0.95</v>
      </c>
      <c r="X211" s="75">
        <v>0.95</v>
      </c>
      <c r="Y211" s="75">
        <v>0.95</v>
      </c>
      <c r="Z211" s="75">
        <v>0.95</v>
      </c>
      <c r="AA211" s="75">
        <v>0.95</v>
      </c>
      <c r="AB211" s="75">
        <v>0.95</v>
      </c>
      <c r="AC211" s="75">
        <v>0.95</v>
      </c>
      <c r="AD211" s="75">
        <v>0.95</v>
      </c>
      <c r="AE211" s="75">
        <v>0.95</v>
      </c>
      <c r="AF211" s="75">
        <v>0.95</v>
      </c>
      <c r="AG211" s="74" t="s">
        <v>534</v>
      </c>
      <c r="AH211" s="74" t="s">
        <v>530</v>
      </c>
      <c r="AI211" s="78" t="s">
        <v>539</v>
      </c>
      <c r="AJ211" s="79" t="s">
        <v>539</v>
      </c>
      <c r="AK211" s="80">
        <v>46023</v>
      </c>
      <c r="AL211" s="80">
        <v>46387</v>
      </c>
      <c r="AM211" s="79"/>
      <c r="AN211" s="79"/>
      <c r="AO211" s="79"/>
      <c r="AP211" s="81" t="s">
        <v>543</v>
      </c>
      <c r="AQ211" s="80" cm="1">
        <f t="array" ref="AQ211">IFERROR(DATE(2026, _xlfn.AGGREGATE(15, 6, (COLUMN(CI211:CT211)-COLUMN(CI211)+1)/(CI211:CT211&lt;&gt;0), 1), 1),"N/A")</f>
        <v>46174</v>
      </c>
      <c r="AR211" s="80" cm="1">
        <f t="array" ref="AR211">IFERROR(EOMONTH(DATE(2026, _xlfn.AGGREGATE(14, 6, (COLUMN(CI211:CT211)-COLUMN(CI211)+1)/(CI211:CT211&lt;&gt;0), 1), 1), 0),"N/A")</f>
        <v>46203</v>
      </c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4" t="s">
        <v>995</v>
      </c>
      <c r="BG211" s="74"/>
      <c r="BH211" s="74" t="s">
        <v>996</v>
      </c>
      <c r="BI211" s="74" t="s">
        <v>1012</v>
      </c>
      <c r="BJ211" s="78">
        <v>530207</v>
      </c>
      <c r="BK211" s="82" t="s">
        <v>74</v>
      </c>
      <c r="BL211" s="83">
        <v>0</v>
      </c>
      <c r="BM211" s="73"/>
      <c r="BN211" s="73"/>
      <c r="BO211" s="73"/>
      <c r="BP211" s="73"/>
      <c r="BQ211" s="73"/>
      <c r="BR211" s="84"/>
      <c r="BS211" s="73"/>
      <c r="BT211" s="73"/>
      <c r="BU211" s="73"/>
      <c r="BV211" s="73"/>
      <c r="BW211" s="73"/>
      <c r="BX211" s="73"/>
      <c r="BY211" s="73">
        <v>50000</v>
      </c>
      <c r="BZ211" s="73">
        <v>-18000</v>
      </c>
      <c r="CA211" s="73"/>
      <c r="CB211" s="73"/>
      <c r="CC211" s="73"/>
      <c r="CD211" s="73"/>
      <c r="CE211" s="73"/>
      <c r="CF211" s="73"/>
      <c r="CG211" s="73"/>
      <c r="CH211" s="73">
        <f t="shared" si="6"/>
        <v>32000</v>
      </c>
      <c r="CI211" s="73"/>
      <c r="CJ211" s="73"/>
      <c r="CK211" s="72"/>
      <c r="CL211" s="73"/>
      <c r="CM211" s="73"/>
      <c r="CN211" s="84">
        <v>32000</v>
      </c>
      <c r="CO211" s="73"/>
      <c r="CP211" s="73"/>
      <c r="CQ211" s="73"/>
      <c r="CR211" s="73"/>
      <c r="CS211" s="73"/>
      <c r="CT211" s="73"/>
      <c r="CU211" s="73"/>
      <c r="CV211" s="84">
        <f t="shared" si="7"/>
        <v>0</v>
      </c>
      <c r="CW211" s="84" t="s">
        <v>1236</v>
      </c>
      <c r="CX211" s="74"/>
      <c r="CY211" s="74"/>
      <c r="CZ211" s="74"/>
      <c r="DA211" s="74"/>
      <c r="DB211" s="74"/>
      <c r="DC211" s="74"/>
      <c r="DD211" s="74"/>
    </row>
    <row r="212" spans="1:108" s="68" customFormat="1" ht="30" hidden="1" x14ac:dyDescent="0.25">
      <c r="A212" s="161" t="s">
        <v>693</v>
      </c>
      <c r="B212" s="74" t="s">
        <v>154</v>
      </c>
      <c r="C212" s="74" t="s">
        <v>172</v>
      </c>
      <c r="D212" s="85" t="s">
        <v>196</v>
      </c>
      <c r="E212" s="74" t="s">
        <v>309</v>
      </c>
      <c r="F212" s="74" t="s">
        <v>550</v>
      </c>
      <c r="G212" s="74" t="s">
        <v>137</v>
      </c>
      <c r="H212" s="74" t="s">
        <v>137</v>
      </c>
      <c r="I212" s="74" t="s">
        <v>66</v>
      </c>
      <c r="J212" s="74" t="s">
        <v>532</v>
      </c>
      <c r="K212" s="82" t="s">
        <v>137</v>
      </c>
      <c r="L212" s="82" t="s">
        <v>137</v>
      </c>
      <c r="M212" s="82" t="s">
        <v>137</v>
      </c>
      <c r="N212" s="82" t="s">
        <v>137</v>
      </c>
      <c r="O212" s="82" t="s">
        <v>137</v>
      </c>
      <c r="P212" s="82" t="s">
        <v>137</v>
      </c>
      <c r="Q212" s="74" t="s">
        <v>553</v>
      </c>
      <c r="R212" s="74" t="s">
        <v>710</v>
      </c>
      <c r="S212" s="74" t="s">
        <v>556</v>
      </c>
      <c r="T212" s="74" t="s">
        <v>320</v>
      </c>
      <c r="U212" s="75">
        <v>0.95</v>
      </c>
      <c r="V212" s="75">
        <v>0.95</v>
      </c>
      <c r="W212" s="75">
        <v>0.95</v>
      </c>
      <c r="X212" s="75">
        <v>0.95</v>
      </c>
      <c r="Y212" s="75">
        <v>0.95</v>
      </c>
      <c r="Z212" s="75">
        <v>0.95</v>
      </c>
      <c r="AA212" s="75">
        <v>0.95</v>
      </c>
      <c r="AB212" s="75">
        <v>0.95</v>
      </c>
      <c r="AC212" s="75">
        <v>0.95</v>
      </c>
      <c r="AD212" s="75">
        <v>0.95</v>
      </c>
      <c r="AE212" s="75">
        <v>0.95</v>
      </c>
      <c r="AF212" s="75">
        <v>0.95</v>
      </c>
      <c r="AG212" s="74" t="s">
        <v>534</v>
      </c>
      <c r="AH212" s="74" t="s">
        <v>530</v>
      </c>
      <c r="AI212" s="78" t="s">
        <v>539</v>
      </c>
      <c r="AJ212" s="79" t="s">
        <v>539</v>
      </c>
      <c r="AK212" s="80">
        <v>46023</v>
      </c>
      <c r="AL212" s="80">
        <v>46387</v>
      </c>
      <c r="AM212" s="79"/>
      <c r="AN212" s="79"/>
      <c r="AO212" s="79"/>
      <c r="AP212" s="81" t="s">
        <v>543</v>
      </c>
      <c r="AQ212" s="80" cm="1">
        <f t="array" ref="AQ212">IFERROR(DATE(2026, _xlfn.AGGREGATE(15, 6, (COLUMN(CI212:CT212)-COLUMN(CI212)+1)/(CI212:CT212&lt;&gt;0), 1), 1),"N/A")</f>
        <v>46174</v>
      </c>
      <c r="AR212" s="80" cm="1">
        <f t="array" ref="AR212">IFERROR(EOMONTH(DATE(2026, _xlfn.AGGREGATE(14, 6, (COLUMN(CI212:CT212)-COLUMN(CI212)+1)/(CI212:CT212&lt;&gt;0), 1), 1), 0),"N/A")</f>
        <v>46203</v>
      </c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4" t="s">
        <v>1002</v>
      </c>
      <c r="BG212" s="74"/>
      <c r="BH212" s="74" t="s">
        <v>1031</v>
      </c>
      <c r="BI212" s="74" t="s">
        <v>1012</v>
      </c>
      <c r="BJ212" s="78">
        <v>630207</v>
      </c>
      <c r="BK212" s="82" t="s">
        <v>74</v>
      </c>
      <c r="BL212" s="86">
        <v>0</v>
      </c>
      <c r="BM212" s="73"/>
      <c r="BN212" s="84"/>
      <c r="BO212" s="84"/>
      <c r="BP212" s="72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>
        <v>10000</v>
      </c>
      <c r="CA212" s="84"/>
      <c r="CB212" s="84"/>
      <c r="CC212" s="84"/>
      <c r="CD212" s="84"/>
      <c r="CE212" s="84"/>
      <c r="CF212" s="84"/>
      <c r="CG212" s="84"/>
      <c r="CH212" s="73">
        <f t="shared" si="6"/>
        <v>10000</v>
      </c>
      <c r="CI212" s="73"/>
      <c r="CJ212" s="84"/>
      <c r="CK212" s="84"/>
      <c r="CL212" s="72"/>
      <c r="CM212" s="84"/>
      <c r="CN212" s="84">
        <v>10000</v>
      </c>
      <c r="CO212" s="84"/>
      <c r="CP212" s="84"/>
      <c r="CQ212" s="84"/>
      <c r="CR212" s="84"/>
      <c r="CS212" s="84"/>
      <c r="CT212" s="84"/>
      <c r="CU212" s="84"/>
      <c r="CV212" s="84">
        <f t="shared" si="7"/>
        <v>0</v>
      </c>
      <c r="CW212" s="84" t="s">
        <v>1237</v>
      </c>
      <c r="CX212" s="74"/>
      <c r="CY212" s="74"/>
      <c r="CZ212" s="74"/>
      <c r="DA212" s="74"/>
      <c r="DB212" s="74"/>
      <c r="DC212" s="74"/>
      <c r="DD212" s="74"/>
    </row>
    <row r="213" spans="1:108" s="68" customFormat="1" ht="30" hidden="1" x14ac:dyDescent="0.25">
      <c r="A213" s="161" t="s">
        <v>693</v>
      </c>
      <c r="B213" s="74" t="s">
        <v>154</v>
      </c>
      <c r="C213" s="74" t="s">
        <v>172</v>
      </c>
      <c r="D213" s="85" t="s">
        <v>196</v>
      </c>
      <c r="E213" s="74" t="s">
        <v>309</v>
      </c>
      <c r="F213" s="74" t="s">
        <v>550</v>
      </c>
      <c r="G213" s="74" t="s">
        <v>137</v>
      </c>
      <c r="H213" s="74" t="s">
        <v>137</v>
      </c>
      <c r="I213" s="74" t="s">
        <v>66</v>
      </c>
      <c r="J213" s="74" t="s">
        <v>532</v>
      </c>
      <c r="K213" s="82" t="s">
        <v>137</v>
      </c>
      <c r="L213" s="82" t="s">
        <v>137</v>
      </c>
      <c r="M213" s="82" t="s">
        <v>137</v>
      </c>
      <c r="N213" s="82" t="s">
        <v>137</v>
      </c>
      <c r="O213" s="82" t="s">
        <v>137</v>
      </c>
      <c r="P213" s="82" t="s">
        <v>137</v>
      </c>
      <c r="Q213" s="74" t="s">
        <v>553</v>
      </c>
      <c r="R213" s="74" t="s">
        <v>710</v>
      </c>
      <c r="S213" s="74" t="s">
        <v>556</v>
      </c>
      <c r="T213" s="74" t="s">
        <v>320</v>
      </c>
      <c r="U213" s="75">
        <v>0.95</v>
      </c>
      <c r="V213" s="75">
        <v>0.95</v>
      </c>
      <c r="W213" s="75">
        <v>0.95</v>
      </c>
      <c r="X213" s="75">
        <v>0.95</v>
      </c>
      <c r="Y213" s="75">
        <v>0.95</v>
      </c>
      <c r="Z213" s="75">
        <v>0.95</v>
      </c>
      <c r="AA213" s="75">
        <v>0.95</v>
      </c>
      <c r="AB213" s="75">
        <v>0.95</v>
      </c>
      <c r="AC213" s="75">
        <v>0.95</v>
      </c>
      <c r="AD213" s="75">
        <v>0.95</v>
      </c>
      <c r="AE213" s="75">
        <v>0.95</v>
      </c>
      <c r="AF213" s="75">
        <v>0.95</v>
      </c>
      <c r="AG213" s="74" t="s">
        <v>534</v>
      </c>
      <c r="AH213" s="74" t="s">
        <v>530</v>
      </c>
      <c r="AI213" s="78" t="s">
        <v>539</v>
      </c>
      <c r="AJ213" s="79" t="s">
        <v>539</v>
      </c>
      <c r="AK213" s="80">
        <v>46023</v>
      </c>
      <c r="AL213" s="80">
        <v>46387</v>
      </c>
      <c r="AM213" s="79"/>
      <c r="AN213" s="79"/>
      <c r="AO213" s="79"/>
      <c r="AP213" s="81" t="s">
        <v>543</v>
      </c>
      <c r="AQ213" s="80" cm="1">
        <f t="array" ref="AQ213">IFERROR(DATE(2026, _xlfn.AGGREGATE(15, 6, (COLUMN(CI213:CT213)-COLUMN(CI213)+1)/(CI213:CT213&lt;&gt;0), 1), 1),"N/A")</f>
        <v>46357</v>
      </c>
      <c r="AR213" s="80" cm="1">
        <f t="array" ref="AR213">IFERROR(EOMONTH(DATE(2026, _xlfn.AGGREGATE(14, 6, (COLUMN(CI213:CT213)-COLUMN(CI213)+1)/(CI213:CT213&lt;&gt;0), 1), 1), 0),"N/A")</f>
        <v>46387</v>
      </c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4" t="s">
        <v>1132</v>
      </c>
      <c r="BG213" s="74"/>
      <c r="BH213" s="74" t="s">
        <v>1135</v>
      </c>
      <c r="BI213" s="74" t="s">
        <v>1012</v>
      </c>
      <c r="BJ213" s="78">
        <v>630207</v>
      </c>
      <c r="BK213" s="82" t="s">
        <v>74</v>
      </c>
      <c r="BL213" s="86"/>
      <c r="BM213" s="73"/>
      <c r="BN213" s="84"/>
      <c r="BO213" s="84"/>
      <c r="BP213" s="72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>
        <v>100000</v>
      </c>
      <c r="CD213" s="84"/>
      <c r="CE213" s="84"/>
      <c r="CF213" s="84"/>
      <c r="CG213" s="84"/>
      <c r="CH213" s="73">
        <f t="shared" si="6"/>
        <v>100000</v>
      </c>
      <c r="CI213" s="73"/>
      <c r="CJ213" s="84"/>
      <c r="CK213" s="84"/>
      <c r="CL213" s="72"/>
      <c r="CM213" s="84"/>
      <c r="CN213" s="84"/>
      <c r="CO213" s="84"/>
      <c r="CP213" s="84"/>
      <c r="CQ213" s="84"/>
      <c r="CR213" s="84"/>
      <c r="CS213" s="84"/>
      <c r="CT213" s="84">
        <v>100000</v>
      </c>
      <c r="CU213" s="84"/>
      <c r="CV213" s="84">
        <f t="shared" si="7"/>
        <v>0</v>
      </c>
      <c r="CW213" s="84"/>
      <c r="CX213" s="74"/>
      <c r="CY213" s="74"/>
      <c r="CZ213" s="74" t="s">
        <v>1292</v>
      </c>
      <c r="DA213" s="74"/>
      <c r="DB213" s="74"/>
      <c r="DC213" s="74"/>
      <c r="DD213" s="74"/>
    </row>
    <row r="214" spans="1:108" s="129" customFormat="1" ht="30" hidden="1" x14ac:dyDescent="0.25">
      <c r="A214" s="127" t="s">
        <v>693</v>
      </c>
      <c r="B214" s="74" t="s">
        <v>154</v>
      </c>
      <c r="C214" s="74" t="s">
        <v>172</v>
      </c>
      <c r="D214" s="85" t="s">
        <v>196</v>
      </c>
      <c r="E214" s="127" t="s">
        <v>309</v>
      </c>
      <c r="F214" s="74" t="s">
        <v>550</v>
      </c>
      <c r="G214" s="74" t="s">
        <v>137</v>
      </c>
      <c r="H214" s="74" t="s">
        <v>137</v>
      </c>
      <c r="I214" s="74" t="s">
        <v>66</v>
      </c>
      <c r="J214" s="74" t="s">
        <v>532</v>
      </c>
      <c r="K214" s="82" t="s">
        <v>137</v>
      </c>
      <c r="L214" s="82" t="s">
        <v>137</v>
      </c>
      <c r="M214" s="82" t="s">
        <v>137</v>
      </c>
      <c r="N214" s="82" t="s">
        <v>137</v>
      </c>
      <c r="O214" s="82" t="s">
        <v>137</v>
      </c>
      <c r="P214" s="82" t="s">
        <v>137</v>
      </c>
      <c r="Q214" s="74" t="s">
        <v>553</v>
      </c>
      <c r="R214" s="74" t="s">
        <v>710</v>
      </c>
      <c r="S214" s="74" t="s">
        <v>556</v>
      </c>
      <c r="T214" s="74" t="s">
        <v>320</v>
      </c>
      <c r="U214" s="75">
        <v>0.95</v>
      </c>
      <c r="V214" s="75">
        <v>0.95</v>
      </c>
      <c r="W214" s="75">
        <v>0.95</v>
      </c>
      <c r="X214" s="75">
        <v>0.95</v>
      </c>
      <c r="Y214" s="75">
        <v>0.95</v>
      </c>
      <c r="Z214" s="75">
        <v>0.95</v>
      </c>
      <c r="AA214" s="75">
        <v>0.95</v>
      </c>
      <c r="AB214" s="75">
        <v>0.95</v>
      </c>
      <c r="AC214" s="75">
        <v>0.95</v>
      </c>
      <c r="AD214" s="75">
        <v>0.95</v>
      </c>
      <c r="AE214" s="75">
        <v>0.95</v>
      </c>
      <c r="AF214" s="75">
        <v>0.95</v>
      </c>
      <c r="AG214" s="74" t="s">
        <v>534</v>
      </c>
      <c r="AH214" s="74" t="s">
        <v>530</v>
      </c>
      <c r="AI214" s="78" t="s">
        <v>539</v>
      </c>
      <c r="AJ214" s="79" t="s">
        <v>539</v>
      </c>
      <c r="AK214" s="80">
        <v>46023</v>
      </c>
      <c r="AL214" s="80">
        <v>46387</v>
      </c>
      <c r="AM214" s="79"/>
      <c r="AN214" s="79"/>
      <c r="AO214" s="79"/>
      <c r="AP214" s="81" t="s">
        <v>543</v>
      </c>
      <c r="AQ214" s="80" cm="1">
        <f t="array" ref="AQ214">IFERROR(DATE(2026, _xlfn.AGGREGATE(15, 6, (COLUMN(CI214:CT214)-COLUMN(CI214)+1)/(CI214:CT214&lt;&gt;0), 1), 1),"N/A")</f>
        <v>46296</v>
      </c>
      <c r="AR214" s="80" cm="1">
        <f t="array" ref="AR214">IFERROR(EOMONTH(DATE(2026, _xlfn.AGGREGATE(14, 6, (COLUMN(CI214:CT214)-COLUMN(CI214)+1)/(CI214:CT214&lt;&gt;0), 1), 1), 0),"N/A")</f>
        <v>46326</v>
      </c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127" t="s">
        <v>1134</v>
      </c>
      <c r="BG214" s="74"/>
      <c r="BH214" s="74" t="s">
        <v>1136</v>
      </c>
      <c r="BI214" s="74" t="s">
        <v>1012</v>
      </c>
      <c r="BJ214" s="78">
        <v>630207</v>
      </c>
      <c r="BK214" s="82" t="s">
        <v>74</v>
      </c>
      <c r="BL214" s="86"/>
      <c r="BM214" s="73"/>
      <c r="BN214" s="84"/>
      <c r="BO214" s="84"/>
      <c r="BP214" s="72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>
        <v>100000</v>
      </c>
      <c r="CD214" s="84"/>
      <c r="CE214" s="84"/>
      <c r="CF214" s="84"/>
      <c r="CG214" s="118"/>
      <c r="CH214" s="119">
        <f t="shared" si="6"/>
        <v>100000</v>
      </c>
      <c r="CI214" s="119"/>
      <c r="CJ214" s="118"/>
      <c r="CK214" s="118"/>
      <c r="CL214" s="128"/>
      <c r="CM214" s="118"/>
      <c r="CN214" s="118"/>
      <c r="CO214" s="118"/>
      <c r="CP214" s="118"/>
      <c r="CQ214" s="118"/>
      <c r="CR214" s="118">
        <v>100000</v>
      </c>
      <c r="CS214" s="118"/>
      <c r="CT214" s="118"/>
      <c r="CU214" s="84"/>
      <c r="CV214" s="84">
        <f t="shared" si="7"/>
        <v>0</v>
      </c>
      <c r="CW214" s="84"/>
      <c r="CX214" s="127"/>
      <c r="CY214" s="127"/>
      <c r="CZ214" s="127"/>
      <c r="DA214" s="127"/>
      <c r="DB214" s="138" t="s">
        <v>1293</v>
      </c>
      <c r="DC214" s="127"/>
      <c r="DD214" s="127"/>
    </row>
    <row r="215" spans="1:108" s="129" customFormat="1" ht="30" hidden="1" x14ac:dyDescent="0.25">
      <c r="A215" s="127" t="s">
        <v>693</v>
      </c>
      <c r="B215" s="74" t="s">
        <v>154</v>
      </c>
      <c r="C215" s="74" t="s">
        <v>172</v>
      </c>
      <c r="D215" s="85" t="s">
        <v>196</v>
      </c>
      <c r="E215" s="127" t="s">
        <v>309</v>
      </c>
      <c r="F215" s="74" t="s">
        <v>550</v>
      </c>
      <c r="G215" s="74" t="s">
        <v>137</v>
      </c>
      <c r="H215" s="74" t="s">
        <v>137</v>
      </c>
      <c r="I215" s="74" t="s">
        <v>66</v>
      </c>
      <c r="J215" s="74" t="s">
        <v>532</v>
      </c>
      <c r="K215" s="82" t="s">
        <v>137</v>
      </c>
      <c r="L215" s="82" t="s">
        <v>137</v>
      </c>
      <c r="M215" s="82" t="s">
        <v>137</v>
      </c>
      <c r="N215" s="82" t="s">
        <v>137</v>
      </c>
      <c r="O215" s="82" t="s">
        <v>137</v>
      </c>
      <c r="P215" s="82" t="s">
        <v>137</v>
      </c>
      <c r="Q215" s="74" t="s">
        <v>553</v>
      </c>
      <c r="R215" s="74" t="s">
        <v>710</v>
      </c>
      <c r="S215" s="74" t="s">
        <v>556</v>
      </c>
      <c r="T215" s="74" t="s">
        <v>320</v>
      </c>
      <c r="U215" s="75">
        <v>0.95</v>
      </c>
      <c r="V215" s="75">
        <v>0.95</v>
      </c>
      <c r="W215" s="75">
        <v>0.95</v>
      </c>
      <c r="X215" s="75">
        <v>0.95</v>
      </c>
      <c r="Y215" s="75">
        <v>0.95</v>
      </c>
      <c r="Z215" s="75">
        <v>0.95</v>
      </c>
      <c r="AA215" s="75">
        <v>0.95</v>
      </c>
      <c r="AB215" s="75">
        <v>0.95</v>
      </c>
      <c r="AC215" s="75">
        <v>0.95</v>
      </c>
      <c r="AD215" s="75">
        <v>0.95</v>
      </c>
      <c r="AE215" s="75">
        <v>0.95</v>
      </c>
      <c r="AF215" s="75">
        <v>0.95</v>
      </c>
      <c r="AG215" s="74" t="s">
        <v>534</v>
      </c>
      <c r="AH215" s="74" t="s">
        <v>530</v>
      </c>
      <c r="AI215" s="78" t="s">
        <v>539</v>
      </c>
      <c r="AJ215" s="79" t="s">
        <v>539</v>
      </c>
      <c r="AK215" s="80">
        <v>46023</v>
      </c>
      <c r="AL215" s="80">
        <v>46387</v>
      </c>
      <c r="AM215" s="79"/>
      <c r="AN215" s="79"/>
      <c r="AO215" s="79"/>
      <c r="AP215" s="81" t="s">
        <v>543</v>
      </c>
      <c r="AQ215" s="80" cm="1">
        <f t="array" ref="AQ215">IFERROR(DATE(2026, _xlfn.AGGREGATE(15, 6, (COLUMN(CI215:CT215)-COLUMN(CI215)+1)/(CI215:CT215&lt;&gt;0), 1), 1),"N/A")</f>
        <v>46235</v>
      </c>
      <c r="AR215" s="80" cm="1">
        <f t="array" ref="AR215">IFERROR(EOMONTH(DATE(2026, _xlfn.AGGREGATE(14, 6, (COLUMN(CI215:CT215)-COLUMN(CI215)+1)/(CI215:CT215&lt;&gt;0), 1), 1), 0),"N/A")</f>
        <v>46265</v>
      </c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127" t="s">
        <v>1133</v>
      </c>
      <c r="BG215" s="74"/>
      <c r="BH215" s="74" t="s">
        <v>1137</v>
      </c>
      <c r="BI215" s="74" t="s">
        <v>1012</v>
      </c>
      <c r="BJ215" s="78">
        <v>630207</v>
      </c>
      <c r="BK215" s="82" t="s">
        <v>74</v>
      </c>
      <c r="BL215" s="86"/>
      <c r="BM215" s="73"/>
      <c r="BN215" s="84"/>
      <c r="BO215" s="84"/>
      <c r="BP215" s="72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>
        <v>50000</v>
      </c>
      <c r="CD215" s="84"/>
      <c r="CE215" s="84"/>
      <c r="CF215" s="84"/>
      <c r="CG215" s="118"/>
      <c r="CH215" s="119">
        <f t="shared" si="6"/>
        <v>50000</v>
      </c>
      <c r="CI215" s="119"/>
      <c r="CJ215" s="118"/>
      <c r="CK215" s="118"/>
      <c r="CL215" s="128"/>
      <c r="CM215" s="118"/>
      <c r="CN215" s="118"/>
      <c r="CO215" s="118"/>
      <c r="CP215" s="118">
        <v>50000</v>
      </c>
      <c r="CQ215" s="118"/>
      <c r="CR215" s="118"/>
      <c r="CS215" s="118"/>
      <c r="CT215" s="118"/>
      <c r="CU215" s="84"/>
      <c r="CV215" s="84">
        <f t="shared" si="7"/>
        <v>0</v>
      </c>
      <c r="CW215" s="84"/>
      <c r="CX215" s="127"/>
      <c r="CY215" s="127"/>
      <c r="CZ215" s="127" t="s">
        <v>1294</v>
      </c>
      <c r="DA215" s="127"/>
      <c r="DB215" s="127"/>
      <c r="DC215" s="127"/>
      <c r="DD215" s="127"/>
    </row>
    <row r="216" spans="1:108" s="68" customFormat="1" ht="30" hidden="1" x14ac:dyDescent="0.25">
      <c r="A216" s="161" t="s">
        <v>693</v>
      </c>
      <c r="B216" s="74" t="s">
        <v>154</v>
      </c>
      <c r="C216" s="74" t="s">
        <v>172</v>
      </c>
      <c r="D216" s="85" t="s">
        <v>196</v>
      </c>
      <c r="E216" s="174" t="s">
        <v>309</v>
      </c>
      <c r="F216" s="74" t="s">
        <v>550</v>
      </c>
      <c r="G216" s="74" t="s">
        <v>137</v>
      </c>
      <c r="H216" s="74" t="s">
        <v>137</v>
      </c>
      <c r="I216" s="74" t="s">
        <v>66</v>
      </c>
      <c r="J216" s="74" t="s">
        <v>532</v>
      </c>
      <c r="K216" s="82" t="s">
        <v>137</v>
      </c>
      <c r="L216" s="82" t="s">
        <v>137</v>
      </c>
      <c r="M216" s="82" t="s">
        <v>137</v>
      </c>
      <c r="N216" s="82" t="s">
        <v>137</v>
      </c>
      <c r="O216" s="82" t="s">
        <v>137</v>
      </c>
      <c r="P216" s="82" t="s">
        <v>137</v>
      </c>
      <c r="Q216" s="74" t="s">
        <v>553</v>
      </c>
      <c r="R216" s="74" t="s">
        <v>710</v>
      </c>
      <c r="S216" s="74" t="s">
        <v>556</v>
      </c>
      <c r="T216" s="74" t="s">
        <v>320</v>
      </c>
      <c r="U216" s="75">
        <v>0.95</v>
      </c>
      <c r="V216" s="75">
        <v>0.95</v>
      </c>
      <c r="W216" s="75">
        <v>0.95</v>
      </c>
      <c r="X216" s="75">
        <v>0.95</v>
      </c>
      <c r="Y216" s="75">
        <v>0.95</v>
      </c>
      <c r="Z216" s="75">
        <v>0.95</v>
      </c>
      <c r="AA216" s="75">
        <v>0.95</v>
      </c>
      <c r="AB216" s="75">
        <v>0.95</v>
      </c>
      <c r="AC216" s="75">
        <v>0.95</v>
      </c>
      <c r="AD216" s="75">
        <v>0.95</v>
      </c>
      <c r="AE216" s="75">
        <v>0.95</v>
      </c>
      <c r="AF216" s="75">
        <v>0.95</v>
      </c>
      <c r="AG216" s="74" t="s">
        <v>534</v>
      </c>
      <c r="AH216" s="74" t="s">
        <v>530</v>
      </c>
      <c r="AI216" s="78" t="s">
        <v>539</v>
      </c>
      <c r="AJ216" s="79" t="s">
        <v>539</v>
      </c>
      <c r="AK216" s="80">
        <v>46023</v>
      </c>
      <c r="AL216" s="80">
        <v>46387</v>
      </c>
      <c r="AM216" s="79"/>
      <c r="AN216" s="79"/>
      <c r="AO216" s="79"/>
      <c r="AP216" s="81" t="s">
        <v>543</v>
      </c>
      <c r="AQ216" s="80" cm="1">
        <f t="array" ref="AQ216">IFERROR(DATE(2026, _xlfn.AGGREGATE(15, 6, (COLUMN(CI216:CT216)-COLUMN(CI216)+1)/(CI216:CT216&lt;&gt;0), 1), 1),"N/A")</f>
        <v>46296</v>
      </c>
      <c r="AR216" s="80" cm="1">
        <f t="array" ref="AR216">IFERROR(EOMONTH(DATE(2026, _xlfn.AGGREGATE(14, 6, (COLUMN(CI216:CT216)-COLUMN(CI216)+1)/(CI216:CT216&lt;&gt;0), 1), 1), 0),"N/A")</f>
        <v>46326</v>
      </c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174" t="s">
        <v>1222</v>
      </c>
      <c r="BG216" s="74"/>
      <c r="BH216" s="74" t="s">
        <v>1223</v>
      </c>
      <c r="BI216" s="74" t="s">
        <v>1012</v>
      </c>
      <c r="BJ216" s="78">
        <v>630207</v>
      </c>
      <c r="BK216" s="82" t="s">
        <v>74</v>
      </c>
      <c r="BL216" s="86"/>
      <c r="BM216" s="73"/>
      <c r="BN216" s="84"/>
      <c r="BO216" s="84"/>
      <c r="BP216" s="72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>
        <v>115500</v>
      </c>
      <c r="CH216" s="175">
        <f t="shared" si="6"/>
        <v>115500</v>
      </c>
      <c r="CI216" s="73"/>
      <c r="CJ216" s="84"/>
      <c r="CK216" s="84"/>
      <c r="CL216" s="72"/>
      <c r="CM216" s="84"/>
      <c r="CN216" s="84"/>
      <c r="CO216" s="84"/>
      <c r="CP216" s="84"/>
      <c r="CQ216" s="84"/>
      <c r="CR216" s="84">
        <v>115500</v>
      </c>
      <c r="CS216" s="84"/>
      <c r="CT216" s="84"/>
      <c r="CU216" s="84"/>
      <c r="CV216" s="84">
        <f t="shared" si="7"/>
        <v>0</v>
      </c>
      <c r="CW216" s="84"/>
      <c r="CX216" s="74"/>
      <c r="CY216" s="74"/>
      <c r="CZ216" s="74" t="s">
        <v>1305</v>
      </c>
      <c r="DA216" s="74"/>
      <c r="DB216" s="85"/>
      <c r="DC216" s="74"/>
      <c r="DD216" s="74"/>
    </row>
    <row r="217" spans="1:108" s="68" customFormat="1" ht="30" hidden="1" x14ac:dyDescent="0.25">
      <c r="A217" s="161" t="s">
        <v>693</v>
      </c>
      <c r="B217" s="74" t="s">
        <v>154</v>
      </c>
      <c r="C217" s="74" t="s">
        <v>172</v>
      </c>
      <c r="D217" s="85" t="s">
        <v>196</v>
      </c>
      <c r="E217" s="74" t="s">
        <v>309</v>
      </c>
      <c r="F217" s="74" t="s">
        <v>550</v>
      </c>
      <c r="G217" s="74" t="s">
        <v>137</v>
      </c>
      <c r="H217" s="74" t="s">
        <v>137</v>
      </c>
      <c r="I217" s="74" t="s">
        <v>66</v>
      </c>
      <c r="J217" s="74" t="s">
        <v>532</v>
      </c>
      <c r="K217" s="82" t="s">
        <v>137</v>
      </c>
      <c r="L217" s="82" t="s">
        <v>137</v>
      </c>
      <c r="M217" s="82" t="s">
        <v>137</v>
      </c>
      <c r="N217" s="82" t="s">
        <v>137</v>
      </c>
      <c r="O217" s="82" t="s">
        <v>137</v>
      </c>
      <c r="P217" s="82" t="s">
        <v>137</v>
      </c>
      <c r="Q217" s="74" t="s">
        <v>553</v>
      </c>
      <c r="R217" s="74" t="s">
        <v>710</v>
      </c>
      <c r="S217" s="74" t="s">
        <v>556</v>
      </c>
      <c r="T217" s="74" t="s">
        <v>320</v>
      </c>
      <c r="U217" s="75">
        <v>0.95</v>
      </c>
      <c r="V217" s="75">
        <v>0.95</v>
      </c>
      <c r="W217" s="75">
        <v>0.95</v>
      </c>
      <c r="X217" s="75">
        <v>0.95</v>
      </c>
      <c r="Y217" s="75">
        <v>0.95</v>
      </c>
      <c r="Z217" s="75">
        <v>0.95</v>
      </c>
      <c r="AA217" s="75">
        <v>0.95</v>
      </c>
      <c r="AB217" s="75">
        <v>0.95</v>
      </c>
      <c r="AC217" s="75">
        <v>0.95</v>
      </c>
      <c r="AD217" s="75">
        <v>0.95</v>
      </c>
      <c r="AE217" s="75">
        <v>0.95</v>
      </c>
      <c r="AF217" s="75">
        <v>0.95</v>
      </c>
      <c r="AG217" s="74" t="s">
        <v>534</v>
      </c>
      <c r="AH217" s="74" t="s">
        <v>530</v>
      </c>
      <c r="AI217" s="78" t="s">
        <v>539</v>
      </c>
      <c r="AJ217" s="79" t="s">
        <v>539</v>
      </c>
      <c r="AK217" s="80">
        <v>46023</v>
      </c>
      <c r="AL217" s="80">
        <v>46387</v>
      </c>
      <c r="AM217" s="79"/>
      <c r="AN217" s="79"/>
      <c r="AO217" s="79"/>
      <c r="AP217" s="81" t="s">
        <v>543</v>
      </c>
      <c r="AQ217" s="80" t="str" cm="1">
        <f t="array" ref="AQ217">IFERROR(DATE(2026, _xlfn.AGGREGATE(15, 6, (COLUMN(CI217:CT217)-COLUMN(CI217)+1)/(CI217:CT217&lt;&gt;0), 1), 1),"N/A")</f>
        <v>N/A</v>
      </c>
      <c r="AR217" s="80" t="str" cm="1">
        <f t="array" ref="AR217">IFERROR(EOMONTH(DATE(2026, _xlfn.AGGREGATE(14, 6, (COLUMN(CI217:CT217)-COLUMN(CI217)+1)/(CI217:CT217&lt;&gt;0), 1), 1), 0),"N/A")</f>
        <v>N/A</v>
      </c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4" t="s">
        <v>1062</v>
      </c>
      <c r="BG217" s="74"/>
      <c r="BH217" s="74" t="s">
        <v>1063</v>
      </c>
      <c r="BI217" s="74" t="s">
        <v>1012</v>
      </c>
      <c r="BJ217" s="78">
        <v>630207</v>
      </c>
      <c r="BK217" s="82" t="s">
        <v>74</v>
      </c>
      <c r="BL217" s="83">
        <v>0</v>
      </c>
      <c r="BM217" s="73"/>
      <c r="BN217" s="73"/>
      <c r="BO217" s="73"/>
      <c r="BP217" s="73"/>
      <c r="BQ217" s="73"/>
      <c r="BR217" s="73"/>
      <c r="BS217" s="84"/>
      <c r="BT217" s="84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>
        <f t="shared" si="6"/>
        <v>0</v>
      </c>
      <c r="CI217" s="73"/>
      <c r="CJ217" s="73"/>
      <c r="CK217" s="72"/>
      <c r="CL217" s="73"/>
      <c r="CM217" s="73"/>
      <c r="CN217" s="73"/>
      <c r="CO217" s="84"/>
      <c r="CP217" s="84"/>
      <c r="CQ217" s="73"/>
      <c r="CR217" s="73"/>
      <c r="CS217" s="73"/>
      <c r="CT217" s="73"/>
      <c r="CU217" s="73"/>
      <c r="CV217" s="84">
        <f t="shared" si="7"/>
        <v>0</v>
      </c>
      <c r="CW217" s="84"/>
      <c r="CX217" s="74"/>
      <c r="CY217" s="74"/>
      <c r="CZ217" s="74"/>
      <c r="DA217" s="74"/>
      <c r="DB217" s="74"/>
      <c r="DC217" s="74"/>
      <c r="DD217" s="74"/>
    </row>
    <row r="218" spans="1:108" s="68" customFormat="1" ht="30" hidden="1" x14ac:dyDescent="0.25">
      <c r="A218" s="161" t="s">
        <v>693</v>
      </c>
      <c r="B218" s="74" t="s">
        <v>154</v>
      </c>
      <c r="C218" s="74" t="s">
        <v>172</v>
      </c>
      <c r="D218" s="85" t="s">
        <v>196</v>
      </c>
      <c r="E218" s="74" t="s">
        <v>309</v>
      </c>
      <c r="F218" s="74" t="s">
        <v>550</v>
      </c>
      <c r="G218" s="74" t="s">
        <v>137</v>
      </c>
      <c r="H218" s="74" t="s">
        <v>137</v>
      </c>
      <c r="I218" s="74" t="s">
        <v>66</v>
      </c>
      <c r="J218" s="74" t="s">
        <v>532</v>
      </c>
      <c r="K218" s="82" t="s">
        <v>137</v>
      </c>
      <c r="L218" s="82" t="s">
        <v>137</v>
      </c>
      <c r="M218" s="82" t="s">
        <v>137</v>
      </c>
      <c r="N218" s="82" t="s">
        <v>137</v>
      </c>
      <c r="O218" s="82" t="s">
        <v>137</v>
      </c>
      <c r="P218" s="82" t="s">
        <v>137</v>
      </c>
      <c r="Q218" s="74" t="s">
        <v>553</v>
      </c>
      <c r="R218" s="74" t="s">
        <v>710</v>
      </c>
      <c r="S218" s="74" t="s">
        <v>556</v>
      </c>
      <c r="T218" s="74" t="s">
        <v>320</v>
      </c>
      <c r="U218" s="75">
        <v>0.95</v>
      </c>
      <c r="V218" s="75">
        <v>0.95</v>
      </c>
      <c r="W218" s="75">
        <v>0.95</v>
      </c>
      <c r="X218" s="75">
        <v>0.95</v>
      </c>
      <c r="Y218" s="75">
        <v>0.95</v>
      </c>
      <c r="Z218" s="75">
        <v>0.95</v>
      </c>
      <c r="AA218" s="75">
        <v>0.95</v>
      </c>
      <c r="AB218" s="75">
        <v>0.95</v>
      </c>
      <c r="AC218" s="75">
        <v>0.95</v>
      </c>
      <c r="AD218" s="75">
        <v>0.95</v>
      </c>
      <c r="AE218" s="75">
        <v>0.95</v>
      </c>
      <c r="AF218" s="75">
        <v>0.95</v>
      </c>
      <c r="AG218" s="74" t="s">
        <v>534</v>
      </c>
      <c r="AH218" s="74" t="s">
        <v>530</v>
      </c>
      <c r="AI218" s="78" t="s">
        <v>539</v>
      </c>
      <c r="AJ218" s="79" t="s">
        <v>539</v>
      </c>
      <c r="AK218" s="80">
        <v>46023</v>
      </c>
      <c r="AL218" s="80">
        <v>46387</v>
      </c>
      <c r="AM218" s="79"/>
      <c r="AN218" s="79"/>
      <c r="AO218" s="79"/>
      <c r="AP218" s="81" t="s">
        <v>543</v>
      </c>
      <c r="AQ218" s="80" cm="1">
        <f t="array" ref="AQ218">IFERROR(DATE(2026, _xlfn.AGGREGATE(15, 6, (COLUMN(CI218:CT218)-COLUMN(CI218)+1)/(CI218:CT218&lt;&gt;0), 1), 1),"N/A")</f>
        <v>46174</v>
      </c>
      <c r="AR218" s="80" cm="1">
        <f t="array" ref="AR218">IFERROR(EOMONTH(DATE(2026, _xlfn.AGGREGATE(14, 6, (COLUMN(CI218:CT218)-COLUMN(CI218)+1)/(CI218:CT218&lt;&gt;0), 1), 1), 0),"N/A")</f>
        <v>46203</v>
      </c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4" t="s">
        <v>1064</v>
      </c>
      <c r="BG218" s="74"/>
      <c r="BH218" s="74" t="s">
        <v>1065</v>
      </c>
      <c r="BI218" s="74" t="s">
        <v>1012</v>
      </c>
      <c r="BJ218" s="78">
        <v>630207</v>
      </c>
      <c r="BK218" s="82" t="s">
        <v>74</v>
      </c>
      <c r="BL218" s="83">
        <v>0</v>
      </c>
      <c r="BM218" s="73"/>
      <c r="BN218" s="73"/>
      <c r="BO218" s="73"/>
      <c r="BP218" s="73"/>
      <c r="BQ218" s="73"/>
      <c r="BR218" s="73"/>
      <c r="BS218" s="84"/>
      <c r="BT218" s="84"/>
      <c r="BU218" s="73"/>
      <c r="BV218" s="73"/>
      <c r="BW218" s="73"/>
      <c r="BX218" s="73"/>
      <c r="BY218" s="73"/>
      <c r="BZ218" s="73"/>
      <c r="CA218" s="73">
        <v>14000</v>
      </c>
      <c r="CB218" s="73"/>
      <c r="CC218" s="73"/>
      <c r="CD218" s="73"/>
      <c r="CE218" s="73"/>
      <c r="CF218" s="73"/>
      <c r="CG218" s="73"/>
      <c r="CH218" s="73">
        <f t="shared" si="6"/>
        <v>14000</v>
      </c>
      <c r="CI218" s="73"/>
      <c r="CJ218" s="73"/>
      <c r="CK218" s="72"/>
      <c r="CL218" s="73"/>
      <c r="CM218" s="73"/>
      <c r="CN218" s="73">
        <v>14000</v>
      </c>
      <c r="CO218" s="84"/>
      <c r="CP218" s="84"/>
      <c r="CQ218" s="73"/>
      <c r="CR218" s="73"/>
      <c r="CS218" s="73"/>
      <c r="CT218" s="73"/>
      <c r="CU218" s="73"/>
      <c r="CV218" s="84">
        <f t="shared" si="7"/>
        <v>0</v>
      </c>
      <c r="CW218" s="84" t="s">
        <v>1237</v>
      </c>
      <c r="CX218" s="74"/>
      <c r="CY218" s="74"/>
      <c r="CZ218" s="74"/>
      <c r="DA218" s="74"/>
      <c r="DB218" s="74"/>
      <c r="DC218" s="74"/>
      <c r="DD218" s="74"/>
    </row>
    <row r="219" spans="1:108" s="68" customFormat="1" ht="30" hidden="1" x14ac:dyDescent="0.25">
      <c r="A219" s="74" t="s">
        <v>699</v>
      </c>
      <c r="B219" s="74" t="s">
        <v>154</v>
      </c>
      <c r="C219" s="74" t="s">
        <v>172</v>
      </c>
      <c r="D219" s="85" t="s">
        <v>196</v>
      </c>
      <c r="E219" s="74" t="s">
        <v>309</v>
      </c>
      <c r="F219" s="74" t="s">
        <v>550</v>
      </c>
      <c r="G219" s="74" t="s">
        <v>137</v>
      </c>
      <c r="H219" s="74" t="s">
        <v>137</v>
      </c>
      <c r="I219" s="74" t="s">
        <v>66</v>
      </c>
      <c r="J219" s="74" t="s">
        <v>532</v>
      </c>
      <c r="K219" s="82" t="s">
        <v>137</v>
      </c>
      <c r="L219" s="82" t="s">
        <v>137</v>
      </c>
      <c r="M219" s="82" t="s">
        <v>137</v>
      </c>
      <c r="N219" s="82" t="s">
        <v>137</v>
      </c>
      <c r="O219" s="82" t="s">
        <v>137</v>
      </c>
      <c r="P219" s="82" t="s">
        <v>137</v>
      </c>
      <c r="Q219" s="74" t="s">
        <v>553</v>
      </c>
      <c r="R219" s="74" t="s">
        <v>710</v>
      </c>
      <c r="S219" s="74" t="s">
        <v>556</v>
      </c>
      <c r="T219" s="74" t="s">
        <v>320</v>
      </c>
      <c r="U219" s="75">
        <v>0.95</v>
      </c>
      <c r="V219" s="75">
        <v>0.95</v>
      </c>
      <c r="W219" s="75">
        <v>0.95</v>
      </c>
      <c r="X219" s="75">
        <v>0.95</v>
      </c>
      <c r="Y219" s="75">
        <v>0.95</v>
      </c>
      <c r="Z219" s="75">
        <v>0.95</v>
      </c>
      <c r="AA219" s="75">
        <v>0.95</v>
      </c>
      <c r="AB219" s="75">
        <v>0.95</v>
      </c>
      <c r="AC219" s="75">
        <v>0.95</v>
      </c>
      <c r="AD219" s="75">
        <v>0.95</v>
      </c>
      <c r="AE219" s="75">
        <v>0.95</v>
      </c>
      <c r="AF219" s="75">
        <v>0.95</v>
      </c>
      <c r="AG219" s="74" t="s">
        <v>534</v>
      </c>
      <c r="AH219" s="74" t="s">
        <v>530</v>
      </c>
      <c r="AI219" s="78" t="s">
        <v>539</v>
      </c>
      <c r="AJ219" s="79" t="s">
        <v>539</v>
      </c>
      <c r="AK219" s="80">
        <v>46023</v>
      </c>
      <c r="AL219" s="80">
        <v>46387</v>
      </c>
      <c r="AM219" s="79"/>
      <c r="AN219" s="79"/>
      <c r="AO219" s="79"/>
      <c r="AP219" s="81" t="s">
        <v>543</v>
      </c>
      <c r="AQ219" s="80" t="str" cm="1">
        <f t="array" ref="AQ219">IFERROR(DATE(2026, _xlfn.AGGREGATE(15, 6, (COLUMN(CI219:CT219)-COLUMN(CI219)+1)/(CI219:CT219&lt;&gt;0), 1), 1),"N/A")</f>
        <v>N/A</v>
      </c>
      <c r="AR219" s="80" t="str" cm="1">
        <f t="array" ref="AR219">IFERROR(EOMONTH(DATE(2026, _xlfn.AGGREGATE(14, 6, (COLUMN(CI219:CT219)-COLUMN(CI219)+1)/(CI219:CT219&lt;&gt;0), 1), 1), 0),"N/A")</f>
        <v>N/A</v>
      </c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4" t="s">
        <v>1021</v>
      </c>
      <c r="BG219" s="74"/>
      <c r="BH219" s="74" t="s">
        <v>1028</v>
      </c>
      <c r="BI219" s="74" t="s">
        <v>1011</v>
      </c>
      <c r="BJ219" s="78">
        <v>530249</v>
      </c>
      <c r="BK219" s="82" t="s">
        <v>74</v>
      </c>
      <c r="BL219" s="86">
        <v>0</v>
      </c>
      <c r="BM219" s="73"/>
      <c r="BN219" s="84"/>
      <c r="BO219" s="84"/>
      <c r="BP219" s="72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>
        <v>50000</v>
      </c>
      <c r="CA219" s="84"/>
      <c r="CB219" s="84"/>
      <c r="CC219" s="84"/>
      <c r="CD219" s="84"/>
      <c r="CE219" s="84">
        <v>-50000</v>
      </c>
      <c r="CF219" s="84"/>
      <c r="CG219" s="84"/>
      <c r="CH219" s="73">
        <f t="shared" si="6"/>
        <v>0</v>
      </c>
      <c r="CI219" s="73"/>
      <c r="CJ219" s="84"/>
      <c r="CK219" s="84"/>
      <c r="CL219" s="72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>
        <f t="shared" si="7"/>
        <v>0</v>
      </c>
      <c r="CW219" s="84"/>
      <c r="CX219" s="74"/>
      <c r="CY219" s="74"/>
      <c r="CZ219" s="74"/>
      <c r="DA219" s="74"/>
      <c r="DB219" s="74"/>
      <c r="DC219" s="74"/>
      <c r="DD219" s="74"/>
    </row>
    <row r="220" spans="1:108" s="68" customFormat="1" ht="30" hidden="1" x14ac:dyDescent="0.25">
      <c r="A220" s="161" t="s">
        <v>693</v>
      </c>
      <c r="B220" s="74" t="s">
        <v>154</v>
      </c>
      <c r="C220" s="74" t="s">
        <v>172</v>
      </c>
      <c r="D220" s="85" t="s">
        <v>196</v>
      </c>
      <c r="E220" s="74" t="s">
        <v>309</v>
      </c>
      <c r="F220" s="74" t="s">
        <v>550</v>
      </c>
      <c r="G220" s="74" t="s">
        <v>137</v>
      </c>
      <c r="H220" s="74" t="s">
        <v>137</v>
      </c>
      <c r="I220" s="74" t="s">
        <v>66</v>
      </c>
      <c r="J220" s="74" t="s">
        <v>532</v>
      </c>
      <c r="K220" s="82" t="s">
        <v>137</v>
      </c>
      <c r="L220" s="82" t="s">
        <v>137</v>
      </c>
      <c r="M220" s="82" t="s">
        <v>137</v>
      </c>
      <c r="N220" s="82" t="s">
        <v>137</v>
      </c>
      <c r="O220" s="82" t="s">
        <v>137</v>
      </c>
      <c r="P220" s="82" t="s">
        <v>137</v>
      </c>
      <c r="Q220" s="74" t="s">
        <v>553</v>
      </c>
      <c r="R220" s="74" t="s">
        <v>710</v>
      </c>
      <c r="S220" s="74" t="s">
        <v>556</v>
      </c>
      <c r="T220" s="74" t="s">
        <v>320</v>
      </c>
      <c r="U220" s="75">
        <v>0.95</v>
      </c>
      <c r="V220" s="75">
        <v>0.95</v>
      </c>
      <c r="W220" s="75">
        <v>0.95</v>
      </c>
      <c r="X220" s="75">
        <v>0.95</v>
      </c>
      <c r="Y220" s="75">
        <v>0.95</v>
      </c>
      <c r="Z220" s="75">
        <v>0.95</v>
      </c>
      <c r="AA220" s="75">
        <v>0.95</v>
      </c>
      <c r="AB220" s="75">
        <v>0.95</v>
      </c>
      <c r="AC220" s="75">
        <v>0.95</v>
      </c>
      <c r="AD220" s="75">
        <v>0.95</v>
      </c>
      <c r="AE220" s="75">
        <v>0.95</v>
      </c>
      <c r="AF220" s="75">
        <v>0.95</v>
      </c>
      <c r="AG220" s="74" t="s">
        <v>534</v>
      </c>
      <c r="AH220" s="74" t="s">
        <v>530</v>
      </c>
      <c r="AI220" s="78" t="s">
        <v>539</v>
      </c>
      <c r="AJ220" s="79" t="s">
        <v>539</v>
      </c>
      <c r="AK220" s="80">
        <v>46023</v>
      </c>
      <c r="AL220" s="80">
        <v>46387</v>
      </c>
      <c r="AM220" s="79"/>
      <c r="AN220" s="79"/>
      <c r="AO220" s="79"/>
      <c r="AP220" s="81" t="s">
        <v>543</v>
      </c>
      <c r="AQ220" s="80" t="str" cm="1">
        <f t="array" ref="AQ220">IFERROR(DATE(2026, _xlfn.AGGREGATE(15, 6, (COLUMN(CI220:CT220)-COLUMN(CI220)+1)/(CI220:CT220&lt;&gt;0), 1), 1),"N/A")</f>
        <v>N/A</v>
      </c>
      <c r="AR220" s="80" t="str" cm="1">
        <f t="array" ref="AR220">IFERROR(EOMONTH(DATE(2026, _xlfn.AGGREGATE(14, 6, (COLUMN(CI220:CT220)-COLUMN(CI220)+1)/(CI220:CT220&lt;&gt;0), 1), 1), 0),"N/A")</f>
        <v>N/A</v>
      </c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4" t="s">
        <v>718</v>
      </c>
      <c r="BG220" s="74"/>
      <c r="BH220" s="74" t="s">
        <v>916</v>
      </c>
      <c r="BI220" s="74" t="s">
        <v>1012</v>
      </c>
      <c r="BJ220" s="78">
        <v>630207</v>
      </c>
      <c r="BK220" s="82" t="s">
        <v>74</v>
      </c>
      <c r="BL220" s="83">
        <f>50000</f>
        <v>50000</v>
      </c>
      <c r="BM220" s="73">
        <v>0</v>
      </c>
      <c r="BN220" s="73">
        <v>0</v>
      </c>
      <c r="BO220" s="73">
        <v>0</v>
      </c>
      <c r="BP220" s="73">
        <v>0</v>
      </c>
      <c r="BQ220" s="73">
        <v>0</v>
      </c>
      <c r="BR220" s="84">
        <v>50000</v>
      </c>
      <c r="BS220" s="73">
        <v>0</v>
      </c>
      <c r="BT220" s="73">
        <v>0</v>
      </c>
      <c r="BU220" s="73">
        <v>0</v>
      </c>
      <c r="BV220" s="73">
        <v>0</v>
      </c>
      <c r="BW220" s="73">
        <v>0</v>
      </c>
      <c r="BX220" s="73">
        <v>0</v>
      </c>
      <c r="BY220" s="73">
        <v>-50000</v>
      </c>
      <c r="BZ220" s="73"/>
      <c r="CA220" s="73"/>
      <c r="CB220" s="73"/>
      <c r="CC220" s="73"/>
      <c r="CD220" s="73"/>
      <c r="CE220" s="73"/>
      <c r="CF220" s="73"/>
      <c r="CG220" s="73"/>
      <c r="CH220" s="73">
        <f t="shared" si="6"/>
        <v>0</v>
      </c>
      <c r="CI220" s="73"/>
      <c r="CJ220" s="73"/>
      <c r="CK220" s="72">
        <v>0</v>
      </c>
      <c r="CL220" s="73">
        <v>0</v>
      </c>
      <c r="CM220" s="73">
        <v>0</v>
      </c>
      <c r="CN220" s="84">
        <v>0</v>
      </c>
      <c r="CO220" s="73">
        <v>0</v>
      </c>
      <c r="CP220" s="73">
        <v>0</v>
      </c>
      <c r="CQ220" s="73">
        <v>0</v>
      </c>
      <c r="CR220" s="73">
        <v>0</v>
      </c>
      <c r="CS220" s="73">
        <v>0</v>
      </c>
      <c r="CT220" s="73">
        <v>0</v>
      </c>
      <c r="CU220" s="73"/>
      <c r="CV220" s="84">
        <f t="shared" si="7"/>
        <v>0</v>
      </c>
      <c r="CW220" s="84"/>
      <c r="CX220" s="74"/>
      <c r="CY220" s="74"/>
      <c r="CZ220" s="74"/>
      <c r="DA220" s="74"/>
      <c r="DB220" s="74"/>
      <c r="DC220" s="74"/>
      <c r="DD220" s="74"/>
    </row>
    <row r="221" spans="1:108" s="68" customFormat="1" ht="30" hidden="1" x14ac:dyDescent="0.25">
      <c r="A221" s="161" t="s">
        <v>693</v>
      </c>
      <c r="B221" s="74" t="s">
        <v>154</v>
      </c>
      <c r="C221" s="74" t="s">
        <v>172</v>
      </c>
      <c r="D221" s="85" t="s">
        <v>196</v>
      </c>
      <c r="E221" s="74" t="s">
        <v>309</v>
      </c>
      <c r="F221" s="74" t="s">
        <v>550</v>
      </c>
      <c r="G221" s="74" t="s">
        <v>137</v>
      </c>
      <c r="H221" s="74" t="s">
        <v>137</v>
      </c>
      <c r="I221" s="74" t="s">
        <v>66</v>
      </c>
      <c r="J221" s="74" t="s">
        <v>532</v>
      </c>
      <c r="K221" s="82" t="s">
        <v>137</v>
      </c>
      <c r="L221" s="82" t="s">
        <v>137</v>
      </c>
      <c r="M221" s="82" t="s">
        <v>137</v>
      </c>
      <c r="N221" s="82" t="s">
        <v>137</v>
      </c>
      <c r="O221" s="82" t="s">
        <v>137</v>
      </c>
      <c r="P221" s="82" t="s">
        <v>137</v>
      </c>
      <c r="Q221" s="74" t="s">
        <v>553</v>
      </c>
      <c r="R221" s="74" t="s">
        <v>710</v>
      </c>
      <c r="S221" s="74" t="s">
        <v>556</v>
      </c>
      <c r="T221" s="74" t="s">
        <v>320</v>
      </c>
      <c r="U221" s="75">
        <v>0.95</v>
      </c>
      <c r="V221" s="75">
        <v>0.95</v>
      </c>
      <c r="W221" s="75">
        <v>0.95</v>
      </c>
      <c r="X221" s="75">
        <v>0.95</v>
      </c>
      <c r="Y221" s="75">
        <v>0.95</v>
      </c>
      <c r="Z221" s="75">
        <v>0.95</v>
      </c>
      <c r="AA221" s="75">
        <v>0.95</v>
      </c>
      <c r="AB221" s="75">
        <v>0.95</v>
      </c>
      <c r="AC221" s="75">
        <v>0.95</v>
      </c>
      <c r="AD221" s="75">
        <v>0.95</v>
      </c>
      <c r="AE221" s="75">
        <v>0.95</v>
      </c>
      <c r="AF221" s="75">
        <v>0.95</v>
      </c>
      <c r="AG221" s="74" t="s">
        <v>534</v>
      </c>
      <c r="AH221" s="74" t="s">
        <v>530</v>
      </c>
      <c r="AI221" s="78" t="s">
        <v>539</v>
      </c>
      <c r="AJ221" s="79" t="s">
        <v>539</v>
      </c>
      <c r="AK221" s="80">
        <v>46023</v>
      </c>
      <c r="AL221" s="80">
        <v>46387</v>
      </c>
      <c r="AM221" s="79"/>
      <c r="AN221" s="79"/>
      <c r="AO221" s="79"/>
      <c r="AP221" s="81" t="s">
        <v>543</v>
      </c>
      <c r="AQ221" s="80" cm="1">
        <f t="array" ref="AQ221">IFERROR(DATE(2026, _xlfn.AGGREGATE(15, 6, (COLUMN(CI221:CT221)-COLUMN(CI221)+1)/(CI221:CT221&lt;&gt;0), 1), 1),"N/A")</f>
        <v>46174</v>
      </c>
      <c r="AR221" s="80" cm="1">
        <f t="array" ref="AR221">IFERROR(EOMONTH(DATE(2026, _xlfn.AGGREGATE(14, 6, (COLUMN(CI221:CT221)-COLUMN(CI221)+1)/(CI221:CT221&lt;&gt;0), 1), 1), 0),"N/A")</f>
        <v>46203</v>
      </c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4" t="s">
        <v>716</v>
      </c>
      <c r="BG221" s="74"/>
      <c r="BH221" s="74" t="s">
        <v>1030</v>
      </c>
      <c r="BI221" s="74" t="s">
        <v>1012</v>
      </c>
      <c r="BJ221" s="78">
        <v>630207</v>
      </c>
      <c r="BK221" s="82" t="s">
        <v>74</v>
      </c>
      <c r="BL221" s="86">
        <v>0</v>
      </c>
      <c r="BM221" s="73"/>
      <c r="BN221" s="84"/>
      <c r="BO221" s="84"/>
      <c r="BP221" s="72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>
        <v>40000</v>
      </c>
      <c r="CA221" s="84"/>
      <c r="CB221" s="84"/>
      <c r="CC221" s="84"/>
      <c r="CD221" s="84"/>
      <c r="CE221" s="84"/>
      <c r="CF221" s="84"/>
      <c r="CG221" s="84"/>
      <c r="CH221" s="73">
        <f t="shared" si="6"/>
        <v>40000</v>
      </c>
      <c r="CI221" s="73"/>
      <c r="CJ221" s="84"/>
      <c r="CK221" s="84"/>
      <c r="CL221" s="72"/>
      <c r="CM221" s="84"/>
      <c r="CN221" s="84">
        <v>40000</v>
      </c>
      <c r="CO221" s="84"/>
      <c r="CP221" s="84"/>
      <c r="CQ221" s="84"/>
      <c r="CR221" s="84"/>
      <c r="CS221" s="84"/>
      <c r="CT221" s="84"/>
      <c r="CU221" s="84"/>
      <c r="CV221" s="84">
        <f t="shared" si="7"/>
        <v>0</v>
      </c>
      <c r="CW221" s="84" t="s">
        <v>1237</v>
      </c>
      <c r="CX221" s="74"/>
      <c r="CY221" s="74"/>
      <c r="CZ221" s="74"/>
      <c r="DA221" s="74"/>
      <c r="DB221" s="74"/>
      <c r="DC221" s="74"/>
      <c r="DD221" s="74"/>
    </row>
    <row r="222" spans="1:108" s="68" customFormat="1" ht="30" hidden="1" x14ac:dyDescent="0.25">
      <c r="A222" s="74" t="s">
        <v>699</v>
      </c>
      <c r="B222" s="74" t="s">
        <v>154</v>
      </c>
      <c r="C222" s="74" t="s">
        <v>172</v>
      </c>
      <c r="D222" s="85" t="s">
        <v>196</v>
      </c>
      <c r="E222" s="74" t="s">
        <v>309</v>
      </c>
      <c r="F222" s="74" t="s">
        <v>550</v>
      </c>
      <c r="G222" s="74" t="s">
        <v>137</v>
      </c>
      <c r="H222" s="74" t="s">
        <v>137</v>
      </c>
      <c r="I222" s="74" t="s">
        <v>66</v>
      </c>
      <c r="J222" s="74" t="s">
        <v>532</v>
      </c>
      <c r="K222" s="82" t="s">
        <v>137</v>
      </c>
      <c r="L222" s="82" t="s">
        <v>137</v>
      </c>
      <c r="M222" s="82" t="s">
        <v>137</v>
      </c>
      <c r="N222" s="82" t="s">
        <v>137</v>
      </c>
      <c r="O222" s="82" t="s">
        <v>137</v>
      </c>
      <c r="P222" s="82" t="s">
        <v>137</v>
      </c>
      <c r="Q222" s="74" t="s">
        <v>553</v>
      </c>
      <c r="R222" s="74" t="s">
        <v>710</v>
      </c>
      <c r="S222" s="74" t="s">
        <v>556</v>
      </c>
      <c r="T222" s="74" t="s">
        <v>320</v>
      </c>
      <c r="U222" s="75">
        <v>0.95</v>
      </c>
      <c r="V222" s="75">
        <v>0.95</v>
      </c>
      <c r="W222" s="75">
        <v>0.95</v>
      </c>
      <c r="X222" s="75">
        <v>0.95</v>
      </c>
      <c r="Y222" s="75">
        <v>0.95</v>
      </c>
      <c r="Z222" s="75">
        <v>0.95</v>
      </c>
      <c r="AA222" s="75">
        <v>0.95</v>
      </c>
      <c r="AB222" s="75">
        <v>0.95</v>
      </c>
      <c r="AC222" s="75">
        <v>0.95</v>
      </c>
      <c r="AD222" s="75">
        <v>0.95</v>
      </c>
      <c r="AE222" s="75">
        <v>0.95</v>
      </c>
      <c r="AF222" s="75">
        <v>0.95</v>
      </c>
      <c r="AG222" s="74" t="s">
        <v>534</v>
      </c>
      <c r="AH222" s="74" t="s">
        <v>530</v>
      </c>
      <c r="AI222" s="78" t="s">
        <v>539</v>
      </c>
      <c r="AJ222" s="79" t="s">
        <v>539</v>
      </c>
      <c r="AK222" s="80">
        <v>46023</v>
      </c>
      <c r="AL222" s="80">
        <v>46387</v>
      </c>
      <c r="AM222" s="79"/>
      <c r="AN222" s="79"/>
      <c r="AO222" s="79"/>
      <c r="AP222" s="81" t="s">
        <v>543</v>
      </c>
      <c r="AQ222" s="80" cm="1">
        <f t="array" ref="AQ222">IFERROR(DATE(2026, _xlfn.AGGREGATE(15, 6, (COLUMN(CI222:CT222)-COLUMN(CI222)+1)/(CI222:CT222&lt;&gt;0), 1), 1),"N/A")</f>
        <v>46054</v>
      </c>
      <c r="AR222" s="80" cm="1">
        <f t="array" ref="AR222">IFERROR(EOMONTH(DATE(2026, _xlfn.AGGREGATE(14, 6, (COLUMN(CI222:CT222)-COLUMN(CI222)+1)/(CI222:CT222&lt;&gt;0), 1), 1), 0),"N/A")</f>
        <v>46387</v>
      </c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85" t="s">
        <v>783</v>
      </c>
      <c r="BG222" s="74"/>
      <c r="BH222" s="74" t="s">
        <v>896</v>
      </c>
      <c r="BI222" s="74" t="s">
        <v>137</v>
      </c>
      <c r="BJ222" s="78">
        <v>631203</v>
      </c>
      <c r="BK222" s="82" t="s">
        <v>74</v>
      </c>
      <c r="BL222" s="83">
        <v>50000</v>
      </c>
      <c r="BM222" s="84" t="s">
        <v>549</v>
      </c>
      <c r="BN222" s="84">
        <v>4545.45</v>
      </c>
      <c r="BO222" s="84">
        <v>4545.45</v>
      </c>
      <c r="BP222" s="72">
        <v>4545.45</v>
      </c>
      <c r="BQ222" s="84">
        <v>4545.45</v>
      </c>
      <c r="BR222" s="84">
        <v>4545.45</v>
      </c>
      <c r="BS222" s="84">
        <v>4545.46</v>
      </c>
      <c r="BT222" s="84">
        <v>4545.46</v>
      </c>
      <c r="BU222" s="84">
        <v>4545.46</v>
      </c>
      <c r="BV222" s="84">
        <v>4545.46</v>
      </c>
      <c r="BW222" s="84">
        <v>4545.46</v>
      </c>
      <c r="BX222" s="84">
        <v>4545.45</v>
      </c>
      <c r="BY222" s="84"/>
      <c r="BZ222" s="84"/>
      <c r="CA222" s="84"/>
      <c r="CB222" s="84"/>
      <c r="CC222" s="84"/>
      <c r="CD222" s="84"/>
      <c r="CE222" s="84">
        <v>50000</v>
      </c>
      <c r="CF222" s="84"/>
      <c r="CG222" s="84"/>
      <c r="CH222" s="73">
        <f t="shared" si="6"/>
        <v>100000</v>
      </c>
      <c r="CI222" s="102"/>
      <c r="CJ222" s="102">
        <v>12208.1</v>
      </c>
      <c r="CK222" s="102">
        <v>5860.59</v>
      </c>
      <c r="CL222" s="73">
        <v>5840.31</v>
      </c>
      <c r="CM222" s="84">
        <v>4442.68</v>
      </c>
      <c r="CN222" s="84">
        <v>3092.61</v>
      </c>
      <c r="CO222" s="84">
        <v>3092.61</v>
      </c>
      <c r="CP222" s="84">
        <v>3092.61</v>
      </c>
      <c r="CQ222" s="84">
        <v>3092.61</v>
      </c>
      <c r="CR222" s="84">
        <v>3092.61</v>
      </c>
      <c r="CS222" s="84">
        <v>3092.61</v>
      </c>
      <c r="CT222" s="84">
        <f>59692.66-6600</f>
        <v>53092.66</v>
      </c>
      <c r="CU222" s="84"/>
      <c r="CV222" s="84">
        <f t="shared" si="7"/>
        <v>0</v>
      </c>
      <c r="CW222" s="84"/>
      <c r="CX222" s="74" t="s">
        <v>1235</v>
      </c>
      <c r="CY222" s="74"/>
      <c r="CZ222" s="74"/>
      <c r="DA222" s="74" t="s">
        <v>1235</v>
      </c>
      <c r="DB222" s="74"/>
      <c r="DC222" s="74"/>
      <c r="DD222" s="74"/>
    </row>
    <row r="223" spans="1:108" s="68" customFormat="1" ht="15" hidden="1" customHeight="1" x14ac:dyDescent="0.25">
      <c r="A223" s="74" t="s">
        <v>692</v>
      </c>
      <c r="B223" s="74" t="s">
        <v>154</v>
      </c>
      <c r="C223" s="74" t="s">
        <v>172</v>
      </c>
      <c r="D223" s="85" t="s">
        <v>196</v>
      </c>
      <c r="E223" s="74" t="s">
        <v>309</v>
      </c>
      <c r="F223" s="74" t="s">
        <v>550</v>
      </c>
      <c r="G223" s="74" t="s">
        <v>137</v>
      </c>
      <c r="H223" s="74" t="s">
        <v>137</v>
      </c>
      <c r="I223" s="74" t="s">
        <v>66</v>
      </c>
      <c r="J223" s="74" t="s">
        <v>532</v>
      </c>
      <c r="K223" s="82" t="s">
        <v>137</v>
      </c>
      <c r="L223" s="82" t="s">
        <v>137</v>
      </c>
      <c r="M223" s="82" t="s">
        <v>137</v>
      </c>
      <c r="N223" s="82" t="s">
        <v>137</v>
      </c>
      <c r="O223" s="82" t="s">
        <v>137</v>
      </c>
      <c r="P223" s="82" t="s">
        <v>137</v>
      </c>
      <c r="Q223" s="74" t="s">
        <v>553</v>
      </c>
      <c r="R223" s="74" t="s">
        <v>710</v>
      </c>
      <c r="S223" s="74" t="s">
        <v>556</v>
      </c>
      <c r="T223" s="74" t="s">
        <v>320</v>
      </c>
      <c r="U223" s="75">
        <v>0.95</v>
      </c>
      <c r="V223" s="75">
        <v>0.95</v>
      </c>
      <c r="W223" s="75">
        <v>0.95</v>
      </c>
      <c r="X223" s="75">
        <v>0.95</v>
      </c>
      <c r="Y223" s="75">
        <v>0.95</v>
      </c>
      <c r="Z223" s="75">
        <v>0.95</v>
      </c>
      <c r="AA223" s="75">
        <v>0.95</v>
      </c>
      <c r="AB223" s="75">
        <v>0.95</v>
      </c>
      <c r="AC223" s="75">
        <v>0.95</v>
      </c>
      <c r="AD223" s="75">
        <v>0.95</v>
      </c>
      <c r="AE223" s="75">
        <v>0.95</v>
      </c>
      <c r="AF223" s="75">
        <v>0.95</v>
      </c>
      <c r="AG223" s="74" t="s">
        <v>534</v>
      </c>
      <c r="AH223" s="74" t="s">
        <v>530</v>
      </c>
      <c r="AI223" s="78" t="s">
        <v>539</v>
      </c>
      <c r="AJ223" s="79" t="s">
        <v>539</v>
      </c>
      <c r="AK223" s="80">
        <v>46023</v>
      </c>
      <c r="AL223" s="80">
        <v>46387</v>
      </c>
      <c r="AM223" s="79"/>
      <c r="AN223" s="79"/>
      <c r="AO223" s="79"/>
      <c r="AP223" s="81" t="s">
        <v>543</v>
      </c>
      <c r="AQ223" s="80" t="str" cm="1">
        <f t="array" ref="AQ223">IFERROR(DATE(2026, _xlfn.AGGREGATE(15, 6, (COLUMN(CI223:CT223)-COLUMN(CI223)+1)/(CI223:CT223&lt;&gt;0), 1), 1),"N/A")</f>
        <v>N/A</v>
      </c>
      <c r="AR223" s="80" t="str" cm="1">
        <f t="array" ref="AR223">IFERROR(EOMONTH(DATE(2026, _xlfn.AGGREGATE(14, 6, (COLUMN(CI223:CT223)-COLUMN(CI223)+1)/(CI223:CT223&lt;&gt;0), 1), 1), 0),"N/A")</f>
        <v>N/A</v>
      </c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4" t="s">
        <v>673</v>
      </c>
      <c r="BG223" s="74"/>
      <c r="BH223" s="74" t="s">
        <v>900</v>
      </c>
      <c r="BI223" s="74" t="s">
        <v>1013</v>
      </c>
      <c r="BJ223" s="78">
        <v>630502</v>
      </c>
      <c r="BK223" s="82" t="s">
        <v>74</v>
      </c>
      <c r="BL223" s="83">
        <v>60000</v>
      </c>
      <c r="BM223" s="73">
        <v>0</v>
      </c>
      <c r="BN223" s="73">
        <v>0</v>
      </c>
      <c r="BO223" s="73">
        <v>0</v>
      </c>
      <c r="BP223" s="73">
        <v>0</v>
      </c>
      <c r="BQ223" s="73">
        <v>0</v>
      </c>
      <c r="BR223" s="73">
        <v>0</v>
      </c>
      <c r="BS223" s="73">
        <v>0</v>
      </c>
      <c r="BT223" s="73">
        <v>0</v>
      </c>
      <c r="BU223" s="73">
        <v>0</v>
      </c>
      <c r="BV223" s="73">
        <v>0</v>
      </c>
      <c r="BW223" s="73">
        <v>0</v>
      </c>
      <c r="BX223" s="84">
        <v>60000</v>
      </c>
      <c r="BY223" s="84"/>
      <c r="BZ223" s="84">
        <v>-60000</v>
      </c>
      <c r="CA223" s="84"/>
      <c r="CB223" s="84"/>
      <c r="CC223" s="84"/>
      <c r="CD223" s="84"/>
      <c r="CE223" s="84"/>
      <c r="CF223" s="84"/>
      <c r="CG223" s="84"/>
      <c r="CH223" s="73">
        <f t="shared" si="6"/>
        <v>0</v>
      </c>
      <c r="CI223" s="73"/>
      <c r="CJ223" s="73"/>
      <c r="CK223" s="72">
        <v>0</v>
      </c>
      <c r="CL223" s="73">
        <v>0</v>
      </c>
      <c r="CM223" s="73">
        <v>0</v>
      </c>
      <c r="CN223" s="73">
        <v>0</v>
      </c>
      <c r="CO223" s="73">
        <v>0</v>
      </c>
      <c r="CP223" s="73">
        <v>0</v>
      </c>
      <c r="CQ223" s="73">
        <v>0</v>
      </c>
      <c r="CR223" s="73">
        <v>0</v>
      </c>
      <c r="CS223" s="73">
        <v>0</v>
      </c>
      <c r="CT223" s="84">
        <v>0</v>
      </c>
      <c r="CU223" s="84"/>
      <c r="CV223" s="84">
        <f t="shared" si="7"/>
        <v>0</v>
      </c>
      <c r="CW223" s="84"/>
      <c r="CX223" s="74"/>
      <c r="CY223" s="74"/>
      <c r="CZ223" s="74" t="s">
        <v>1283</v>
      </c>
      <c r="DA223" s="74"/>
      <c r="DB223" s="74"/>
      <c r="DC223" s="74"/>
      <c r="DD223" s="74"/>
    </row>
    <row r="224" spans="1:108" s="129" customFormat="1" ht="55.9" hidden="1" customHeight="1" x14ac:dyDescent="0.25">
      <c r="A224" s="138" t="s">
        <v>695</v>
      </c>
      <c r="B224" s="74" t="s">
        <v>154</v>
      </c>
      <c r="C224" s="74" t="s">
        <v>172</v>
      </c>
      <c r="D224" s="85" t="s">
        <v>196</v>
      </c>
      <c r="E224" s="127" t="s">
        <v>5</v>
      </c>
      <c r="F224" s="85" t="s">
        <v>551</v>
      </c>
      <c r="G224" s="74" t="s">
        <v>288</v>
      </c>
      <c r="H224" s="74" t="s">
        <v>552</v>
      </c>
      <c r="I224" s="74" t="s">
        <v>300</v>
      </c>
      <c r="J224" s="74" t="s">
        <v>529</v>
      </c>
      <c r="K224" s="82" t="s">
        <v>326</v>
      </c>
      <c r="L224" s="78" t="s">
        <v>559</v>
      </c>
      <c r="M224" s="78" t="s">
        <v>531</v>
      </c>
      <c r="N224" s="78" t="s">
        <v>7</v>
      </c>
      <c r="O224" s="97" t="s">
        <v>560</v>
      </c>
      <c r="P224" s="97" t="s">
        <v>561</v>
      </c>
      <c r="Q224" s="74" t="s">
        <v>766</v>
      </c>
      <c r="R224" s="74" t="s">
        <v>767</v>
      </c>
      <c r="S224" s="74" t="s">
        <v>768</v>
      </c>
      <c r="T224" s="74" t="s">
        <v>320</v>
      </c>
      <c r="U224" s="75"/>
      <c r="V224" s="75"/>
      <c r="W224" s="75">
        <v>0.05</v>
      </c>
      <c r="X224" s="75"/>
      <c r="Y224" s="75"/>
      <c r="Z224" s="75">
        <v>0.05</v>
      </c>
      <c r="AA224" s="75"/>
      <c r="AB224" s="75"/>
      <c r="AC224" s="75">
        <v>0.05</v>
      </c>
      <c r="AD224" s="75"/>
      <c r="AE224" s="75"/>
      <c r="AF224" s="75">
        <v>0.05</v>
      </c>
      <c r="AG224" s="74" t="s">
        <v>536</v>
      </c>
      <c r="AH224" s="74" t="s">
        <v>530</v>
      </c>
      <c r="AI224" s="78" t="s">
        <v>539</v>
      </c>
      <c r="AJ224" s="79" t="s">
        <v>539</v>
      </c>
      <c r="AK224" s="80">
        <v>46023</v>
      </c>
      <c r="AL224" s="80">
        <v>46387</v>
      </c>
      <c r="AM224" s="79"/>
      <c r="AN224" s="79"/>
      <c r="AO224" s="79"/>
      <c r="AP224" s="103" t="s">
        <v>546</v>
      </c>
      <c r="AQ224" s="80" cm="1">
        <f t="array" ref="AQ224">IFERROR(DATE(2026, _xlfn.AGGREGATE(15, 6, (COLUMN(CI224:CT224)-COLUMN(CI224)+1)/(CI224:CT224&lt;&gt;0), 1), 1),"N/A")</f>
        <v>46357</v>
      </c>
      <c r="AR224" s="80" cm="1">
        <f t="array" ref="AR224">IFERROR(EOMONTH(DATE(2026, _xlfn.AGGREGATE(14, 6, (COLUMN(CI224:CT224)-COLUMN(CI224)+1)/(CI224:CT224&lt;&gt;0), 1), 1), 0),"N/A")</f>
        <v>46387</v>
      </c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138" t="s">
        <v>1144</v>
      </c>
      <c r="BG224" s="74"/>
      <c r="BH224" s="74" t="s">
        <v>1156</v>
      </c>
      <c r="BI224" s="74" t="s">
        <v>1011</v>
      </c>
      <c r="BJ224" s="78">
        <v>730207</v>
      </c>
      <c r="BK224" s="82" t="s">
        <v>703</v>
      </c>
      <c r="BL224" s="83"/>
      <c r="BM224" s="73"/>
      <c r="BN224" s="73"/>
      <c r="BO224" s="73"/>
      <c r="BP224" s="72"/>
      <c r="BQ224" s="73"/>
      <c r="BR224" s="73"/>
      <c r="BS224" s="73"/>
      <c r="BT224" s="73"/>
      <c r="BU224" s="73"/>
      <c r="BV224" s="73"/>
      <c r="BW224" s="84"/>
      <c r="BX224" s="84"/>
      <c r="BY224" s="84"/>
      <c r="BZ224" s="84"/>
      <c r="CA224" s="84"/>
      <c r="CB224" s="84"/>
      <c r="CC224" s="84"/>
      <c r="CD224" s="84">
        <v>300000</v>
      </c>
      <c r="CE224" s="84"/>
      <c r="CF224" s="84"/>
      <c r="CG224" s="84"/>
      <c r="CH224" s="119">
        <f t="shared" si="6"/>
        <v>300000</v>
      </c>
      <c r="CI224" s="119"/>
      <c r="CJ224" s="119"/>
      <c r="CK224" s="128"/>
      <c r="CL224" s="128"/>
      <c r="CM224" s="119"/>
      <c r="CN224" s="119"/>
      <c r="CO224" s="119"/>
      <c r="CP224" s="119"/>
      <c r="CQ224" s="119"/>
      <c r="CR224" s="119"/>
      <c r="CS224" s="118"/>
      <c r="CT224" s="118">
        <v>300000</v>
      </c>
      <c r="CU224" s="84"/>
      <c r="CV224" s="84">
        <f t="shared" si="7"/>
        <v>0</v>
      </c>
      <c r="CW224" s="136"/>
      <c r="CX224" s="127"/>
      <c r="CY224" s="127"/>
      <c r="CZ224" s="127" t="s">
        <v>1306</v>
      </c>
      <c r="DA224" s="127" t="s">
        <v>1356</v>
      </c>
      <c r="DB224" s="127"/>
      <c r="DC224" s="127"/>
      <c r="DD224" s="127"/>
    </row>
    <row r="225" spans="1:108" s="402" customFormat="1" ht="15" hidden="1" customHeight="1" x14ac:dyDescent="0.25">
      <c r="A225" s="398" t="s">
        <v>690</v>
      </c>
      <c r="B225" s="74" t="s">
        <v>154</v>
      </c>
      <c r="C225" s="74" t="s">
        <v>172</v>
      </c>
      <c r="D225" s="74" t="s">
        <v>196</v>
      </c>
      <c r="E225" s="74" t="s">
        <v>5</v>
      </c>
      <c r="F225" s="85" t="s">
        <v>551</v>
      </c>
      <c r="G225" s="74" t="s">
        <v>288</v>
      </c>
      <c r="H225" s="74" t="s">
        <v>552</v>
      </c>
      <c r="I225" s="74" t="s">
        <v>300</v>
      </c>
      <c r="J225" s="74" t="s">
        <v>529</v>
      </c>
      <c r="K225" s="82" t="s">
        <v>326</v>
      </c>
      <c r="L225" s="78" t="s">
        <v>559</v>
      </c>
      <c r="M225" s="78" t="s">
        <v>531</v>
      </c>
      <c r="N225" s="78" t="s">
        <v>7</v>
      </c>
      <c r="O225" s="97" t="s">
        <v>560</v>
      </c>
      <c r="P225" s="97" t="s">
        <v>561</v>
      </c>
      <c r="Q225" s="74" t="s">
        <v>766</v>
      </c>
      <c r="R225" s="74" t="s">
        <v>767</v>
      </c>
      <c r="S225" s="74" t="s">
        <v>768</v>
      </c>
      <c r="T225" s="74" t="s">
        <v>320</v>
      </c>
      <c r="U225" s="75"/>
      <c r="V225" s="75"/>
      <c r="W225" s="75">
        <v>0.05</v>
      </c>
      <c r="X225" s="75"/>
      <c r="Y225" s="75"/>
      <c r="Z225" s="75">
        <v>0.05</v>
      </c>
      <c r="AA225" s="75"/>
      <c r="AB225" s="75"/>
      <c r="AC225" s="75">
        <v>0.05</v>
      </c>
      <c r="AD225" s="75"/>
      <c r="AE225" s="75"/>
      <c r="AF225" s="75">
        <v>0.05</v>
      </c>
      <c r="AG225" s="74" t="s">
        <v>774</v>
      </c>
      <c r="AH225" s="74" t="s">
        <v>531</v>
      </c>
      <c r="AI225" s="78" t="s">
        <v>539</v>
      </c>
      <c r="AJ225" s="79" t="s">
        <v>539</v>
      </c>
      <c r="AK225" s="80">
        <v>46023</v>
      </c>
      <c r="AL225" s="80">
        <v>46387</v>
      </c>
      <c r="AM225" s="79"/>
      <c r="AN225" s="79"/>
      <c r="AO225" s="79"/>
      <c r="AP225" s="74" t="s">
        <v>714</v>
      </c>
      <c r="AQ225" s="80" cm="1">
        <f t="array" ref="AQ225">IFERROR(DATE(2026, _xlfn.AGGREGATE(15, 6, (COLUMN(CI225:CT225)-COLUMN(CI225)+1)/(CI225:CT225&lt;&gt;0), 1), 1),"N/A")</f>
        <v>46054</v>
      </c>
      <c r="AR225" s="80" cm="1">
        <f t="array" ref="AR225">IFERROR(EOMONTH(DATE(2026, _xlfn.AGGREGATE(14, 6, (COLUMN(CI225:CT225)-COLUMN(CI225)+1)/(CI225:CT225&lt;&gt;0), 1), 1), 0),"N/A")</f>
        <v>46265</v>
      </c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398" t="s">
        <v>1006</v>
      </c>
      <c r="BG225" s="74"/>
      <c r="BH225" s="398" t="s">
        <v>727</v>
      </c>
      <c r="BI225" s="74" t="s">
        <v>1012</v>
      </c>
      <c r="BJ225" s="399">
        <v>730605</v>
      </c>
      <c r="BK225" s="400" t="s">
        <v>703</v>
      </c>
      <c r="BL225" s="401">
        <v>200000</v>
      </c>
      <c r="BM225" s="73">
        <v>0</v>
      </c>
      <c r="BN225" s="73">
        <v>0</v>
      </c>
      <c r="BO225" s="84">
        <v>200000</v>
      </c>
      <c r="BP225" s="73">
        <v>0</v>
      </c>
      <c r="BQ225" s="73">
        <v>0</v>
      </c>
      <c r="BR225" s="73">
        <v>0</v>
      </c>
      <c r="BS225" s="73">
        <v>0</v>
      </c>
      <c r="BT225" s="73">
        <v>0</v>
      </c>
      <c r="BU225" s="73">
        <v>0</v>
      </c>
      <c r="BV225" s="73">
        <v>0</v>
      </c>
      <c r="BW225" s="73">
        <v>0</v>
      </c>
      <c r="BX225" s="73">
        <v>0</v>
      </c>
      <c r="BY225" s="73">
        <v>42000</v>
      </c>
      <c r="BZ225" s="73"/>
      <c r="CA225" s="73"/>
      <c r="CB225" s="156"/>
      <c r="CC225" s="156"/>
      <c r="CD225" s="73"/>
      <c r="CE225" s="73"/>
      <c r="CF225" s="73"/>
      <c r="CG225" s="73"/>
      <c r="CH225" s="73">
        <f t="shared" si="6"/>
        <v>242000</v>
      </c>
      <c r="CI225" s="73"/>
      <c r="CJ225" s="73">
        <v>72600</v>
      </c>
      <c r="CK225" s="84"/>
      <c r="CL225" s="119"/>
      <c r="CM225" s="73">
        <v>0</v>
      </c>
      <c r="CN225" s="73">
        <v>0</v>
      </c>
      <c r="CO225" s="73">
        <v>0</v>
      </c>
      <c r="CP225" s="73">
        <v>169400</v>
      </c>
      <c r="CQ225" s="73">
        <v>0</v>
      </c>
      <c r="CR225" s="73">
        <v>0</v>
      </c>
      <c r="CS225" s="73">
        <v>0</v>
      </c>
      <c r="CT225" s="73">
        <v>0</v>
      </c>
      <c r="CU225" s="73"/>
      <c r="CV225" s="84">
        <f t="shared" si="7"/>
        <v>0</v>
      </c>
      <c r="CW225" s="84"/>
      <c r="CX225" s="74"/>
      <c r="CY225" s="74"/>
      <c r="CZ225" s="74"/>
      <c r="DA225" s="398"/>
      <c r="DB225" s="398"/>
      <c r="DC225" s="398"/>
      <c r="DD225" s="398"/>
    </row>
    <row r="226" spans="1:108" s="169" customFormat="1" ht="39.6" hidden="1" customHeight="1" x14ac:dyDescent="0.25">
      <c r="A226" s="167" t="s">
        <v>695</v>
      </c>
      <c r="B226" s="74" t="s">
        <v>154</v>
      </c>
      <c r="C226" s="74" t="s">
        <v>172</v>
      </c>
      <c r="D226" s="85" t="s">
        <v>196</v>
      </c>
      <c r="E226" s="166" t="s">
        <v>5</v>
      </c>
      <c r="F226" s="85" t="s">
        <v>551</v>
      </c>
      <c r="G226" s="74" t="s">
        <v>288</v>
      </c>
      <c r="H226" s="74" t="s">
        <v>552</v>
      </c>
      <c r="I226" s="74" t="s">
        <v>300</v>
      </c>
      <c r="J226" s="74" t="s">
        <v>529</v>
      </c>
      <c r="K226" s="82" t="s">
        <v>326</v>
      </c>
      <c r="L226" s="78" t="s">
        <v>559</v>
      </c>
      <c r="M226" s="78" t="s">
        <v>531</v>
      </c>
      <c r="N226" s="78" t="s">
        <v>7</v>
      </c>
      <c r="O226" s="97" t="s">
        <v>560</v>
      </c>
      <c r="P226" s="97" t="s">
        <v>561</v>
      </c>
      <c r="Q226" s="74" t="s">
        <v>766</v>
      </c>
      <c r="R226" s="74" t="s">
        <v>767</v>
      </c>
      <c r="S226" s="74" t="s">
        <v>768</v>
      </c>
      <c r="T226" s="74" t="s">
        <v>320</v>
      </c>
      <c r="U226" s="75"/>
      <c r="V226" s="75"/>
      <c r="W226" s="75">
        <v>0.05</v>
      </c>
      <c r="X226" s="75"/>
      <c r="Y226" s="75"/>
      <c r="Z226" s="75">
        <v>0.05</v>
      </c>
      <c r="AA226" s="75"/>
      <c r="AB226" s="75"/>
      <c r="AC226" s="75">
        <v>0.05</v>
      </c>
      <c r="AD226" s="75"/>
      <c r="AE226" s="75"/>
      <c r="AF226" s="75">
        <v>0.05</v>
      </c>
      <c r="AG226" s="74" t="s">
        <v>774</v>
      </c>
      <c r="AH226" s="74" t="s">
        <v>531</v>
      </c>
      <c r="AI226" s="78" t="s">
        <v>539</v>
      </c>
      <c r="AJ226" s="79" t="s">
        <v>539</v>
      </c>
      <c r="AK226" s="80">
        <v>46023</v>
      </c>
      <c r="AL226" s="80">
        <v>46387</v>
      </c>
      <c r="AM226" s="79"/>
      <c r="AN226" s="79"/>
      <c r="AO226" s="79"/>
      <c r="AP226" s="103" t="s">
        <v>775</v>
      </c>
      <c r="AQ226" s="80" cm="1">
        <f t="array" ref="AQ226">IFERROR(DATE(2026, _xlfn.AGGREGATE(15, 6, (COLUMN(CI226:CT226)-COLUMN(CI226)+1)/(CI226:CT226&lt;&gt;0), 1), 1),"N/A")</f>
        <v>46174</v>
      </c>
      <c r="AR226" s="80" cm="1">
        <f t="array" ref="AR226">IFERROR(EOMONTH(DATE(2026, _xlfn.AGGREGATE(14, 6, (COLUMN(CI226:CT226)-COLUMN(CI226)+1)/(CI226:CT226&lt;&gt;0), 1), 1), 0),"N/A")</f>
        <v>46387</v>
      </c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167" t="s">
        <v>685</v>
      </c>
      <c r="BG226" s="74"/>
      <c r="BH226" s="74" t="s">
        <v>728</v>
      </c>
      <c r="BI226" s="74" t="s">
        <v>1011</v>
      </c>
      <c r="BJ226" s="78">
        <v>730207</v>
      </c>
      <c r="BK226" s="82" t="s">
        <v>703</v>
      </c>
      <c r="BL226" s="83">
        <v>302000</v>
      </c>
      <c r="BM226" s="73">
        <v>0</v>
      </c>
      <c r="BN226" s="73">
        <v>0</v>
      </c>
      <c r="BO226" s="73">
        <v>0</v>
      </c>
      <c r="BP226" s="73">
        <v>0</v>
      </c>
      <c r="BQ226" s="73">
        <v>0</v>
      </c>
      <c r="BR226" s="73">
        <v>0</v>
      </c>
      <c r="BS226" s="84">
        <v>151000</v>
      </c>
      <c r="BT226" s="73">
        <v>0</v>
      </c>
      <c r="BU226" s="73">
        <v>0</v>
      </c>
      <c r="BV226" s="73">
        <v>0</v>
      </c>
      <c r="BW226" s="73">
        <v>0</v>
      </c>
      <c r="BX226" s="84">
        <v>151000</v>
      </c>
      <c r="BY226" s="84">
        <v>-67200</v>
      </c>
      <c r="BZ226" s="84"/>
      <c r="CA226" s="84"/>
      <c r="CB226" s="157"/>
      <c r="CC226" s="157"/>
      <c r="CD226" s="84"/>
      <c r="CE226" s="84"/>
      <c r="CF226" s="84"/>
      <c r="CG226" s="84"/>
      <c r="CH226" s="168">
        <f t="shared" si="6"/>
        <v>234800</v>
      </c>
      <c r="CI226" s="73"/>
      <c r="CJ226" s="73"/>
      <c r="CK226" s="72">
        <v>0</v>
      </c>
      <c r="CL226" s="73">
        <v>0</v>
      </c>
      <c r="CM226" s="73">
        <v>0</v>
      </c>
      <c r="CN226" s="73">
        <v>92400</v>
      </c>
      <c r="CO226" s="84">
        <v>0</v>
      </c>
      <c r="CP226" s="73">
        <v>0</v>
      </c>
      <c r="CQ226" s="73">
        <v>0</v>
      </c>
      <c r="CR226" s="73">
        <v>0</v>
      </c>
      <c r="CS226" s="73">
        <v>92400</v>
      </c>
      <c r="CT226" s="84">
        <v>50000</v>
      </c>
      <c r="CU226" s="84"/>
      <c r="CV226" s="84">
        <f t="shared" si="7"/>
        <v>0</v>
      </c>
      <c r="CW226" s="136" t="s">
        <v>1231</v>
      </c>
      <c r="CX226" s="74"/>
      <c r="CY226" s="85" t="s">
        <v>1264</v>
      </c>
      <c r="CZ226" s="85" t="s">
        <v>1274</v>
      </c>
      <c r="DA226" s="167" t="s">
        <v>1235</v>
      </c>
      <c r="DB226" s="166"/>
      <c r="DC226" s="166"/>
      <c r="DD226" s="166"/>
    </row>
    <row r="227" spans="1:108" s="169" customFormat="1" ht="33" hidden="1" customHeight="1" x14ac:dyDescent="0.25">
      <c r="A227" s="166" t="s">
        <v>692</v>
      </c>
      <c r="B227" s="74" t="s">
        <v>154</v>
      </c>
      <c r="C227" s="74" t="s">
        <v>172</v>
      </c>
      <c r="D227" s="85" t="s">
        <v>196</v>
      </c>
      <c r="E227" s="166" t="s">
        <v>5</v>
      </c>
      <c r="F227" s="85" t="s">
        <v>551</v>
      </c>
      <c r="G227" s="74" t="s">
        <v>288</v>
      </c>
      <c r="H227" s="74" t="s">
        <v>552</v>
      </c>
      <c r="I227" s="74" t="s">
        <v>300</v>
      </c>
      <c r="J227" s="74" t="s">
        <v>529</v>
      </c>
      <c r="K227" s="82" t="s">
        <v>326</v>
      </c>
      <c r="L227" s="78" t="s">
        <v>559</v>
      </c>
      <c r="M227" s="78" t="s">
        <v>531</v>
      </c>
      <c r="N227" s="78" t="s">
        <v>7</v>
      </c>
      <c r="O227" s="97" t="s">
        <v>560</v>
      </c>
      <c r="P227" s="78" t="s">
        <v>562</v>
      </c>
      <c r="Q227" s="74" t="s">
        <v>769</v>
      </c>
      <c r="R227" s="74" t="s">
        <v>770</v>
      </c>
      <c r="S227" s="74" t="s">
        <v>771</v>
      </c>
      <c r="T227" s="74" t="s">
        <v>2</v>
      </c>
      <c r="U227" s="75">
        <v>0</v>
      </c>
      <c r="V227" s="75">
        <v>0</v>
      </c>
      <c r="W227" s="75">
        <v>0.2</v>
      </c>
      <c r="X227" s="75">
        <v>0.2</v>
      </c>
      <c r="Y227" s="75">
        <v>0.2</v>
      </c>
      <c r="Z227" s="75">
        <v>0.4</v>
      </c>
      <c r="AA227" s="75">
        <v>0.4</v>
      </c>
      <c r="AB227" s="75">
        <v>0.4</v>
      </c>
      <c r="AC227" s="75">
        <v>0.7</v>
      </c>
      <c r="AD227" s="75">
        <v>0.7</v>
      </c>
      <c r="AE227" s="75">
        <v>0.7</v>
      </c>
      <c r="AF227" s="75">
        <v>1</v>
      </c>
      <c r="AG227" s="74" t="s">
        <v>538</v>
      </c>
      <c r="AH227" s="74" t="s">
        <v>530</v>
      </c>
      <c r="AI227" s="78" t="s">
        <v>539</v>
      </c>
      <c r="AJ227" s="79" t="s">
        <v>539</v>
      </c>
      <c r="AK227" s="80">
        <v>46174</v>
      </c>
      <c r="AL227" s="80">
        <v>46326</v>
      </c>
      <c r="AM227" s="79"/>
      <c r="AN227" s="79"/>
      <c r="AO227" s="79"/>
      <c r="AP227" s="103" t="s">
        <v>548</v>
      </c>
      <c r="AQ227" s="80" cm="1">
        <f t="array" ref="AQ227">IFERROR(DATE(2026, _xlfn.AGGREGATE(15, 6, (COLUMN(CI227:CT227)-COLUMN(CI227)+1)/(CI227:CT227&lt;&gt;0), 1), 1),"N/A")</f>
        <v>46113</v>
      </c>
      <c r="AR227" s="80" cm="1">
        <f t="array" ref="AR227">IFERROR(EOMONTH(DATE(2026, _xlfn.AGGREGATE(14, 6, (COLUMN(CI227:CT227)-COLUMN(CI227)+1)/(CI227:CT227&lt;&gt;0), 1), 1), 0),"N/A")</f>
        <v>46265</v>
      </c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167" t="s">
        <v>683</v>
      </c>
      <c r="BG227" s="74"/>
      <c r="BH227" s="74" t="s">
        <v>941</v>
      </c>
      <c r="BI227" s="74" t="s">
        <v>1013</v>
      </c>
      <c r="BJ227" s="78">
        <v>730425</v>
      </c>
      <c r="BK227" s="82" t="s">
        <v>703</v>
      </c>
      <c r="BL227" s="83">
        <v>140000</v>
      </c>
      <c r="BM227" s="73">
        <v>0</v>
      </c>
      <c r="BN227" s="73">
        <v>0</v>
      </c>
      <c r="BO227" s="73">
        <v>0</v>
      </c>
      <c r="BP227" s="73">
        <v>0</v>
      </c>
      <c r="BQ227" s="73">
        <v>0</v>
      </c>
      <c r="BR227" s="73">
        <v>0</v>
      </c>
      <c r="BS227" s="73">
        <v>0</v>
      </c>
      <c r="BT227" s="84">
        <v>50000</v>
      </c>
      <c r="BU227" s="84">
        <v>50000</v>
      </c>
      <c r="BV227" s="84">
        <v>40000</v>
      </c>
      <c r="BW227" s="73">
        <v>0</v>
      </c>
      <c r="BX227" s="73">
        <v>0</v>
      </c>
      <c r="BY227" s="73">
        <v>7000</v>
      </c>
      <c r="BZ227" s="73"/>
      <c r="CA227" s="73">
        <v>-12000</v>
      </c>
      <c r="CB227" s="156"/>
      <c r="CC227" s="156"/>
      <c r="CD227" s="73"/>
      <c r="CE227" s="73"/>
      <c r="CF227" s="73"/>
      <c r="CG227" s="73"/>
      <c r="CH227" s="168">
        <f t="shared" si="6"/>
        <v>135000</v>
      </c>
      <c r="CI227" s="73"/>
      <c r="CJ227" s="73"/>
      <c r="CK227" s="73">
        <v>0</v>
      </c>
      <c r="CL227" s="73">
        <v>51570</v>
      </c>
      <c r="CM227" s="73">
        <v>0</v>
      </c>
      <c r="CN227" s="73">
        <v>22900</v>
      </c>
      <c r="CO227" s="73">
        <v>0</v>
      </c>
      <c r="CP227" s="84">
        <v>60530</v>
      </c>
      <c r="CQ227" s="84">
        <v>0</v>
      </c>
      <c r="CR227" s="84"/>
      <c r="CS227" s="73">
        <v>0</v>
      </c>
      <c r="CT227" s="73">
        <v>0</v>
      </c>
      <c r="CU227" s="73"/>
      <c r="CV227" s="84">
        <f t="shared" si="7"/>
        <v>0</v>
      </c>
      <c r="CW227" s="84"/>
      <c r="CX227" s="74" t="s">
        <v>1235</v>
      </c>
      <c r="CY227" s="74"/>
      <c r="CZ227" s="166" t="s">
        <v>1284</v>
      </c>
      <c r="DA227" s="166" t="s">
        <v>1235</v>
      </c>
      <c r="DB227" s="166"/>
      <c r="DC227" s="166"/>
      <c r="DD227" s="166"/>
    </row>
    <row r="228" spans="1:108" s="68" customFormat="1" ht="248.45" hidden="1" customHeight="1" x14ac:dyDescent="0.25">
      <c r="A228" s="85" t="s">
        <v>695</v>
      </c>
      <c r="B228" s="74" t="s">
        <v>154</v>
      </c>
      <c r="C228" s="74" t="s">
        <v>172</v>
      </c>
      <c r="D228" s="85" t="s">
        <v>196</v>
      </c>
      <c r="E228" s="74" t="s">
        <v>309</v>
      </c>
      <c r="F228" s="74" t="s">
        <v>550</v>
      </c>
      <c r="G228" s="74" t="s">
        <v>137</v>
      </c>
      <c r="H228" s="74" t="s">
        <v>137</v>
      </c>
      <c r="I228" s="74" t="s">
        <v>66</v>
      </c>
      <c r="J228" s="74" t="s">
        <v>532</v>
      </c>
      <c r="K228" s="82" t="s">
        <v>137</v>
      </c>
      <c r="L228" s="82" t="s">
        <v>137</v>
      </c>
      <c r="M228" s="82" t="s">
        <v>137</v>
      </c>
      <c r="N228" s="82" t="s">
        <v>137</v>
      </c>
      <c r="O228" s="82" t="s">
        <v>137</v>
      </c>
      <c r="P228" s="82" t="s">
        <v>137</v>
      </c>
      <c r="Q228" s="74" t="s">
        <v>553</v>
      </c>
      <c r="R228" s="74" t="s">
        <v>710</v>
      </c>
      <c r="S228" s="74" t="s">
        <v>556</v>
      </c>
      <c r="T228" s="74" t="s">
        <v>320</v>
      </c>
      <c r="U228" s="75">
        <v>0.95</v>
      </c>
      <c r="V228" s="75">
        <v>0.95</v>
      </c>
      <c r="W228" s="75">
        <v>0.95</v>
      </c>
      <c r="X228" s="75">
        <v>0.95</v>
      </c>
      <c r="Y228" s="75">
        <v>0.95</v>
      </c>
      <c r="Z228" s="75">
        <v>0.95</v>
      </c>
      <c r="AA228" s="75">
        <v>0.95</v>
      </c>
      <c r="AB228" s="75">
        <v>0.95</v>
      </c>
      <c r="AC228" s="75">
        <v>0.95</v>
      </c>
      <c r="AD228" s="75">
        <v>0.95</v>
      </c>
      <c r="AE228" s="75">
        <v>0.95</v>
      </c>
      <c r="AF228" s="75">
        <v>0.95</v>
      </c>
      <c r="AG228" s="74" t="s">
        <v>773</v>
      </c>
      <c r="AH228" s="74" t="s">
        <v>531</v>
      </c>
      <c r="AI228" s="78" t="s">
        <v>539</v>
      </c>
      <c r="AJ228" s="79" t="s">
        <v>539</v>
      </c>
      <c r="AK228" s="80">
        <v>46023</v>
      </c>
      <c r="AL228" s="80">
        <v>46387</v>
      </c>
      <c r="AM228" s="79"/>
      <c r="AN228" s="79"/>
      <c r="AO228" s="79"/>
      <c r="AP228" s="81" t="s">
        <v>543</v>
      </c>
      <c r="AQ228" s="80" cm="1">
        <f t="array" ref="AQ228">IFERROR(DATE(2026, _xlfn.AGGREGATE(15, 6, (COLUMN(CI228:CT228)-COLUMN(CI228)+1)/(CI228:CT228&lt;&gt;0), 1), 1),"N/A")</f>
        <v>46113</v>
      </c>
      <c r="AR228" s="80" cm="1">
        <f t="array" ref="AR228">IFERROR(EOMONTH(DATE(2026, _xlfn.AGGREGATE(14, 6, (COLUMN(CI228:CT228)-COLUMN(CI228)+1)/(CI228:CT228&lt;&gt;0), 1), 1), 0),"N/A")</f>
        <v>46234</v>
      </c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85" t="s">
        <v>643</v>
      </c>
      <c r="BG228" s="74"/>
      <c r="BH228" s="74" t="s">
        <v>734</v>
      </c>
      <c r="BI228" s="74" t="s">
        <v>1011</v>
      </c>
      <c r="BJ228" s="78">
        <v>530207</v>
      </c>
      <c r="BK228" s="82" t="s">
        <v>74</v>
      </c>
      <c r="BL228" s="83">
        <v>100000</v>
      </c>
      <c r="BM228" s="73">
        <v>0</v>
      </c>
      <c r="BN228" s="73">
        <v>0</v>
      </c>
      <c r="BO228" s="84">
        <v>20000</v>
      </c>
      <c r="BP228" s="73">
        <v>0</v>
      </c>
      <c r="BQ228" s="84">
        <v>50000</v>
      </c>
      <c r="BR228" s="84">
        <v>30000</v>
      </c>
      <c r="BS228" s="73">
        <v>0</v>
      </c>
      <c r="BT228" s="73">
        <v>0</v>
      </c>
      <c r="BU228" s="73">
        <v>0</v>
      </c>
      <c r="BV228" s="73">
        <v>0</v>
      </c>
      <c r="BW228" s="73">
        <v>0</v>
      </c>
      <c r="BX228" s="73">
        <v>0</v>
      </c>
      <c r="BY228" s="73"/>
      <c r="BZ228" s="73"/>
      <c r="CA228" s="73"/>
      <c r="CB228" s="73"/>
      <c r="CC228" s="73"/>
      <c r="CD228" s="73"/>
      <c r="CE228" s="73"/>
      <c r="CF228" s="73"/>
      <c r="CG228" s="73"/>
      <c r="CH228" s="73">
        <f t="shared" si="6"/>
        <v>100000</v>
      </c>
      <c r="CI228" s="73"/>
      <c r="CJ228" s="73"/>
      <c r="CK228" s="102">
        <v>0</v>
      </c>
      <c r="CL228" s="73">
        <v>51471.62</v>
      </c>
      <c r="CM228" s="73">
        <v>0</v>
      </c>
      <c r="CN228" s="73">
        <v>0</v>
      </c>
      <c r="CO228" s="73">
        <v>48528.38</v>
      </c>
      <c r="CP228" s="73">
        <v>0</v>
      </c>
      <c r="CQ228" s="73">
        <v>0</v>
      </c>
      <c r="CR228" s="73">
        <v>0</v>
      </c>
      <c r="CS228" s="73">
        <v>0</v>
      </c>
      <c r="CT228" s="73">
        <v>0</v>
      </c>
      <c r="CU228" s="73"/>
      <c r="CV228" s="84">
        <f t="shared" si="7"/>
        <v>0</v>
      </c>
      <c r="CW228" s="136" t="s">
        <v>1231</v>
      </c>
      <c r="CX228" s="74"/>
      <c r="CY228" s="85" t="s">
        <v>1265</v>
      </c>
      <c r="CZ228" s="85" t="s">
        <v>1265</v>
      </c>
      <c r="DA228" s="85" t="s">
        <v>1357</v>
      </c>
      <c r="DB228" s="74" t="s">
        <v>1358</v>
      </c>
      <c r="DC228" s="74" t="s">
        <v>1359</v>
      </c>
      <c r="DD228" s="85" t="s">
        <v>1360</v>
      </c>
    </row>
    <row r="229" spans="1:108" s="68" customFormat="1" ht="15" hidden="1" customHeight="1" x14ac:dyDescent="0.25">
      <c r="A229" s="161" t="s">
        <v>693</v>
      </c>
      <c r="B229" s="74" t="s">
        <v>154</v>
      </c>
      <c r="C229" s="74" t="s">
        <v>172</v>
      </c>
      <c r="D229" s="85" t="s">
        <v>196</v>
      </c>
      <c r="E229" s="74" t="s">
        <v>309</v>
      </c>
      <c r="F229" s="74" t="s">
        <v>550</v>
      </c>
      <c r="G229" s="74" t="s">
        <v>137</v>
      </c>
      <c r="H229" s="74" t="s">
        <v>137</v>
      </c>
      <c r="I229" s="74" t="s">
        <v>66</v>
      </c>
      <c r="J229" s="74" t="s">
        <v>532</v>
      </c>
      <c r="K229" s="82" t="s">
        <v>137</v>
      </c>
      <c r="L229" s="82" t="s">
        <v>137</v>
      </c>
      <c r="M229" s="82" t="s">
        <v>137</v>
      </c>
      <c r="N229" s="82" t="s">
        <v>137</v>
      </c>
      <c r="O229" s="82" t="s">
        <v>137</v>
      </c>
      <c r="P229" s="82" t="s">
        <v>137</v>
      </c>
      <c r="Q229" s="74" t="s">
        <v>553</v>
      </c>
      <c r="R229" s="74" t="s">
        <v>710</v>
      </c>
      <c r="S229" s="74" t="s">
        <v>556</v>
      </c>
      <c r="T229" s="74" t="s">
        <v>320</v>
      </c>
      <c r="U229" s="75">
        <v>0.95</v>
      </c>
      <c r="V229" s="75">
        <v>0.95</v>
      </c>
      <c r="W229" s="75">
        <v>0.95</v>
      </c>
      <c r="X229" s="75">
        <v>0.95</v>
      </c>
      <c r="Y229" s="75">
        <v>0.95</v>
      </c>
      <c r="Z229" s="75">
        <v>0.95</v>
      </c>
      <c r="AA229" s="75">
        <v>0.95</v>
      </c>
      <c r="AB229" s="75">
        <v>0.95</v>
      </c>
      <c r="AC229" s="75">
        <v>0.95</v>
      </c>
      <c r="AD229" s="75">
        <v>0.95</v>
      </c>
      <c r="AE229" s="75">
        <v>0.95</v>
      </c>
      <c r="AF229" s="75">
        <v>0.95</v>
      </c>
      <c r="AG229" s="74" t="s">
        <v>773</v>
      </c>
      <c r="AH229" s="74" t="s">
        <v>531</v>
      </c>
      <c r="AI229" s="78" t="s">
        <v>539</v>
      </c>
      <c r="AJ229" s="79" t="s">
        <v>539</v>
      </c>
      <c r="AK229" s="80">
        <v>46023</v>
      </c>
      <c r="AL229" s="80">
        <v>46387</v>
      </c>
      <c r="AM229" s="79"/>
      <c r="AN229" s="79"/>
      <c r="AO229" s="79"/>
      <c r="AP229" s="81" t="s">
        <v>543</v>
      </c>
      <c r="AQ229" s="80" cm="1">
        <f t="array" ref="AQ229">IFERROR(DATE(2026, _xlfn.AGGREGATE(15, 6, (COLUMN(CI229:CT229)-COLUMN(CI229)+1)/(CI229:CT229&lt;&gt;0), 1), 1),"N/A")</f>
        <v>46113</v>
      </c>
      <c r="AR229" s="80" cm="1">
        <f t="array" ref="AR229">IFERROR(EOMONTH(DATE(2026, _xlfn.AGGREGATE(14, 6, (COLUMN(CI229:CT229)-COLUMN(CI229)+1)/(CI229:CT229&lt;&gt;0), 1), 1), 0),"N/A")</f>
        <v>46234</v>
      </c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4" t="s">
        <v>643</v>
      </c>
      <c r="BG229" s="74"/>
      <c r="BH229" s="74" t="s">
        <v>735</v>
      </c>
      <c r="BI229" s="74" t="s">
        <v>1011</v>
      </c>
      <c r="BJ229" s="78">
        <v>530207</v>
      </c>
      <c r="BK229" s="82" t="s">
        <v>74</v>
      </c>
      <c r="BL229" s="83">
        <v>10000</v>
      </c>
      <c r="BM229" s="73">
        <v>0</v>
      </c>
      <c r="BN229" s="73">
        <v>0</v>
      </c>
      <c r="BO229" s="84">
        <v>5000</v>
      </c>
      <c r="BP229" s="72">
        <v>5000</v>
      </c>
      <c r="BQ229" s="73">
        <v>0</v>
      </c>
      <c r="BR229" s="73">
        <v>0</v>
      </c>
      <c r="BS229" s="73">
        <v>0</v>
      </c>
      <c r="BT229" s="73">
        <v>0</v>
      </c>
      <c r="BU229" s="73">
        <v>0</v>
      </c>
      <c r="BV229" s="73">
        <v>0</v>
      </c>
      <c r="BW229" s="73">
        <v>0</v>
      </c>
      <c r="BX229" s="73">
        <v>0</v>
      </c>
      <c r="BY229" s="73"/>
      <c r="BZ229" s="73"/>
      <c r="CA229" s="73"/>
      <c r="CB229" s="73"/>
      <c r="CC229" s="73"/>
      <c r="CD229" s="73"/>
      <c r="CE229" s="73"/>
      <c r="CF229" s="73"/>
      <c r="CG229" s="73"/>
      <c r="CH229" s="73">
        <f t="shared" si="6"/>
        <v>10000</v>
      </c>
      <c r="CI229" s="73"/>
      <c r="CJ229" s="73"/>
      <c r="CK229" s="84"/>
      <c r="CL229" s="72">
        <v>3640.1</v>
      </c>
      <c r="CM229" s="73">
        <v>0</v>
      </c>
      <c r="CN229" s="73">
        <v>6138</v>
      </c>
      <c r="CO229" s="73">
        <v>221.9</v>
      </c>
      <c r="CP229" s="73">
        <v>0</v>
      </c>
      <c r="CQ229" s="73">
        <v>0</v>
      </c>
      <c r="CR229" s="73">
        <v>0</v>
      </c>
      <c r="CS229" s="73">
        <v>0</v>
      </c>
      <c r="CT229" s="73">
        <v>0</v>
      </c>
      <c r="CU229" s="73"/>
      <c r="CV229" s="84">
        <f t="shared" si="7"/>
        <v>0</v>
      </c>
      <c r="CW229" s="84" t="s">
        <v>1231</v>
      </c>
      <c r="CX229" s="74"/>
      <c r="CY229" s="74"/>
      <c r="CZ229" s="74"/>
      <c r="DA229" s="74" t="s">
        <v>1235</v>
      </c>
      <c r="DB229" s="74"/>
      <c r="DC229" s="74"/>
      <c r="DD229" s="74"/>
    </row>
    <row r="230" spans="1:108" s="169" customFormat="1" ht="22.9" hidden="1" customHeight="1" x14ac:dyDescent="0.25">
      <c r="A230" s="167" t="s">
        <v>695</v>
      </c>
      <c r="B230" s="74" t="s">
        <v>154</v>
      </c>
      <c r="C230" s="74" t="s">
        <v>172</v>
      </c>
      <c r="D230" s="85" t="s">
        <v>196</v>
      </c>
      <c r="E230" s="166" t="s">
        <v>309</v>
      </c>
      <c r="F230" s="74" t="s">
        <v>550</v>
      </c>
      <c r="G230" s="74" t="s">
        <v>137</v>
      </c>
      <c r="H230" s="74" t="s">
        <v>137</v>
      </c>
      <c r="I230" s="74" t="s">
        <v>66</v>
      </c>
      <c r="J230" s="74" t="s">
        <v>532</v>
      </c>
      <c r="K230" s="82" t="s">
        <v>137</v>
      </c>
      <c r="L230" s="82" t="s">
        <v>137</v>
      </c>
      <c r="M230" s="82" t="s">
        <v>137</v>
      </c>
      <c r="N230" s="82" t="s">
        <v>137</v>
      </c>
      <c r="O230" s="82" t="s">
        <v>137</v>
      </c>
      <c r="P230" s="82" t="s">
        <v>137</v>
      </c>
      <c r="Q230" s="74" t="s">
        <v>553</v>
      </c>
      <c r="R230" s="74" t="s">
        <v>710</v>
      </c>
      <c r="S230" s="74" t="s">
        <v>556</v>
      </c>
      <c r="T230" s="74" t="s">
        <v>320</v>
      </c>
      <c r="U230" s="75">
        <v>0.95</v>
      </c>
      <c r="V230" s="75">
        <v>0.95</v>
      </c>
      <c r="W230" s="75">
        <v>0.95</v>
      </c>
      <c r="X230" s="75">
        <v>0.95</v>
      </c>
      <c r="Y230" s="75">
        <v>0.95</v>
      </c>
      <c r="Z230" s="75">
        <v>0.95</v>
      </c>
      <c r="AA230" s="75">
        <v>0.95</v>
      </c>
      <c r="AB230" s="75">
        <v>0.95</v>
      </c>
      <c r="AC230" s="75">
        <v>0.95</v>
      </c>
      <c r="AD230" s="75">
        <v>0.95</v>
      </c>
      <c r="AE230" s="75">
        <v>0.95</v>
      </c>
      <c r="AF230" s="75">
        <v>0.95</v>
      </c>
      <c r="AG230" s="74" t="s">
        <v>534</v>
      </c>
      <c r="AH230" s="74" t="s">
        <v>530</v>
      </c>
      <c r="AI230" s="78" t="s">
        <v>539</v>
      </c>
      <c r="AJ230" s="79" t="s">
        <v>539</v>
      </c>
      <c r="AK230" s="80">
        <v>46023</v>
      </c>
      <c r="AL230" s="80">
        <v>46387</v>
      </c>
      <c r="AM230" s="79"/>
      <c r="AN230" s="79"/>
      <c r="AO230" s="79"/>
      <c r="AP230" s="81" t="s">
        <v>543</v>
      </c>
      <c r="AQ230" s="80" cm="1">
        <f t="array" ref="AQ230">IFERROR(DATE(2026, _xlfn.AGGREGATE(15, 6, (COLUMN(CI230:CT230)-COLUMN(CI230)+1)/(CI230:CT230&lt;&gt;0), 1), 1),"N/A")</f>
        <v>46296</v>
      </c>
      <c r="AR230" s="80" cm="1">
        <f t="array" ref="AR230">IFERROR(EOMONTH(DATE(2026, _xlfn.AGGREGATE(14, 6, (COLUMN(CI230:CT230)-COLUMN(CI230)+1)/(CI230:CT230&lt;&gt;0), 1), 1), 0),"N/A")</f>
        <v>46387</v>
      </c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167" t="s">
        <v>677</v>
      </c>
      <c r="BG230" s="74"/>
      <c r="BH230" s="74" t="s">
        <v>918</v>
      </c>
      <c r="BI230" s="74" t="s">
        <v>1011</v>
      </c>
      <c r="BJ230" s="78">
        <v>630207</v>
      </c>
      <c r="BK230" s="82" t="s">
        <v>74</v>
      </c>
      <c r="BL230" s="83">
        <f>80000-12500</f>
        <v>67500</v>
      </c>
      <c r="BM230" s="73">
        <v>0</v>
      </c>
      <c r="BN230" s="73">
        <v>0</v>
      </c>
      <c r="BO230" s="73">
        <v>0</v>
      </c>
      <c r="BP230" s="73">
        <v>0</v>
      </c>
      <c r="BQ230" s="73">
        <v>0</v>
      </c>
      <c r="BR230" s="73">
        <v>0</v>
      </c>
      <c r="BS230" s="73">
        <v>0</v>
      </c>
      <c r="BT230" s="84">
        <v>0</v>
      </c>
      <c r="BU230" s="84">
        <v>27500</v>
      </c>
      <c r="BV230" s="73">
        <v>0</v>
      </c>
      <c r="BW230" s="73">
        <v>0</v>
      </c>
      <c r="BX230" s="84">
        <v>40000</v>
      </c>
      <c r="BY230" s="84">
        <v>-67500</v>
      </c>
      <c r="BZ230" s="84"/>
      <c r="CA230" s="84"/>
      <c r="CB230" s="84"/>
      <c r="CC230" s="84">
        <v>60000</v>
      </c>
      <c r="CD230" s="84"/>
      <c r="CE230" s="84"/>
      <c r="CF230" s="84"/>
      <c r="CG230" s="84"/>
      <c r="CH230" s="168">
        <f t="shared" si="6"/>
        <v>60000</v>
      </c>
      <c r="CI230" s="73"/>
      <c r="CJ230" s="73"/>
      <c r="CK230" s="72">
        <v>0</v>
      </c>
      <c r="CL230" s="73">
        <v>0</v>
      </c>
      <c r="CM230" s="73">
        <v>0</v>
      </c>
      <c r="CN230" s="73">
        <v>0</v>
      </c>
      <c r="CO230" s="73">
        <v>0</v>
      </c>
      <c r="CP230" s="84"/>
      <c r="CQ230" s="84"/>
      <c r="CR230" s="73">
        <v>10000</v>
      </c>
      <c r="CS230" s="73">
        <v>10000</v>
      </c>
      <c r="CT230" s="84">
        <v>40000</v>
      </c>
      <c r="CU230" s="84"/>
      <c r="CV230" s="84">
        <f t="shared" si="7"/>
        <v>0</v>
      </c>
      <c r="CW230" s="137" t="s">
        <v>1230</v>
      </c>
      <c r="CX230" s="160" t="s">
        <v>1275</v>
      </c>
      <c r="CY230" s="160"/>
      <c r="CZ230" s="160" t="s">
        <v>1298</v>
      </c>
      <c r="DA230" s="172" t="s">
        <v>1235</v>
      </c>
      <c r="DB230" s="166"/>
      <c r="DC230" s="166"/>
      <c r="DD230" s="166"/>
    </row>
    <row r="231" spans="1:108" s="68" customFormat="1" ht="240" hidden="1" x14ac:dyDescent="0.25">
      <c r="A231" s="74" t="s">
        <v>699</v>
      </c>
      <c r="B231" s="74" t="s">
        <v>154</v>
      </c>
      <c r="C231" s="74" t="s">
        <v>172</v>
      </c>
      <c r="D231" s="85" t="s">
        <v>196</v>
      </c>
      <c r="E231" s="74" t="s">
        <v>309</v>
      </c>
      <c r="F231" s="74" t="s">
        <v>550</v>
      </c>
      <c r="G231" s="74" t="s">
        <v>137</v>
      </c>
      <c r="H231" s="74" t="s">
        <v>137</v>
      </c>
      <c r="I231" s="74" t="s">
        <v>66</v>
      </c>
      <c r="J231" s="74" t="s">
        <v>532</v>
      </c>
      <c r="K231" s="82" t="s">
        <v>137</v>
      </c>
      <c r="L231" s="82" t="s">
        <v>137</v>
      </c>
      <c r="M231" s="82" t="s">
        <v>137</v>
      </c>
      <c r="N231" s="82" t="s">
        <v>137</v>
      </c>
      <c r="O231" s="82" t="s">
        <v>137</v>
      </c>
      <c r="P231" s="82" t="s">
        <v>137</v>
      </c>
      <c r="Q231" s="74" t="s">
        <v>553</v>
      </c>
      <c r="R231" s="74" t="s">
        <v>710</v>
      </c>
      <c r="S231" s="74" t="s">
        <v>556</v>
      </c>
      <c r="T231" s="74" t="s">
        <v>320</v>
      </c>
      <c r="U231" s="75">
        <v>0.95</v>
      </c>
      <c r="V231" s="75">
        <v>0.95</v>
      </c>
      <c r="W231" s="75">
        <v>0.95</v>
      </c>
      <c r="X231" s="75">
        <v>0.95</v>
      </c>
      <c r="Y231" s="75">
        <v>0.95</v>
      </c>
      <c r="Z231" s="75">
        <v>0.95</v>
      </c>
      <c r="AA231" s="75">
        <v>0.95</v>
      </c>
      <c r="AB231" s="75">
        <v>0.95</v>
      </c>
      <c r="AC231" s="75">
        <v>0.95</v>
      </c>
      <c r="AD231" s="75">
        <v>0.95</v>
      </c>
      <c r="AE231" s="75">
        <v>0.95</v>
      </c>
      <c r="AF231" s="75">
        <v>0.95</v>
      </c>
      <c r="AG231" s="74" t="s">
        <v>534</v>
      </c>
      <c r="AH231" s="74" t="s">
        <v>530</v>
      </c>
      <c r="AI231" s="78" t="s">
        <v>539</v>
      </c>
      <c r="AJ231" s="79" t="s">
        <v>539</v>
      </c>
      <c r="AK231" s="80">
        <v>46023</v>
      </c>
      <c r="AL231" s="80">
        <v>46387</v>
      </c>
      <c r="AM231" s="79"/>
      <c r="AN231" s="79"/>
      <c r="AO231" s="79"/>
      <c r="AP231" s="81" t="s">
        <v>543</v>
      </c>
      <c r="AQ231" s="80" cm="1">
        <f t="array" ref="AQ231">IFERROR(DATE(2026, _xlfn.AGGREGATE(15, 6, (COLUMN(CI231:CT231)-COLUMN(CI231)+1)/(CI231:CT231&lt;&gt;0), 1), 1),"N/A")</f>
        <v>46357</v>
      </c>
      <c r="AR231" s="80" cm="1">
        <f t="array" ref="AR231">IFERROR(EOMONTH(DATE(2026, _xlfn.AGGREGATE(14, 6, (COLUMN(CI231:CT231)-COLUMN(CI231)+1)/(CI231:CT231&lt;&gt;0), 1), 1), 0),"N/A")</f>
        <v>46387</v>
      </c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85" t="s">
        <v>677</v>
      </c>
      <c r="BG231" s="74"/>
      <c r="BH231" s="74" t="s">
        <v>1131</v>
      </c>
      <c r="BI231" s="74" t="s">
        <v>1011</v>
      </c>
      <c r="BJ231" s="78">
        <v>630207</v>
      </c>
      <c r="BK231" s="82" t="s">
        <v>74</v>
      </c>
      <c r="BL231" s="83">
        <v>20000</v>
      </c>
      <c r="BM231" s="73">
        <v>0</v>
      </c>
      <c r="BN231" s="73">
        <v>0</v>
      </c>
      <c r="BO231" s="73">
        <v>0</v>
      </c>
      <c r="BP231" s="73">
        <v>0</v>
      </c>
      <c r="BQ231" s="73">
        <v>0</v>
      </c>
      <c r="BR231" s="73">
        <v>0</v>
      </c>
      <c r="BS231" s="73">
        <v>0</v>
      </c>
      <c r="BT231" s="73">
        <v>0</v>
      </c>
      <c r="BU231" s="73">
        <v>0</v>
      </c>
      <c r="BV231" s="73">
        <v>0</v>
      </c>
      <c r="BW231" s="73">
        <v>20000</v>
      </c>
      <c r="BX231" s="73">
        <v>0</v>
      </c>
      <c r="BY231" s="73">
        <v>-20000</v>
      </c>
      <c r="BZ231" s="73"/>
      <c r="CA231" s="73"/>
      <c r="CB231" s="73"/>
      <c r="CC231" s="73">
        <v>20000</v>
      </c>
      <c r="CD231" s="73"/>
      <c r="CE231" s="73"/>
      <c r="CF231" s="73"/>
      <c r="CG231" s="73"/>
      <c r="CH231" s="73">
        <f t="shared" si="6"/>
        <v>20000</v>
      </c>
      <c r="CI231" s="73"/>
      <c r="CJ231" s="73"/>
      <c r="CK231" s="72">
        <v>0</v>
      </c>
      <c r="CL231" s="73">
        <v>0</v>
      </c>
      <c r="CM231" s="73">
        <v>0</v>
      </c>
      <c r="CN231" s="73">
        <v>0</v>
      </c>
      <c r="CO231" s="73">
        <v>0</v>
      </c>
      <c r="CP231" s="73">
        <v>0</v>
      </c>
      <c r="CQ231" s="73">
        <v>0</v>
      </c>
      <c r="CR231" s="73">
        <v>0</v>
      </c>
      <c r="CS231" s="73"/>
      <c r="CT231" s="73">
        <v>20000</v>
      </c>
      <c r="CU231" s="73"/>
      <c r="CV231" s="84">
        <f t="shared" si="7"/>
        <v>0</v>
      </c>
      <c r="CW231" s="137" t="s">
        <v>1230</v>
      </c>
      <c r="CX231" s="74"/>
      <c r="CY231" s="74"/>
      <c r="CZ231" s="74"/>
      <c r="DA231" s="85" t="s">
        <v>1357</v>
      </c>
      <c r="DB231" s="74" t="s">
        <v>1358</v>
      </c>
      <c r="DC231" s="74" t="s">
        <v>1359</v>
      </c>
      <c r="DD231" s="85" t="s">
        <v>1360</v>
      </c>
    </row>
    <row r="232" spans="1:108" s="68" customFormat="1" ht="240" hidden="1" x14ac:dyDescent="0.25">
      <c r="A232" s="161" t="s">
        <v>693</v>
      </c>
      <c r="B232" s="74" t="s">
        <v>154</v>
      </c>
      <c r="C232" s="74" t="s">
        <v>172</v>
      </c>
      <c r="D232" s="85" t="s">
        <v>196</v>
      </c>
      <c r="E232" s="74" t="s">
        <v>309</v>
      </c>
      <c r="F232" s="74" t="s">
        <v>550</v>
      </c>
      <c r="G232" s="74" t="s">
        <v>137</v>
      </c>
      <c r="H232" s="74" t="s">
        <v>137</v>
      </c>
      <c r="I232" s="74" t="s">
        <v>66</v>
      </c>
      <c r="J232" s="74" t="s">
        <v>532</v>
      </c>
      <c r="K232" s="82" t="s">
        <v>137</v>
      </c>
      <c r="L232" s="82" t="s">
        <v>137</v>
      </c>
      <c r="M232" s="82" t="s">
        <v>137</v>
      </c>
      <c r="N232" s="82" t="s">
        <v>137</v>
      </c>
      <c r="O232" s="82" t="s">
        <v>137</v>
      </c>
      <c r="P232" s="82" t="s">
        <v>137</v>
      </c>
      <c r="Q232" s="74" t="s">
        <v>553</v>
      </c>
      <c r="R232" s="74" t="s">
        <v>710</v>
      </c>
      <c r="S232" s="74" t="s">
        <v>556</v>
      </c>
      <c r="T232" s="74" t="s">
        <v>320</v>
      </c>
      <c r="U232" s="75">
        <v>0.95</v>
      </c>
      <c r="V232" s="75">
        <v>0.95</v>
      </c>
      <c r="W232" s="75">
        <v>0.95</v>
      </c>
      <c r="X232" s="75">
        <v>0.95</v>
      </c>
      <c r="Y232" s="75">
        <v>0.95</v>
      </c>
      <c r="Z232" s="75">
        <v>0.95</v>
      </c>
      <c r="AA232" s="75">
        <v>0.95</v>
      </c>
      <c r="AB232" s="75">
        <v>0.95</v>
      </c>
      <c r="AC232" s="75">
        <v>0.95</v>
      </c>
      <c r="AD232" s="75">
        <v>0.95</v>
      </c>
      <c r="AE232" s="75">
        <v>0.95</v>
      </c>
      <c r="AF232" s="75">
        <v>0.95</v>
      </c>
      <c r="AG232" s="74" t="s">
        <v>534</v>
      </c>
      <c r="AH232" s="74" t="s">
        <v>530</v>
      </c>
      <c r="AI232" s="78" t="s">
        <v>539</v>
      </c>
      <c r="AJ232" s="79" t="s">
        <v>539</v>
      </c>
      <c r="AK232" s="80">
        <v>46023</v>
      </c>
      <c r="AL232" s="80">
        <v>46387</v>
      </c>
      <c r="AM232" s="79"/>
      <c r="AN232" s="79"/>
      <c r="AO232" s="79"/>
      <c r="AP232" s="81" t="s">
        <v>543</v>
      </c>
      <c r="AQ232" s="80" cm="1">
        <f t="array" ref="AQ232">IFERROR(DATE(2026, _xlfn.AGGREGATE(15, 6, (COLUMN(CI232:CT232)-COLUMN(CI232)+1)/(CI232:CT232&lt;&gt;0), 1), 1),"N/A")</f>
        <v>46296</v>
      </c>
      <c r="AR232" s="80" cm="1">
        <f t="array" ref="AR232">IFERROR(EOMONTH(DATE(2026, _xlfn.AGGREGATE(14, 6, (COLUMN(CI232:CT232)-COLUMN(CI232)+1)/(CI232:CT232&lt;&gt;0), 1), 1), 0),"N/A")</f>
        <v>46387</v>
      </c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4" t="s">
        <v>677</v>
      </c>
      <c r="BG232" s="74"/>
      <c r="BH232" s="74" t="s">
        <v>917</v>
      </c>
      <c r="BI232" s="74" t="s">
        <v>1011</v>
      </c>
      <c r="BJ232" s="78">
        <v>630207</v>
      </c>
      <c r="BK232" s="82" t="s">
        <v>74</v>
      </c>
      <c r="BL232" s="83">
        <v>50000</v>
      </c>
      <c r="BM232" s="73">
        <v>0</v>
      </c>
      <c r="BN232" s="73">
        <v>0</v>
      </c>
      <c r="BO232" s="84">
        <v>5000</v>
      </c>
      <c r="BP232" s="72">
        <v>5000</v>
      </c>
      <c r="BQ232" s="73">
        <v>5000</v>
      </c>
      <c r="BR232" s="73">
        <v>5000</v>
      </c>
      <c r="BS232" s="73">
        <v>5000</v>
      </c>
      <c r="BT232" s="73">
        <v>5000</v>
      </c>
      <c r="BU232" s="73">
        <v>5000</v>
      </c>
      <c r="BV232" s="73">
        <v>5000</v>
      </c>
      <c r="BW232" s="73">
        <v>5000</v>
      </c>
      <c r="BX232" s="73">
        <v>5000</v>
      </c>
      <c r="BY232" s="73">
        <v>-50000</v>
      </c>
      <c r="BZ232" s="73"/>
      <c r="CA232" s="73"/>
      <c r="CB232" s="73"/>
      <c r="CC232" s="73">
        <v>20000</v>
      </c>
      <c r="CD232" s="73"/>
      <c r="CE232" s="73"/>
      <c r="CF232" s="73"/>
      <c r="CG232" s="73"/>
      <c r="CH232" s="73">
        <f t="shared" si="6"/>
        <v>20000</v>
      </c>
      <c r="CI232" s="73"/>
      <c r="CJ232" s="73"/>
      <c r="CK232" s="84"/>
      <c r="CL232" s="72"/>
      <c r="CM232" s="73"/>
      <c r="CN232" s="73"/>
      <c r="CO232" s="73"/>
      <c r="CP232" s="73"/>
      <c r="CQ232" s="73"/>
      <c r="CR232" s="73">
        <v>5000</v>
      </c>
      <c r="CS232" s="73">
        <v>5000</v>
      </c>
      <c r="CT232" s="73">
        <v>10000</v>
      </c>
      <c r="CU232" s="73"/>
      <c r="CV232" s="84">
        <f t="shared" si="7"/>
        <v>0</v>
      </c>
      <c r="CW232" s="137" t="s">
        <v>1230</v>
      </c>
      <c r="CX232" s="74"/>
      <c r="CY232" s="137" t="s">
        <v>1263</v>
      </c>
      <c r="CZ232" s="85" t="s">
        <v>1307</v>
      </c>
      <c r="DA232" s="85" t="s">
        <v>1357</v>
      </c>
      <c r="DB232" s="74" t="s">
        <v>1358</v>
      </c>
      <c r="DC232" s="74" t="s">
        <v>1359</v>
      </c>
      <c r="DD232" s="85" t="s">
        <v>1360</v>
      </c>
    </row>
    <row r="233" spans="1:108" s="129" customFormat="1" ht="49.15" hidden="1" customHeight="1" x14ac:dyDescent="0.25">
      <c r="A233" s="127" t="s">
        <v>693</v>
      </c>
      <c r="B233" s="74" t="s">
        <v>154</v>
      </c>
      <c r="C233" s="74" t="s">
        <v>172</v>
      </c>
      <c r="D233" s="85" t="s">
        <v>196</v>
      </c>
      <c r="E233" s="127" t="s">
        <v>309</v>
      </c>
      <c r="F233" s="74" t="s">
        <v>550</v>
      </c>
      <c r="G233" s="74" t="s">
        <v>137</v>
      </c>
      <c r="H233" s="74" t="s">
        <v>137</v>
      </c>
      <c r="I233" s="74" t="s">
        <v>66</v>
      </c>
      <c r="J233" s="74" t="s">
        <v>532</v>
      </c>
      <c r="K233" s="82" t="s">
        <v>137</v>
      </c>
      <c r="L233" s="82" t="s">
        <v>137</v>
      </c>
      <c r="M233" s="82" t="s">
        <v>137</v>
      </c>
      <c r="N233" s="82" t="s">
        <v>137</v>
      </c>
      <c r="O233" s="82" t="s">
        <v>137</v>
      </c>
      <c r="P233" s="82" t="s">
        <v>137</v>
      </c>
      <c r="Q233" s="74" t="s">
        <v>553</v>
      </c>
      <c r="R233" s="74" t="s">
        <v>710</v>
      </c>
      <c r="S233" s="74" t="s">
        <v>556</v>
      </c>
      <c r="T233" s="74" t="s">
        <v>320</v>
      </c>
      <c r="U233" s="75">
        <v>0.95</v>
      </c>
      <c r="V233" s="75">
        <v>0.95</v>
      </c>
      <c r="W233" s="75">
        <v>0.95</v>
      </c>
      <c r="X233" s="75">
        <v>0.95</v>
      </c>
      <c r="Y233" s="75">
        <v>0.95</v>
      </c>
      <c r="Z233" s="75">
        <v>0.95</v>
      </c>
      <c r="AA233" s="75">
        <v>0.95</v>
      </c>
      <c r="AB233" s="75">
        <v>0.95</v>
      </c>
      <c r="AC233" s="75">
        <v>0.95</v>
      </c>
      <c r="AD233" s="75">
        <v>0.95</v>
      </c>
      <c r="AE233" s="75">
        <v>0.95</v>
      </c>
      <c r="AF233" s="75">
        <v>0.95</v>
      </c>
      <c r="AG233" s="74" t="s">
        <v>534</v>
      </c>
      <c r="AH233" s="74" t="s">
        <v>530</v>
      </c>
      <c r="AI233" s="78" t="s">
        <v>539</v>
      </c>
      <c r="AJ233" s="79" t="s">
        <v>539</v>
      </c>
      <c r="AK233" s="80">
        <v>46023</v>
      </c>
      <c r="AL233" s="80">
        <v>46387</v>
      </c>
      <c r="AM233" s="79"/>
      <c r="AN233" s="79"/>
      <c r="AO233" s="79"/>
      <c r="AP233" s="81" t="s">
        <v>543</v>
      </c>
      <c r="AQ233" s="80" t="str" cm="1">
        <f t="array" ref="AQ233">IFERROR(DATE(2026, _xlfn.AGGREGATE(15, 6, (COLUMN(CI233:CT233)-COLUMN(CI233)+1)/(CI233:CT233&lt;&gt;0), 1), 1),"N/A")</f>
        <v>N/A</v>
      </c>
      <c r="AR233" s="80" t="str" cm="1">
        <f t="array" ref="AR233">IFERROR(EOMONTH(DATE(2026, _xlfn.AGGREGATE(14, 6, (COLUMN(CI233:CT233)-COLUMN(CI233)+1)/(CI233:CT233&lt;&gt;0), 1), 1), 0),"N/A")</f>
        <v>N/A</v>
      </c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127" t="s">
        <v>717</v>
      </c>
      <c r="BG233" s="74"/>
      <c r="BH233" s="74" t="s">
        <v>1032</v>
      </c>
      <c r="BI233" s="74" t="s">
        <v>1012</v>
      </c>
      <c r="BJ233" s="78">
        <v>530249</v>
      </c>
      <c r="BK233" s="82" t="s">
        <v>74</v>
      </c>
      <c r="BL233" s="86">
        <v>0</v>
      </c>
      <c r="BM233" s="73"/>
      <c r="BN233" s="84"/>
      <c r="BO233" s="84"/>
      <c r="BP233" s="72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>
        <v>150000</v>
      </c>
      <c r="CA233" s="84"/>
      <c r="CB233" s="84"/>
      <c r="CC233" s="84"/>
      <c r="CD233" s="84"/>
      <c r="CE233" s="84"/>
      <c r="CF233" s="84"/>
      <c r="CG233" s="118">
        <v>-138000</v>
      </c>
      <c r="CH233" s="119">
        <f t="shared" si="6"/>
        <v>12000</v>
      </c>
      <c r="CI233" s="119"/>
      <c r="CJ233" s="118"/>
      <c r="CK233" s="118"/>
      <c r="CL233" s="128"/>
      <c r="CM233" s="118"/>
      <c r="CN233" s="118"/>
      <c r="CO233" s="118"/>
      <c r="CP233" s="118"/>
      <c r="CQ233" s="118"/>
      <c r="CR233" s="118"/>
      <c r="CS233" s="118"/>
      <c r="CT233" s="118"/>
      <c r="CU233" s="84">
        <v>12000</v>
      </c>
      <c r="CV233" s="84">
        <f t="shared" si="7"/>
        <v>0</v>
      </c>
      <c r="CW233" s="84"/>
      <c r="CX233" s="127"/>
      <c r="CY233" s="127"/>
      <c r="CZ233" s="127" t="s">
        <v>1308</v>
      </c>
      <c r="DA233" s="127"/>
      <c r="DB233" s="127"/>
      <c r="DC233" s="127"/>
      <c r="DD233" s="127"/>
    </row>
    <row r="234" spans="1:108" s="129" customFormat="1" ht="83.45" hidden="1" customHeight="1" x14ac:dyDescent="0.25">
      <c r="A234" s="138" t="s">
        <v>695</v>
      </c>
      <c r="B234" s="74" t="s">
        <v>154</v>
      </c>
      <c r="C234" s="74" t="s">
        <v>172</v>
      </c>
      <c r="D234" s="85" t="s">
        <v>196</v>
      </c>
      <c r="E234" s="127" t="s">
        <v>309</v>
      </c>
      <c r="F234" s="74" t="s">
        <v>550</v>
      </c>
      <c r="G234" s="74" t="s">
        <v>137</v>
      </c>
      <c r="H234" s="74" t="s">
        <v>137</v>
      </c>
      <c r="I234" s="74" t="s">
        <v>66</v>
      </c>
      <c r="J234" s="74" t="s">
        <v>532</v>
      </c>
      <c r="K234" s="82" t="s">
        <v>137</v>
      </c>
      <c r="L234" s="82" t="s">
        <v>137</v>
      </c>
      <c r="M234" s="82" t="s">
        <v>137</v>
      </c>
      <c r="N234" s="82" t="s">
        <v>137</v>
      </c>
      <c r="O234" s="82" t="s">
        <v>137</v>
      </c>
      <c r="P234" s="82" t="s">
        <v>137</v>
      </c>
      <c r="Q234" s="74" t="s">
        <v>553</v>
      </c>
      <c r="R234" s="74" t="s">
        <v>710</v>
      </c>
      <c r="S234" s="74" t="s">
        <v>556</v>
      </c>
      <c r="T234" s="74" t="s">
        <v>320</v>
      </c>
      <c r="U234" s="75">
        <v>0.95</v>
      </c>
      <c r="V234" s="75">
        <v>0.95</v>
      </c>
      <c r="W234" s="75">
        <v>0.95</v>
      </c>
      <c r="X234" s="75">
        <v>0.95</v>
      </c>
      <c r="Y234" s="75">
        <v>0.95</v>
      </c>
      <c r="Z234" s="75">
        <v>0.95</v>
      </c>
      <c r="AA234" s="75">
        <v>0.95</v>
      </c>
      <c r="AB234" s="75">
        <v>0.95</v>
      </c>
      <c r="AC234" s="75">
        <v>0.95</v>
      </c>
      <c r="AD234" s="75">
        <v>0.95</v>
      </c>
      <c r="AE234" s="75">
        <v>0.95</v>
      </c>
      <c r="AF234" s="75">
        <v>0.95</v>
      </c>
      <c r="AG234" s="74" t="s">
        <v>534</v>
      </c>
      <c r="AH234" s="74" t="s">
        <v>530</v>
      </c>
      <c r="AI234" s="78" t="s">
        <v>539</v>
      </c>
      <c r="AJ234" s="79" t="s">
        <v>539</v>
      </c>
      <c r="AK234" s="80">
        <v>46023</v>
      </c>
      <c r="AL234" s="80">
        <v>46387</v>
      </c>
      <c r="AM234" s="79"/>
      <c r="AN234" s="79"/>
      <c r="AO234" s="79"/>
      <c r="AP234" s="81" t="s">
        <v>543</v>
      </c>
      <c r="AQ234" s="80" t="str" cm="1">
        <f t="array" ref="AQ234">IFERROR(DATE(2026, _xlfn.AGGREGATE(15, 6, (COLUMN(CI234:CT234)-COLUMN(CI234)+1)/(CI234:CT234&lt;&gt;0), 1), 1),"N/A")</f>
        <v>N/A</v>
      </c>
      <c r="AR234" s="80" t="str" cm="1">
        <f t="array" ref="AR234">IFERROR(EOMONTH(DATE(2026, _xlfn.AGGREGATE(14, 6, (COLUMN(CI234:CT234)-COLUMN(CI234)+1)/(CI234:CT234&lt;&gt;0), 1), 1), 0),"N/A")</f>
        <v>N/A</v>
      </c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138" t="s">
        <v>1022</v>
      </c>
      <c r="BG234" s="74"/>
      <c r="BH234" s="74" t="s">
        <v>1029</v>
      </c>
      <c r="BI234" s="74" t="s">
        <v>1011</v>
      </c>
      <c r="BJ234" s="78">
        <v>630207</v>
      </c>
      <c r="BK234" s="82" t="s">
        <v>74</v>
      </c>
      <c r="BL234" s="86">
        <v>0</v>
      </c>
      <c r="BM234" s="73"/>
      <c r="BN234" s="84"/>
      <c r="BO234" s="84"/>
      <c r="BP234" s="72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>
        <v>88500</v>
      </c>
      <c r="CA234" s="84"/>
      <c r="CB234" s="84"/>
      <c r="CC234" s="84"/>
      <c r="CD234" s="84"/>
      <c r="CE234" s="84"/>
      <c r="CF234" s="84"/>
      <c r="CG234" s="84"/>
      <c r="CH234" s="119">
        <f t="shared" si="6"/>
        <v>88500</v>
      </c>
      <c r="CI234" s="119"/>
      <c r="CJ234" s="118"/>
      <c r="CK234" s="118"/>
      <c r="CL234" s="128"/>
      <c r="CM234" s="118"/>
      <c r="CN234" s="130"/>
      <c r="CO234" s="118"/>
      <c r="CP234" s="118"/>
      <c r="CQ234" s="118"/>
      <c r="CR234" s="118"/>
      <c r="CS234" s="118"/>
      <c r="CT234" s="118"/>
      <c r="CU234" s="84">
        <v>88500</v>
      </c>
      <c r="CV234" s="84">
        <f t="shared" si="7"/>
        <v>0</v>
      </c>
      <c r="CW234" s="155" t="s">
        <v>1232</v>
      </c>
      <c r="CX234" s="127"/>
      <c r="CY234" s="160"/>
      <c r="CZ234" s="155" t="s">
        <v>1232</v>
      </c>
      <c r="DA234" s="173"/>
      <c r="DB234" s="127"/>
      <c r="DC234" s="127"/>
      <c r="DD234" s="127"/>
    </row>
    <row r="235" spans="1:108" s="68" customFormat="1" ht="55.9" hidden="1" customHeight="1" x14ac:dyDescent="0.25">
      <c r="A235" s="85" t="s">
        <v>695</v>
      </c>
      <c r="B235" s="74" t="s">
        <v>154</v>
      </c>
      <c r="C235" s="74" t="s">
        <v>172</v>
      </c>
      <c r="D235" s="85" t="s">
        <v>196</v>
      </c>
      <c r="E235" s="74" t="s">
        <v>309</v>
      </c>
      <c r="F235" s="74" t="s">
        <v>550</v>
      </c>
      <c r="G235" s="74" t="s">
        <v>137</v>
      </c>
      <c r="H235" s="74" t="s">
        <v>137</v>
      </c>
      <c r="I235" s="74" t="s">
        <v>66</v>
      </c>
      <c r="J235" s="74" t="s">
        <v>532</v>
      </c>
      <c r="K235" s="82" t="s">
        <v>137</v>
      </c>
      <c r="L235" s="82" t="s">
        <v>137</v>
      </c>
      <c r="M235" s="82" t="s">
        <v>137</v>
      </c>
      <c r="N235" s="82" t="s">
        <v>137</v>
      </c>
      <c r="O235" s="82" t="s">
        <v>137</v>
      </c>
      <c r="P235" s="82" t="s">
        <v>137</v>
      </c>
      <c r="Q235" s="74" t="s">
        <v>553</v>
      </c>
      <c r="R235" s="74" t="s">
        <v>710</v>
      </c>
      <c r="S235" s="74" t="s">
        <v>556</v>
      </c>
      <c r="T235" s="74" t="s">
        <v>320</v>
      </c>
      <c r="U235" s="75">
        <v>0.95</v>
      </c>
      <c r="V235" s="75">
        <v>0.95</v>
      </c>
      <c r="W235" s="75">
        <v>0.95</v>
      </c>
      <c r="X235" s="75">
        <v>0.95</v>
      </c>
      <c r="Y235" s="75">
        <v>0.95</v>
      </c>
      <c r="Z235" s="75">
        <v>0.95</v>
      </c>
      <c r="AA235" s="75">
        <v>0.95</v>
      </c>
      <c r="AB235" s="75">
        <v>0.95</v>
      </c>
      <c r="AC235" s="75">
        <v>0.95</v>
      </c>
      <c r="AD235" s="75">
        <v>0.95</v>
      </c>
      <c r="AE235" s="75">
        <v>0.95</v>
      </c>
      <c r="AF235" s="75">
        <v>0.95</v>
      </c>
      <c r="AG235" s="74" t="s">
        <v>534</v>
      </c>
      <c r="AH235" s="74" t="s">
        <v>530</v>
      </c>
      <c r="AI235" s="78" t="s">
        <v>539</v>
      </c>
      <c r="AJ235" s="79" t="s">
        <v>539</v>
      </c>
      <c r="AK235" s="80">
        <v>46023</v>
      </c>
      <c r="AL235" s="80">
        <v>46387</v>
      </c>
      <c r="AM235" s="79"/>
      <c r="AN235" s="79"/>
      <c r="AO235" s="79"/>
      <c r="AP235" s="81" t="s">
        <v>543</v>
      </c>
      <c r="AQ235" s="80" cm="1">
        <f t="array" ref="AQ235">IFERROR(DATE(2026, _xlfn.AGGREGATE(15, 6, (COLUMN(CI235:CT235)-COLUMN(CI235)+1)/(CI235:CT235&lt;&gt;0), 1), 1),"N/A")</f>
        <v>46266</v>
      </c>
      <c r="AR235" s="80" cm="1">
        <f t="array" ref="AR235">IFERROR(EOMONTH(DATE(2026, _xlfn.AGGREGATE(14, 6, (COLUMN(CI235:CT235)-COLUMN(CI235)+1)/(CI235:CT235&lt;&gt;0), 1), 1), 0),"N/A")</f>
        <v>46387</v>
      </c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85" t="s">
        <v>781</v>
      </c>
      <c r="BG235" s="74"/>
      <c r="BH235" s="74" t="s">
        <v>907</v>
      </c>
      <c r="BI235" s="74" t="s">
        <v>1011</v>
      </c>
      <c r="BJ235" s="78">
        <v>630207</v>
      </c>
      <c r="BK235" s="82" t="s">
        <v>74</v>
      </c>
      <c r="BL235" s="83">
        <v>293975</v>
      </c>
      <c r="BM235" s="73">
        <v>0</v>
      </c>
      <c r="BN235" s="73">
        <v>0</v>
      </c>
      <c r="BO235" s="73">
        <v>0</v>
      </c>
      <c r="BP235" s="72">
        <v>29950</v>
      </c>
      <c r="BQ235" s="84">
        <v>5000</v>
      </c>
      <c r="BR235" s="84">
        <v>5000</v>
      </c>
      <c r="BS235" s="84">
        <v>30000</v>
      </c>
      <c r="BT235" s="84">
        <v>30000</v>
      </c>
      <c r="BU235" s="84">
        <v>5000</v>
      </c>
      <c r="BV235" s="84">
        <v>85000</v>
      </c>
      <c r="BW235" s="84">
        <v>89000</v>
      </c>
      <c r="BX235" s="84">
        <v>15025</v>
      </c>
      <c r="BY235" s="84">
        <v>145000</v>
      </c>
      <c r="BZ235" s="84"/>
      <c r="CA235" s="84"/>
      <c r="CB235" s="84"/>
      <c r="CC235" s="84"/>
      <c r="CD235" s="84"/>
      <c r="CE235" s="84"/>
      <c r="CF235" s="84"/>
      <c r="CG235" s="84"/>
      <c r="CH235" s="73">
        <f t="shared" si="6"/>
        <v>438975</v>
      </c>
      <c r="CI235" s="73"/>
      <c r="CJ235" s="73"/>
      <c r="CK235" s="72">
        <v>0</v>
      </c>
      <c r="CL235" s="72"/>
      <c r="CM235" s="84"/>
      <c r="CN235" s="84"/>
      <c r="CO235" s="84"/>
      <c r="CP235" s="84"/>
      <c r="CQ235" s="84">
        <v>50000</v>
      </c>
      <c r="CR235" s="84">
        <v>50000</v>
      </c>
      <c r="CS235" s="84">
        <v>100000</v>
      </c>
      <c r="CT235" s="84">
        <v>238975</v>
      </c>
      <c r="CU235" s="84"/>
      <c r="CV235" s="84">
        <f t="shared" si="7"/>
        <v>0</v>
      </c>
      <c r="CW235" s="136" t="s">
        <v>1229</v>
      </c>
      <c r="CX235" s="74"/>
      <c r="CY235" s="160" t="s">
        <v>1267</v>
      </c>
      <c r="CZ235" s="160" t="s">
        <v>1299</v>
      </c>
      <c r="DA235" s="160" t="s">
        <v>1361</v>
      </c>
      <c r="DB235" s="74"/>
      <c r="DC235" s="74"/>
      <c r="DD235" s="74"/>
    </row>
    <row r="236" spans="1:108" s="68" customFormat="1" ht="15" hidden="1" customHeight="1" x14ac:dyDescent="0.25">
      <c r="A236" s="161" t="s">
        <v>693</v>
      </c>
      <c r="B236" s="74" t="s">
        <v>154</v>
      </c>
      <c r="C236" s="74" t="s">
        <v>172</v>
      </c>
      <c r="D236" s="85" t="s">
        <v>196</v>
      </c>
      <c r="E236" s="74" t="s">
        <v>309</v>
      </c>
      <c r="F236" s="74" t="s">
        <v>550</v>
      </c>
      <c r="G236" s="74" t="s">
        <v>137</v>
      </c>
      <c r="H236" s="74" t="s">
        <v>137</v>
      </c>
      <c r="I236" s="74" t="s">
        <v>66</v>
      </c>
      <c r="J236" s="74" t="s">
        <v>532</v>
      </c>
      <c r="K236" s="82" t="s">
        <v>137</v>
      </c>
      <c r="L236" s="82" t="s">
        <v>137</v>
      </c>
      <c r="M236" s="82" t="s">
        <v>137</v>
      </c>
      <c r="N236" s="82" t="s">
        <v>137</v>
      </c>
      <c r="O236" s="82" t="s">
        <v>137</v>
      </c>
      <c r="P236" s="82" t="s">
        <v>137</v>
      </c>
      <c r="Q236" s="74" t="s">
        <v>553</v>
      </c>
      <c r="R236" s="74" t="s">
        <v>710</v>
      </c>
      <c r="S236" s="74" t="s">
        <v>556</v>
      </c>
      <c r="T236" s="74" t="s">
        <v>320</v>
      </c>
      <c r="U236" s="75">
        <v>0.95</v>
      </c>
      <c r="V236" s="75">
        <v>0.95</v>
      </c>
      <c r="W236" s="75">
        <v>0.95</v>
      </c>
      <c r="X236" s="75">
        <v>0.95</v>
      </c>
      <c r="Y236" s="75">
        <v>0.95</v>
      </c>
      <c r="Z236" s="75">
        <v>0.95</v>
      </c>
      <c r="AA236" s="75">
        <v>0.95</v>
      </c>
      <c r="AB236" s="75">
        <v>0.95</v>
      </c>
      <c r="AC236" s="75">
        <v>0.95</v>
      </c>
      <c r="AD236" s="75">
        <v>0.95</v>
      </c>
      <c r="AE236" s="75">
        <v>0.95</v>
      </c>
      <c r="AF236" s="75">
        <v>0.95</v>
      </c>
      <c r="AG236" s="74" t="s">
        <v>534</v>
      </c>
      <c r="AH236" s="74" t="s">
        <v>530</v>
      </c>
      <c r="AI236" s="78" t="s">
        <v>539</v>
      </c>
      <c r="AJ236" s="79" t="s">
        <v>539</v>
      </c>
      <c r="AK236" s="80">
        <v>46023</v>
      </c>
      <c r="AL236" s="80">
        <v>46387</v>
      </c>
      <c r="AM236" s="79"/>
      <c r="AN236" s="79"/>
      <c r="AO236" s="79"/>
      <c r="AP236" s="81" t="s">
        <v>543</v>
      </c>
      <c r="AQ236" s="80" cm="1">
        <f t="array" ref="AQ236">IFERROR(DATE(2026, _xlfn.AGGREGATE(15, 6, (COLUMN(CI236:CT236)-COLUMN(CI236)+1)/(CI236:CT236&lt;&gt;0), 1), 1),"N/A")</f>
        <v>46266</v>
      </c>
      <c r="AR236" s="80" cm="1">
        <f t="array" ref="AR236">IFERROR(EOMONTH(DATE(2026, _xlfn.AGGREGATE(14, 6, (COLUMN(CI236:CT236)-COLUMN(CI236)+1)/(CI236:CT236&lt;&gt;0), 1), 1), 0),"N/A")</f>
        <v>46387</v>
      </c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4" t="s">
        <v>781</v>
      </c>
      <c r="BG236" s="74"/>
      <c r="BH236" s="74" t="s">
        <v>906</v>
      </c>
      <c r="BI236" s="74" t="s">
        <v>1012</v>
      </c>
      <c r="BJ236" s="78">
        <v>630207</v>
      </c>
      <c r="BK236" s="82" t="s">
        <v>74</v>
      </c>
      <c r="BL236" s="83">
        <v>125000</v>
      </c>
      <c r="BM236" s="73">
        <v>0</v>
      </c>
      <c r="BN236" s="84"/>
      <c r="BO236" s="84"/>
      <c r="BP236" s="72"/>
      <c r="BQ236" s="84">
        <v>20025</v>
      </c>
      <c r="BR236" s="84">
        <v>20025</v>
      </c>
      <c r="BS236" s="84">
        <v>22025</v>
      </c>
      <c r="BT236" s="84">
        <v>28025</v>
      </c>
      <c r="BU236" s="84">
        <v>14875</v>
      </c>
      <c r="BV236" s="84">
        <v>20025</v>
      </c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73">
        <f t="shared" si="6"/>
        <v>125000</v>
      </c>
      <c r="CI236" s="73"/>
      <c r="CJ236" s="84"/>
      <c r="CK236" s="84"/>
      <c r="CL236" s="72"/>
      <c r="CM236" s="84"/>
      <c r="CN236" s="84"/>
      <c r="CO236" s="84"/>
      <c r="CP236" s="84"/>
      <c r="CQ236" s="84">
        <v>30000</v>
      </c>
      <c r="CR236" s="84">
        <v>30000</v>
      </c>
      <c r="CS236" s="84">
        <v>30000</v>
      </c>
      <c r="CT236" s="84">
        <v>35000</v>
      </c>
      <c r="CU236" s="84"/>
      <c r="CV236" s="84">
        <f t="shared" si="7"/>
        <v>0</v>
      </c>
      <c r="CW236" s="84" t="s">
        <v>1229</v>
      </c>
      <c r="CX236" s="74"/>
      <c r="CY236" s="160" t="s">
        <v>1267</v>
      </c>
      <c r="CZ236" s="160" t="s">
        <v>1267</v>
      </c>
      <c r="DA236" s="160"/>
      <c r="DB236" s="74"/>
      <c r="DC236" s="74"/>
      <c r="DD236" s="74"/>
    </row>
    <row r="237" spans="1:108" s="68" customFormat="1" ht="61.9" hidden="1" customHeight="1" x14ac:dyDescent="0.25">
      <c r="A237" s="85" t="s">
        <v>695</v>
      </c>
      <c r="B237" s="74" t="s">
        <v>154</v>
      </c>
      <c r="C237" s="74" t="s">
        <v>172</v>
      </c>
      <c r="D237" s="85" t="s">
        <v>196</v>
      </c>
      <c r="E237" s="74" t="s">
        <v>309</v>
      </c>
      <c r="F237" s="74" t="s">
        <v>550</v>
      </c>
      <c r="G237" s="74" t="s">
        <v>137</v>
      </c>
      <c r="H237" s="74" t="s">
        <v>137</v>
      </c>
      <c r="I237" s="74" t="s">
        <v>66</v>
      </c>
      <c r="J237" s="74" t="s">
        <v>532</v>
      </c>
      <c r="K237" s="82" t="s">
        <v>137</v>
      </c>
      <c r="L237" s="82" t="s">
        <v>137</v>
      </c>
      <c r="M237" s="82" t="s">
        <v>137</v>
      </c>
      <c r="N237" s="82" t="s">
        <v>137</v>
      </c>
      <c r="O237" s="82" t="s">
        <v>137</v>
      </c>
      <c r="P237" s="82" t="s">
        <v>137</v>
      </c>
      <c r="Q237" s="74" t="s">
        <v>553</v>
      </c>
      <c r="R237" s="74" t="s">
        <v>710</v>
      </c>
      <c r="S237" s="74" t="s">
        <v>556</v>
      </c>
      <c r="T237" s="74" t="s">
        <v>320</v>
      </c>
      <c r="U237" s="75">
        <v>0.95</v>
      </c>
      <c r="V237" s="75">
        <v>0.95</v>
      </c>
      <c r="W237" s="75">
        <v>0.95</v>
      </c>
      <c r="X237" s="75">
        <v>0.95</v>
      </c>
      <c r="Y237" s="75">
        <v>0.95</v>
      </c>
      <c r="Z237" s="75">
        <v>0.95</v>
      </c>
      <c r="AA237" s="75">
        <v>0.95</v>
      </c>
      <c r="AB237" s="75">
        <v>0.95</v>
      </c>
      <c r="AC237" s="75">
        <v>0.95</v>
      </c>
      <c r="AD237" s="75">
        <v>0.95</v>
      </c>
      <c r="AE237" s="75">
        <v>0.95</v>
      </c>
      <c r="AF237" s="75">
        <v>0.95</v>
      </c>
      <c r="AG237" s="74" t="s">
        <v>534</v>
      </c>
      <c r="AH237" s="74" t="s">
        <v>530</v>
      </c>
      <c r="AI237" s="78" t="s">
        <v>539</v>
      </c>
      <c r="AJ237" s="79" t="s">
        <v>539</v>
      </c>
      <c r="AK237" s="80">
        <v>46023</v>
      </c>
      <c r="AL237" s="80">
        <v>46387</v>
      </c>
      <c r="AM237" s="79"/>
      <c r="AN237" s="79"/>
      <c r="AO237" s="79"/>
      <c r="AP237" s="81" t="s">
        <v>543</v>
      </c>
      <c r="AQ237" s="80" cm="1">
        <f t="array" ref="AQ237">IFERROR(DATE(2026, _xlfn.AGGREGATE(15, 6, (COLUMN(CI237:CT237)-COLUMN(CI237)+1)/(CI237:CT237&lt;&gt;0), 1), 1),"N/A")</f>
        <v>46266</v>
      </c>
      <c r="AR237" s="80" cm="1">
        <f t="array" ref="AR237">IFERROR(EOMONTH(DATE(2026, _xlfn.AGGREGATE(14, 6, (COLUMN(CI237:CT237)-COLUMN(CI237)+1)/(CI237:CT237&lt;&gt;0), 1), 1), 0),"N/A")</f>
        <v>46387</v>
      </c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85" t="s">
        <v>782</v>
      </c>
      <c r="BG237" s="74"/>
      <c r="BH237" s="74" t="s">
        <v>908</v>
      </c>
      <c r="BI237" s="74" t="s">
        <v>1011</v>
      </c>
      <c r="BJ237" s="78">
        <v>630207</v>
      </c>
      <c r="BK237" s="82" t="s">
        <v>74</v>
      </c>
      <c r="BL237" s="86">
        <v>350000</v>
      </c>
      <c r="BM237" s="73">
        <v>0</v>
      </c>
      <c r="BN237" s="84">
        <v>70000</v>
      </c>
      <c r="BO237" s="84">
        <v>10000</v>
      </c>
      <c r="BP237" s="72">
        <v>40000</v>
      </c>
      <c r="BQ237" s="84">
        <v>10000</v>
      </c>
      <c r="BR237" s="84">
        <v>20000</v>
      </c>
      <c r="BS237" s="84">
        <v>50000</v>
      </c>
      <c r="BT237" s="84">
        <v>15000</v>
      </c>
      <c r="BU237" s="84">
        <v>17000</v>
      </c>
      <c r="BV237" s="84">
        <v>15000</v>
      </c>
      <c r="BW237" s="84">
        <v>50000</v>
      </c>
      <c r="BX237" s="84">
        <v>53000</v>
      </c>
      <c r="BY237" s="84">
        <v>145000</v>
      </c>
      <c r="BZ237" s="84"/>
      <c r="CA237" s="84"/>
      <c r="CB237" s="84"/>
      <c r="CC237" s="84"/>
      <c r="CD237" s="84"/>
      <c r="CE237" s="84"/>
      <c r="CF237" s="84"/>
      <c r="CG237" s="84"/>
      <c r="CH237" s="73">
        <f t="shared" si="6"/>
        <v>495000</v>
      </c>
      <c r="CI237" s="73"/>
      <c r="CJ237" s="84"/>
      <c r="CK237" s="84"/>
      <c r="CL237" s="72"/>
      <c r="CM237" s="84"/>
      <c r="CN237" s="84"/>
      <c r="CO237" s="84"/>
      <c r="CP237" s="84"/>
      <c r="CQ237" s="84">
        <v>50000</v>
      </c>
      <c r="CR237" s="84">
        <v>50000</v>
      </c>
      <c r="CS237" s="84">
        <v>100000</v>
      </c>
      <c r="CT237" s="84">
        <v>295000</v>
      </c>
      <c r="CU237" s="84"/>
      <c r="CV237" s="84">
        <f t="shared" si="7"/>
        <v>0</v>
      </c>
      <c r="CW237" s="136" t="s">
        <v>1229</v>
      </c>
      <c r="CX237" s="74"/>
      <c r="CY237" s="160" t="s">
        <v>1266</v>
      </c>
      <c r="CZ237" s="160" t="s">
        <v>1276</v>
      </c>
      <c r="DA237" s="160" t="s">
        <v>1362</v>
      </c>
      <c r="DB237" s="74"/>
      <c r="DC237" s="74"/>
      <c r="DD237" s="74"/>
    </row>
    <row r="238" spans="1:108" s="68" customFormat="1" ht="15" hidden="1" customHeight="1" x14ac:dyDescent="0.25">
      <c r="A238" s="161" t="s">
        <v>693</v>
      </c>
      <c r="B238" s="74" t="s">
        <v>154</v>
      </c>
      <c r="C238" s="74" t="s">
        <v>172</v>
      </c>
      <c r="D238" s="85" t="s">
        <v>196</v>
      </c>
      <c r="E238" s="74" t="s">
        <v>309</v>
      </c>
      <c r="F238" s="74" t="s">
        <v>550</v>
      </c>
      <c r="G238" s="74" t="s">
        <v>137</v>
      </c>
      <c r="H238" s="74" t="s">
        <v>137</v>
      </c>
      <c r="I238" s="74" t="s">
        <v>66</v>
      </c>
      <c r="J238" s="74" t="s">
        <v>532</v>
      </c>
      <c r="K238" s="82" t="s">
        <v>137</v>
      </c>
      <c r="L238" s="82" t="s">
        <v>137</v>
      </c>
      <c r="M238" s="82" t="s">
        <v>137</v>
      </c>
      <c r="N238" s="82" t="s">
        <v>137</v>
      </c>
      <c r="O238" s="82" t="s">
        <v>137</v>
      </c>
      <c r="P238" s="82" t="s">
        <v>137</v>
      </c>
      <c r="Q238" s="74" t="s">
        <v>553</v>
      </c>
      <c r="R238" s="74" t="s">
        <v>710</v>
      </c>
      <c r="S238" s="74" t="s">
        <v>556</v>
      </c>
      <c r="T238" s="74" t="s">
        <v>320</v>
      </c>
      <c r="U238" s="75">
        <v>0.95</v>
      </c>
      <c r="V238" s="75">
        <v>0.95</v>
      </c>
      <c r="W238" s="75">
        <v>0.95</v>
      </c>
      <c r="X238" s="75">
        <v>0.95</v>
      </c>
      <c r="Y238" s="75">
        <v>0.95</v>
      </c>
      <c r="Z238" s="75">
        <v>0.95</v>
      </c>
      <c r="AA238" s="75">
        <v>0.95</v>
      </c>
      <c r="AB238" s="75">
        <v>0.95</v>
      </c>
      <c r="AC238" s="75">
        <v>0.95</v>
      </c>
      <c r="AD238" s="75">
        <v>0.95</v>
      </c>
      <c r="AE238" s="75">
        <v>0.95</v>
      </c>
      <c r="AF238" s="75">
        <v>0.95</v>
      </c>
      <c r="AG238" s="74" t="s">
        <v>534</v>
      </c>
      <c r="AH238" s="74" t="s">
        <v>530</v>
      </c>
      <c r="AI238" s="78" t="s">
        <v>539</v>
      </c>
      <c r="AJ238" s="79" t="s">
        <v>539</v>
      </c>
      <c r="AK238" s="80">
        <v>46023</v>
      </c>
      <c r="AL238" s="80">
        <v>46387</v>
      </c>
      <c r="AM238" s="79"/>
      <c r="AN238" s="79"/>
      <c r="AO238" s="79"/>
      <c r="AP238" s="81" t="s">
        <v>543</v>
      </c>
      <c r="AQ238" s="80" cm="1">
        <f t="array" ref="AQ238">IFERROR(DATE(2026, _xlfn.AGGREGATE(15, 6, (COLUMN(CI238:CT238)-COLUMN(CI238)+1)/(CI238:CT238&lt;&gt;0), 1), 1),"N/A")</f>
        <v>46266</v>
      </c>
      <c r="AR238" s="80" cm="1">
        <f t="array" ref="AR238">IFERROR(EOMONTH(DATE(2026, _xlfn.AGGREGATE(14, 6, (COLUMN(CI238:CT238)-COLUMN(CI238)+1)/(CI238:CT238&lt;&gt;0), 1), 1), 0),"N/A")</f>
        <v>46387</v>
      </c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4" t="s">
        <v>782</v>
      </c>
      <c r="BG238" s="74"/>
      <c r="BH238" s="74" t="s">
        <v>909</v>
      </c>
      <c r="BI238" s="74" t="s">
        <v>1012</v>
      </c>
      <c r="BJ238" s="78">
        <v>630207</v>
      </c>
      <c r="BK238" s="82" t="s">
        <v>74</v>
      </c>
      <c r="BL238" s="83">
        <v>33500</v>
      </c>
      <c r="BM238" s="73">
        <v>0</v>
      </c>
      <c r="BN238" s="73">
        <v>0</v>
      </c>
      <c r="BO238" s="73">
        <v>0</v>
      </c>
      <c r="BP238" s="73">
        <v>0</v>
      </c>
      <c r="BQ238" s="84">
        <v>7500</v>
      </c>
      <c r="BR238" s="73">
        <v>0</v>
      </c>
      <c r="BS238" s="73">
        <v>0</v>
      </c>
      <c r="BT238" s="84">
        <v>7500</v>
      </c>
      <c r="BU238" s="73">
        <v>0</v>
      </c>
      <c r="BV238" s="73">
        <v>0</v>
      </c>
      <c r="BW238" s="73">
        <v>0</v>
      </c>
      <c r="BX238" s="84">
        <v>18500</v>
      </c>
      <c r="BY238" s="84"/>
      <c r="BZ238" s="84"/>
      <c r="CA238" s="84"/>
      <c r="CB238" s="84"/>
      <c r="CC238" s="84"/>
      <c r="CD238" s="84"/>
      <c r="CE238" s="84"/>
      <c r="CF238" s="84"/>
      <c r="CG238" s="84"/>
      <c r="CH238" s="73">
        <f t="shared" si="6"/>
        <v>33500</v>
      </c>
      <c r="CI238" s="73"/>
      <c r="CJ238" s="73"/>
      <c r="CK238" s="72">
        <v>0</v>
      </c>
      <c r="CL238" s="73">
        <v>0</v>
      </c>
      <c r="CM238" s="84"/>
      <c r="CN238" s="73">
        <v>0</v>
      </c>
      <c r="CO238" s="73">
        <v>0</v>
      </c>
      <c r="CP238" s="84"/>
      <c r="CQ238" s="73">
        <v>8000</v>
      </c>
      <c r="CR238" s="73">
        <v>8000</v>
      </c>
      <c r="CS238" s="73">
        <v>8000</v>
      </c>
      <c r="CT238" s="84">
        <v>9500</v>
      </c>
      <c r="CU238" s="84"/>
      <c r="CV238" s="84">
        <f t="shared" si="7"/>
        <v>0</v>
      </c>
      <c r="CW238" s="84" t="s">
        <v>1229</v>
      </c>
      <c r="CX238" s="74"/>
      <c r="CY238" s="74"/>
      <c r="CZ238" s="74"/>
      <c r="DA238" s="74"/>
      <c r="DB238" s="74"/>
      <c r="DC238" s="74"/>
      <c r="DD238" s="74"/>
    </row>
    <row r="239" spans="1:108" s="68" customFormat="1" ht="34.15" hidden="1" customHeight="1" x14ac:dyDescent="0.25">
      <c r="A239" s="85" t="s">
        <v>695</v>
      </c>
      <c r="B239" s="74" t="s">
        <v>154</v>
      </c>
      <c r="C239" s="74" t="s">
        <v>172</v>
      </c>
      <c r="D239" s="85" t="s">
        <v>196</v>
      </c>
      <c r="E239" s="74" t="s">
        <v>309</v>
      </c>
      <c r="F239" s="74" t="s">
        <v>550</v>
      </c>
      <c r="G239" s="74" t="s">
        <v>137</v>
      </c>
      <c r="H239" s="74" t="s">
        <v>137</v>
      </c>
      <c r="I239" s="74" t="s">
        <v>66</v>
      </c>
      <c r="J239" s="74" t="s">
        <v>532</v>
      </c>
      <c r="K239" s="82" t="s">
        <v>137</v>
      </c>
      <c r="L239" s="82" t="s">
        <v>137</v>
      </c>
      <c r="M239" s="82" t="s">
        <v>137</v>
      </c>
      <c r="N239" s="82" t="s">
        <v>137</v>
      </c>
      <c r="O239" s="82" t="s">
        <v>137</v>
      </c>
      <c r="P239" s="82" t="s">
        <v>137</v>
      </c>
      <c r="Q239" s="74" t="s">
        <v>553</v>
      </c>
      <c r="R239" s="74" t="s">
        <v>710</v>
      </c>
      <c r="S239" s="74" t="s">
        <v>556</v>
      </c>
      <c r="T239" s="74" t="s">
        <v>320</v>
      </c>
      <c r="U239" s="75">
        <v>0.95</v>
      </c>
      <c r="V239" s="75">
        <v>0.95</v>
      </c>
      <c r="W239" s="75">
        <v>0.95</v>
      </c>
      <c r="X239" s="75">
        <v>0.95</v>
      </c>
      <c r="Y239" s="75">
        <v>0.95</v>
      </c>
      <c r="Z239" s="75">
        <v>0.95</v>
      </c>
      <c r="AA239" s="75">
        <v>0.95</v>
      </c>
      <c r="AB239" s="75">
        <v>0.95</v>
      </c>
      <c r="AC239" s="75">
        <v>0.95</v>
      </c>
      <c r="AD239" s="75">
        <v>0.95</v>
      </c>
      <c r="AE239" s="75">
        <v>0.95</v>
      </c>
      <c r="AF239" s="75">
        <v>0.95</v>
      </c>
      <c r="AG239" s="74" t="s">
        <v>534</v>
      </c>
      <c r="AH239" s="74" t="s">
        <v>530</v>
      </c>
      <c r="AI239" s="78" t="s">
        <v>539</v>
      </c>
      <c r="AJ239" s="79" t="s">
        <v>539</v>
      </c>
      <c r="AK239" s="80">
        <v>46023</v>
      </c>
      <c r="AL239" s="80">
        <v>46387</v>
      </c>
      <c r="AM239" s="79"/>
      <c r="AN239" s="79"/>
      <c r="AO239" s="79"/>
      <c r="AP239" s="81" t="s">
        <v>543</v>
      </c>
      <c r="AQ239" s="80" cm="1">
        <f t="array" ref="AQ239">IFERROR(DATE(2026, _xlfn.AGGREGATE(15, 6, (COLUMN(CI239:CT239)-COLUMN(CI239)+1)/(CI239:CT239&lt;&gt;0), 1), 1),"N/A")</f>
        <v>46023</v>
      </c>
      <c r="AR239" s="80" cm="1">
        <f t="array" ref="AR239">IFERROR(EOMONTH(DATE(2026, _xlfn.AGGREGATE(14, 6, (COLUMN(CI239:CT239)-COLUMN(CI239)+1)/(CI239:CT239&lt;&gt;0), 1), 1), 0),"N/A")</f>
        <v>46173</v>
      </c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85" t="s">
        <v>723</v>
      </c>
      <c r="BG239" s="74"/>
      <c r="BH239" s="74" t="s">
        <v>902</v>
      </c>
      <c r="BI239" s="74" t="s">
        <v>1011</v>
      </c>
      <c r="BJ239" s="78">
        <v>530606</v>
      </c>
      <c r="BK239" s="82" t="s">
        <v>74</v>
      </c>
      <c r="BL239" s="83">
        <v>12500</v>
      </c>
      <c r="BM239" s="73">
        <v>2500</v>
      </c>
      <c r="BN239" s="73">
        <v>2500</v>
      </c>
      <c r="BO239" s="73">
        <v>2500</v>
      </c>
      <c r="BP239" s="73">
        <v>2500</v>
      </c>
      <c r="BQ239" s="73">
        <v>2500</v>
      </c>
      <c r="BR239" s="73"/>
      <c r="BS239" s="73"/>
      <c r="BT239" s="84"/>
      <c r="BU239" s="84"/>
      <c r="BV239" s="73"/>
      <c r="BW239" s="73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73">
        <f t="shared" si="6"/>
        <v>12500</v>
      </c>
      <c r="CI239" s="73">
        <v>2500</v>
      </c>
      <c r="CJ239" s="73">
        <v>2500</v>
      </c>
      <c r="CK239" s="72">
        <v>2500</v>
      </c>
      <c r="CL239" s="73">
        <v>2500</v>
      </c>
      <c r="CM239" s="120">
        <v>2500</v>
      </c>
      <c r="CN239" s="73"/>
      <c r="CO239" s="73"/>
      <c r="CP239" s="84"/>
      <c r="CQ239" s="84"/>
      <c r="CR239" s="73"/>
      <c r="CS239" s="73"/>
      <c r="CT239" s="84"/>
      <c r="CU239" s="84"/>
      <c r="CV239" s="84">
        <f t="shared" si="7"/>
        <v>0</v>
      </c>
      <c r="CW239" s="136" t="s">
        <v>1231</v>
      </c>
      <c r="CX239" s="74"/>
      <c r="CY239" s="85" t="s">
        <v>1268</v>
      </c>
      <c r="CZ239" s="85" t="s">
        <v>1277</v>
      </c>
      <c r="DA239" s="85"/>
      <c r="DB239" s="74"/>
      <c r="DC239" s="74"/>
      <c r="DD239" s="74"/>
    </row>
    <row r="240" spans="1:108" s="68" customFormat="1" ht="15" hidden="1" customHeight="1" x14ac:dyDescent="0.25">
      <c r="A240" s="74" t="s">
        <v>697</v>
      </c>
      <c r="B240" s="74" t="s">
        <v>154</v>
      </c>
      <c r="C240" s="74" t="s">
        <v>172</v>
      </c>
      <c r="D240" s="85" t="s">
        <v>196</v>
      </c>
      <c r="E240" s="74" t="s">
        <v>309</v>
      </c>
      <c r="F240" s="74" t="s">
        <v>550</v>
      </c>
      <c r="G240" s="74" t="s">
        <v>137</v>
      </c>
      <c r="H240" s="74" t="s">
        <v>137</v>
      </c>
      <c r="I240" s="74" t="s">
        <v>66</v>
      </c>
      <c r="J240" s="74" t="s">
        <v>532</v>
      </c>
      <c r="K240" s="82" t="s">
        <v>137</v>
      </c>
      <c r="L240" s="82" t="s">
        <v>137</v>
      </c>
      <c r="M240" s="82" t="s">
        <v>137</v>
      </c>
      <c r="N240" s="82" t="s">
        <v>137</v>
      </c>
      <c r="O240" s="82" t="s">
        <v>137</v>
      </c>
      <c r="P240" s="82" t="s">
        <v>137</v>
      </c>
      <c r="Q240" s="74" t="s">
        <v>553</v>
      </c>
      <c r="R240" s="74" t="s">
        <v>710</v>
      </c>
      <c r="S240" s="74" t="s">
        <v>556</v>
      </c>
      <c r="T240" s="74" t="s">
        <v>320</v>
      </c>
      <c r="U240" s="75">
        <v>0.95</v>
      </c>
      <c r="V240" s="75">
        <v>0.95</v>
      </c>
      <c r="W240" s="75">
        <v>0.95</v>
      </c>
      <c r="X240" s="75">
        <v>0.95</v>
      </c>
      <c r="Y240" s="75">
        <v>0.95</v>
      </c>
      <c r="Z240" s="75">
        <v>0.95</v>
      </c>
      <c r="AA240" s="75">
        <v>0.95</v>
      </c>
      <c r="AB240" s="75">
        <v>0.95</v>
      </c>
      <c r="AC240" s="75">
        <v>0.95</v>
      </c>
      <c r="AD240" s="75">
        <v>0.95</v>
      </c>
      <c r="AE240" s="75">
        <v>0.95</v>
      </c>
      <c r="AF240" s="75">
        <v>0.95</v>
      </c>
      <c r="AG240" s="74" t="s">
        <v>534</v>
      </c>
      <c r="AH240" s="74" t="s">
        <v>530</v>
      </c>
      <c r="AI240" s="78" t="s">
        <v>539</v>
      </c>
      <c r="AJ240" s="79" t="s">
        <v>539</v>
      </c>
      <c r="AK240" s="80">
        <v>46023</v>
      </c>
      <c r="AL240" s="80">
        <v>46387</v>
      </c>
      <c r="AM240" s="79"/>
      <c r="AN240" s="79"/>
      <c r="AO240" s="79"/>
      <c r="AP240" s="81" t="s">
        <v>541</v>
      </c>
      <c r="AQ240" s="80" t="str" cm="1">
        <f t="array" ref="AQ240">IFERROR(DATE(2026, _xlfn.AGGREGATE(15, 6, (COLUMN(CI240:CT240)-COLUMN(CI240)+1)/(CI240:CT240&lt;&gt;0), 1), 1),"N/A")</f>
        <v>N/A</v>
      </c>
      <c r="AR240" s="80" t="str" cm="1">
        <f t="array" ref="AR240">IFERROR(EOMONTH(DATE(2026, _xlfn.AGGREGATE(14, 6, (COLUMN(CI240:CT240)-COLUMN(CI240)+1)/(CI240:CT240&lt;&gt;0), 1), 1), 0),"N/A")</f>
        <v>N/A</v>
      </c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4" t="s">
        <v>780</v>
      </c>
      <c r="BG240" s="74"/>
      <c r="BH240" s="74" t="s">
        <v>913</v>
      </c>
      <c r="BI240" s="74" t="s">
        <v>137</v>
      </c>
      <c r="BJ240" s="78">
        <v>630601</v>
      </c>
      <c r="BK240" s="82" t="s">
        <v>74</v>
      </c>
      <c r="BL240" s="83">
        <f>130000-12500</f>
        <v>117500</v>
      </c>
      <c r="BM240" s="73"/>
      <c r="BN240" s="73"/>
      <c r="BO240" s="73"/>
      <c r="BP240" s="73"/>
      <c r="BQ240" s="73"/>
      <c r="BR240" s="84"/>
      <c r="BS240" s="73">
        <v>117500</v>
      </c>
      <c r="BT240" s="73"/>
      <c r="BU240" s="73"/>
      <c r="BV240" s="73"/>
      <c r="BW240" s="73"/>
      <c r="BX240" s="73"/>
      <c r="BY240" s="73">
        <v>-117500</v>
      </c>
      <c r="BZ240" s="73"/>
      <c r="CA240" s="73"/>
      <c r="CB240" s="73"/>
      <c r="CC240" s="73"/>
      <c r="CD240" s="73"/>
      <c r="CE240" s="73"/>
      <c r="CF240" s="73"/>
      <c r="CG240" s="73"/>
      <c r="CH240" s="73">
        <f t="shared" si="6"/>
        <v>0</v>
      </c>
      <c r="CI240" s="73"/>
      <c r="CJ240" s="73"/>
      <c r="CK240" s="72"/>
      <c r="CL240" s="73"/>
      <c r="CM240" s="73"/>
      <c r="CN240" s="84"/>
      <c r="CO240" s="73"/>
      <c r="CP240" s="73"/>
      <c r="CQ240" s="73"/>
      <c r="CR240" s="73"/>
      <c r="CS240" s="73"/>
      <c r="CT240" s="73"/>
      <c r="CU240" s="73"/>
      <c r="CV240" s="84">
        <f t="shared" si="7"/>
        <v>0</v>
      </c>
      <c r="CW240" s="84"/>
      <c r="CX240" s="74"/>
      <c r="CY240" s="74"/>
      <c r="CZ240" s="74"/>
      <c r="DA240" s="74"/>
      <c r="DB240" s="74"/>
      <c r="DC240" s="74"/>
      <c r="DD240" s="74"/>
    </row>
    <row r="241" spans="1:108" s="68" customFormat="1" ht="15" hidden="1" customHeight="1" x14ac:dyDescent="0.25">
      <c r="A241" s="74" t="s">
        <v>692</v>
      </c>
      <c r="B241" s="74" t="s">
        <v>154</v>
      </c>
      <c r="C241" s="74" t="s">
        <v>172</v>
      </c>
      <c r="D241" s="85" t="s">
        <v>196</v>
      </c>
      <c r="E241" s="74" t="s">
        <v>309</v>
      </c>
      <c r="F241" s="74" t="s">
        <v>550</v>
      </c>
      <c r="G241" s="74" t="s">
        <v>137</v>
      </c>
      <c r="H241" s="74" t="s">
        <v>137</v>
      </c>
      <c r="I241" s="74" t="s">
        <v>66</v>
      </c>
      <c r="J241" s="74" t="s">
        <v>532</v>
      </c>
      <c r="K241" s="82" t="s">
        <v>137</v>
      </c>
      <c r="L241" s="82" t="s">
        <v>137</v>
      </c>
      <c r="M241" s="82" t="s">
        <v>137</v>
      </c>
      <c r="N241" s="82" t="s">
        <v>137</v>
      </c>
      <c r="O241" s="82" t="s">
        <v>137</v>
      </c>
      <c r="P241" s="82" t="s">
        <v>137</v>
      </c>
      <c r="Q241" s="74" t="s">
        <v>553</v>
      </c>
      <c r="R241" s="74" t="s">
        <v>710</v>
      </c>
      <c r="S241" s="74" t="s">
        <v>556</v>
      </c>
      <c r="T241" s="74" t="s">
        <v>320</v>
      </c>
      <c r="U241" s="75">
        <v>0.95</v>
      </c>
      <c r="V241" s="75">
        <v>0.95</v>
      </c>
      <c r="W241" s="75">
        <v>0.95</v>
      </c>
      <c r="X241" s="75">
        <v>0.95</v>
      </c>
      <c r="Y241" s="75">
        <v>0.95</v>
      </c>
      <c r="Z241" s="75">
        <v>0.95</v>
      </c>
      <c r="AA241" s="75">
        <v>0.95</v>
      </c>
      <c r="AB241" s="75">
        <v>0.95</v>
      </c>
      <c r="AC241" s="75">
        <v>0.95</v>
      </c>
      <c r="AD241" s="75">
        <v>0.95</v>
      </c>
      <c r="AE241" s="75">
        <v>0.95</v>
      </c>
      <c r="AF241" s="75">
        <v>0.95</v>
      </c>
      <c r="AG241" s="74" t="s">
        <v>773</v>
      </c>
      <c r="AH241" s="74" t="s">
        <v>531</v>
      </c>
      <c r="AI241" s="78" t="s">
        <v>539</v>
      </c>
      <c r="AJ241" s="79" t="s">
        <v>539</v>
      </c>
      <c r="AK241" s="80">
        <v>46023</v>
      </c>
      <c r="AL241" s="80">
        <v>46387</v>
      </c>
      <c r="AM241" s="79"/>
      <c r="AN241" s="79"/>
      <c r="AO241" s="79"/>
      <c r="AP241" s="81" t="s">
        <v>541</v>
      </c>
      <c r="AQ241" s="80" t="s">
        <v>137</v>
      </c>
      <c r="AR241" s="80" t="s">
        <v>137</v>
      </c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85" t="s">
        <v>1024</v>
      </c>
      <c r="BG241" s="74"/>
      <c r="BH241" s="74" t="s">
        <v>1034</v>
      </c>
      <c r="BI241" s="74" t="s">
        <v>137</v>
      </c>
      <c r="BJ241" s="78">
        <v>570199</v>
      </c>
      <c r="BK241" s="82" t="s">
        <v>74</v>
      </c>
      <c r="BL241" s="86"/>
      <c r="BM241" s="73"/>
      <c r="BN241" s="84"/>
      <c r="BO241" s="84"/>
      <c r="BP241" s="72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>
        <v>900</v>
      </c>
      <c r="CA241" s="84"/>
      <c r="CB241" s="84"/>
      <c r="CC241" s="84"/>
      <c r="CD241" s="84"/>
      <c r="CE241" s="84"/>
      <c r="CF241" s="84"/>
      <c r="CG241" s="84"/>
      <c r="CH241" s="73">
        <f t="shared" si="6"/>
        <v>900</v>
      </c>
      <c r="CI241" s="73"/>
      <c r="CJ241" s="84"/>
      <c r="CK241" s="84"/>
      <c r="CL241" s="72">
        <v>808.4</v>
      </c>
      <c r="CM241" s="84"/>
      <c r="CN241" s="84"/>
      <c r="CO241" s="84"/>
      <c r="CP241" s="84"/>
      <c r="CQ241" s="84"/>
      <c r="CR241" s="84"/>
      <c r="CS241" s="84"/>
      <c r="CT241" s="84">
        <v>91.6</v>
      </c>
      <c r="CU241" s="84"/>
      <c r="CV241" s="84">
        <f t="shared" si="7"/>
        <v>0</v>
      </c>
      <c r="CW241" s="84"/>
      <c r="CX241" s="74" t="s">
        <v>1236</v>
      </c>
      <c r="CY241" s="74"/>
      <c r="CZ241" s="103" t="s">
        <v>1309</v>
      </c>
      <c r="DA241" s="103" t="s">
        <v>1236</v>
      </c>
      <c r="DB241" s="74"/>
      <c r="DC241" s="74"/>
      <c r="DD241" s="74"/>
    </row>
    <row r="242" spans="1:108" s="68" customFormat="1" ht="15" hidden="1" customHeight="1" x14ac:dyDescent="0.25">
      <c r="A242" s="74" t="s">
        <v>692</v>
      </c>
      <c r="B242" s="74" t="s">
        <v>154</v>
      </c>
      <c r="C242" s="74" t="s">
        <v>172</v>
      </c>
      <c r="D242" s="85" t="s">
        <v>196</v>
      </c>
      <c r="E242" s="74" t="s">
        <v>309</v>
      </c>
      <c r="F242" s="74" t="s">
        <v>550</v>
      </c>
      <c r="G242" s="74" t="s">
        <v>137</v>
      </c>
      <c r="H242" s="74" t="s">
        <v>137</v>
      </c>
      <c r="I242" s="74" t="s">
        <v>66</v>
      </c>
      <c r="J242" s="74" t="s">
        <v>532</v>
      </c>
      <c r="K242" s="82" t="s">
        <v>137</v>
      </c>
      <c r="L242" s="82" t="s">
        <v>137</v>
      </c>
      <c r="M242" s="82" t="s">
        <v>137</v>
      </c>
      <c r="N242" s="82" t="s">
        <v>137</v>
      </c>
      <c r="O242" s="82" t="s">
        <v>137</v>
      </c>
      <c r="P242" s="82" t="s">
        <v>137</v>
      </c>
      <c r="Q242" s="74" t="s">
        <v>553</v>
      </c>
      <c r="R242" s="74" t="s">
        <v>710</v>
      </c>
      <c r="S242" s="74" t="s">
        <v>556</v>
      </c>
      <c r="T242" s="74" t="s">
        <v>320</v>
      </c>
      <c r="U242" s="75">
        <v>0.95</v>
      </c>
      <c r="V242" s="75">
        <v>0.95</v>
      </c>
      <c r="W242" s="75">
        <v>0.95</v>
      </c>
      <c r="X242" s="75">
        <v>0.95</v>
      </c>
      <c r="Y242" s="75">
        <v>0.95</v>
      </c>
      <c r="Z242" s="75">
        <v>0.95</v>
      </c>
      <c r="AA242" s="75">
        <v>0.95</v>
      </c>
      <c r="AB242" s="75">
        <v>0.95</v>
      </c>
      <c r="AC242" s="75">
        <v>0.95</v>
      </c>
      <c r="AD242" s="75">
        <v>0.95</v>
      </c>
      <c r="AE242" s="75">
        <v>0.95</v>
      </c>
      <c r="AF242" s="75">
        <v>0.95</v>
      </c>
      <c r="AG242" s="74" t="s">
        <v>534</v>
      </c>
      <c r="AH242" s="74" t="s">
        <v>530</v>
      </c>
      <c r="AI242" s="78" t="s">
        <v>539</v>
      </c>
      <c r="AJ242" s="79" t="s">
        <v>539</v>
      </c>
      <c r="AK242" s="80">
        <v>46023</v>
      </c>
      <c r="AL242" s="80">
        <v>46387</v>
      </c>
      <c r="AM242" s="79"/>
      <c r="AN242" s="79"/>
      <c r="AO242" s="79"/>
      <c r="AP242" s="81" t="s">
        <v>541</v>
      </c>
      <c r="AQ242" s="80" cm="1">
        <f t="array" ref="AQ242">IFERROR(DATE(2026, _xlfn.AGGREGATE(15, 6, (COLUMN(CI242:CT242)-COLUMN(CI242)+1)/(CI242:CT242&lt;&gt;0), 1), 1),"N/A")</f>
        <v>46143</v>
      </c>
      <c r="AR242" s="80" cm="1">
        <f t="array" ref="AR242">IFERROR(EOMONTH(DATE(2026, _xlfn.AGGREGATE(14, 6, (COLUMN(CI242:CT242)-COLUMN(CI242)+1)/(CI242:CT242&lt;&gt;0), 1), 1), 0),"N/A")</f>
        <v>46387</v>
      </c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85" t="s">
        <v>573</v>
      </c>
      <c r="BG242" s="74"/>
      <c r="BH242" s="74" t="s">
        <v>737</v>
      </c>
      <c r="BI242" s="74" t="s">
        <v>137</v>
      </c>
      <c r="BJ242" s="78">
        <v>630204</v>
      </c>
      <c r="BK242" s="82" t="s">
        <v>74</v>
      </c>
      <c r="BL242" s="83">
        <v>100</v>
      </c>
      <c r="BM242" s="73">
        <v>0</v>
      </c>
      <c r="BN242" s="73">
        <v>0</v>
      </c>
      <c r="BO242" s="73">
        <v>0</v>
      </c>
      <c r="BP242" s="73">
        <v>0</v>
      </c>
      <c r="BQ242" s="73">
        <v>0</v>
      </c>
      <c r="BR242" s="73">
        <v>0</v>
      </c>
      <c r="BS242" s="73">
        <v>0</v>
      </c>
      <c r="BT242" s="73">
        <v>0</v>
      </c>
      <c r="BU242" s="73">
        <v>0</v>
      </c>
      <c r="BV242" s="73">
        <v>0</v>
      </c>
      <c r="BW242" s="73">
        <v>0</v>
      </c>
      <c r="BX242" s="84">
        <v>100</v>
      </c>
      <c r="BY242" s="84"/>
      <c r="BZ242" s="84"/>
      <c r="CA242" s="84"/>
      <c r="CB242" s="84"/>
      <c r="CC242" s="84"/>
      <c r="CD242" s="84"/>
      <c r="CE242" s="84"/>
      <c r="CF242" s="84"/>
      <c r="CG242" s="84"/>
      <c r="CH242" s="73">
        <f t="shared" si="6"/>
        <v>100</v>
      </c>
      <c r="CI242" s="73"/>
      <c r="CJ242" s="73"/>
      <c r="CK242" s="72">
        <v>0</v>
      </c>
      <c r="CL242" s="73">
        <v>0</v>
      </c>
      <c r="CM242" s="73">
        <v>41.4</v>
      </c>
      <c r="CN242" s="73">
        <v>0</v>
      </c>
      <c r="CO242" s="73">
        <v>0</v>
      </c>
      <c r="CP242" s="73">
        <v>0</v>
      </c>
      <c r="CQ242" s="73">
        <v>0</v>
      </c>
      <c r="CR242" s="73">
        <v>0</v>
      </c>
      <c r="CS242" s="73">
        <v>0</v>
      </c>
      <c r="CT242" s="84">
        <v>58.6</v>
      </c>
      <c r="CU242" s="84"/>
      <c r="CV242" s="84">
        <f t="shared" si="7"/>
        <v>0</v>
      </c>
      <c r="CW242" s="84"/>
      <c r="CX242" s="74" t="s">
        <v>1236</v>
      </c>
      <c r="CY242" s="74"/>
      <c r="CZ242" s="103" t="s">
        <v>1309</v>
      </c>
      <c r="DA242" s="103" t="s">
        <v>1236</v>
      </c>
      <c r="DB242" s="74"/>
      <c r="DC242" s="74"/>
      <c r="DD242" s="74"/>
    </row>
    <row r="243" spans="1:108" s="68" customFormat="1" ht="155.44999999999999" hidden="1" customHeight="1" x14ac:dyDescent="0.25">
      <c r="A243" s="74" t="s">
        <v>697</v>
      </c>
      <c r="B243" s="74" t="s">
        <v>154</v>
      </c>
      <c r="C243" s="74" t="s">
        <v>172</v>
      </c>
      <c r="D243" s="85" t="s">
        <v>196</v>
      </c>
      <c r="E243" s="74" t="s">
        <v>309</v>
      </c>
      <c r="F243" s="74" t="s">
        <v>550</v>
      </c>
      <c r="G243" s="74" t="s">
        <v>137</v>
      </c>
      <c r="H243" s="74" t="s">
        <v>137</v>
      </c>
      <c r="I243" s="74" t="s">
        <v>66</v>
      </c>
      <c r="J243" s="74" t="s">
        <v>532</v>
      </c>
      <c r="K243" s="82" t="s">
        <v>137</v>
      </c>
      <c r="L243" s="82" t="s">
        <v>137</v>
      </c>
      <c r="M243" s="82" t="s">
        <v>137</v>
      </c>
      <c r="N243" s="82" t="s">
        <v>137</v>
      </c>
      <c r="O243" s="82" t="s">
        <v>137</v>
      </c>
      <c r="P243" s="82" t="s">
        <v>137</v>
      </c>
      <c r="Q243" s="74" t="s">
        <v>553</v>
      </c>
      <c r="R243" s="74" t="s">
        <v>710</v>
      </c>
      <c r="S243" s="74" t="s">
        <v>556</v>
      </c>
      <c r="T243" s="74" t="s">
        <v>320</v>
      </c>
      <c r="U243" s="75">
        <v>0.95</v>
      </c>
      <c r="V243" s="75">
        <v>0.95</v>
      </c>
      <c r="W243" s="75">
        <v>0.95</v>
      </c>
      <c r="X243" s="75">
        <v>0.95</v>
      </c>
      <c r="Y243" s="75">
        <v>0.95</v>
      </c>
      <c r="Z243" s="75">
        <v>0.95</v>
      </c>
      <c r="AA243" s="75">
        <v>0.95</v>
      </c>
      <c r="AB243" s="75">
        <v>0.95</v>
      </c>
      <c r="AC243" s="75">
        <v>0.95</v>
      </c>
      <c r="AD243" s="75">
        <v>0.95</v>
      </c>
      <c r="AE243" s="75">
        <v>0.95</v>
      </c>
      <c r="AF243" s="75">
        <v>0.95</v>
      </c>
      <c r="AG243" s="74" t="s">
        <v>534</v>
      </c>
      <c r="AH243" s="74" t="s">
        <v>530</v>
      </c>
      <c r="AI243" s="78" t="s">
        <v>539</v>
      </c>
      <c r="AJ243" s="79" t="s">
        <v>539</v>
      </c>
      <c r="AK243" s="80">
        <v>46023</v>
      </c>
      <c r="AL243" s="80">
        <v>46387</v>
      </c>
      <c r="AM243" s="79"/>
      <c r="AN243" s="79"/>
      <c r="AO243" s="79"/>
      <c r="AP243" s="81" t="s">
        <v>541</v>
      </c>
      <c r="AQ243" s="80" cm="1">
        <f t="array" ref="AQ243">IFERROR(DATE(2026, _xlfn.AGGREGATE(15, 6, (COLUMN(CI243:CT243)-COLUMN(CI243)+1)/(CI243:CT243&lt;&gt;0), 1), 1),"N/A")</f>
        <v>46266</v>
      </c>
      <c r="AR243" s="80" cm="1">
        <f t="array" ref="AR243">IFERROR(EOMONTH(DATE(2026, _xlfn.AGGREGATE(14, 6, (COLUMN(CI243:CT243)-COLUMN(CI243)+1)/(CI243:CT243&lt;&gt;0), 1), 1), 0),"N/A")</f>
        <v>46387</v>
      </c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85" t="s">
        <v>706</v>
      </c>
      <c r="BG243" s="74"/>
      <c r="BH243" s="74" t="s">
        <v>897</v>
      </c>
      <c r="BI243" s="74" t="s">
        <v>1014</v>
      </c>
      <c r="BJ243" s="78">
        <v>630601</v>
      </c>
      <c r="BK243" s="82" t="s">
        <v>74</v>
      </c>
      <c r="BL243" s="83">
        <v>85000</v>
      </c>
      <c r="BM243" s="73"/>
      <c r="BN243" s="73"/>
      <c r="BO243" s="73"/>
      <c r="BP243" s="73"/>
      <c r="BQ243" s="73"/>
      <c r="BR243" s="84"/>
      <c r="BS243" s="73"/>
      <c r="BT243" s="73"/>
      <c r="BU243" s="73"/>
      <c r="BV243" s="73"/>
      <c r="BW243" s="73"/>
      <c r="BX243" s="73">
        <v>85000</v>
      </c>
      <c r="BY243" s="73"/>
      <c r="BZ243" s="73"/>
      <c r="CA243" s="73">
        <v>-42500</v>
      </c>
      <c r="CB243" s="73"/>
      <c r="CC243" s="73"/>
      <c r="CD243" s="73"/>
      <c r="CE243" s="73"/>
      <c r="CF243" s="73"/>
      <c r="CG243" s="73"/>
      <c r="CH243" s="73">
        <f t="shared" si="6"/>
        <v>42500</v>
      </c>
      <c r="CI243" s="73"/>
      <c r="CJ243" s="73"/>
      <c r="CK243" s="72"/>
      <c r="CL243" s="73"/>
      <c r="CM243" s="73"/>
      <c r="CN243" s="84"/>
      <c r="CO243" s="73"/>
      <c r="CP243" s="73"/>
      <c r="CQ243" s="73">
        <v>20000</v>
      </c>
      <c r="CR243" s="73"/>
      <c r="CS243" s="73"/>
      <c r="CT243" s="73">
        <v>22500</v>
      </c>
      <c r="CU243" s="73"/>
      <c r="CV243" s="84">
        <f t="shared" si="7"/>
        <v>0</v>
      </c>
      <c r="CW243" s="85" t="s">
        <v>1247</v>
      </c>
      <c r="CX243" s="85"/>
      <c r="CY243" s="85"/>
      <c r="CZ243" s="85" t="s">
        <v>1310</v>
      </c>
      <c r="DA243" s="137" t="s">
        <v>1313</v>
      </c>
      <c r="DB243" s="138" t="s">
        <v>1314</v>
      </c>
      <c r="DC243" s="85" t="s">
        <v>1321</v>
      </c>
      <c r="DD243" s="74"/>
    </row>
    <row r="244" spans="1:108" s="68" customFormat="1" ht="15" hidden="1" customHeight="1" x14ac:dyDescent="0.25">
      <c r="A244" s="74" t="s">
        <v>699</v>
      </c>
      <c r="B244" s="74" t="s">
        <v>154</v>
      </c>
      <c r="C244" s="74" t="s">
        <v>172</v>
      </c>
      <c r="D244" s="85" t="s">
        <v>196</v>
      </c>
      <c r="E244" s="74" t="s">
        <v>309</v>
      </c>
      <c r="F244" s="74" t="s">
        <v>550</v>
      </c>
      <c r="G244" s="74" t="s">
        <v>137</v>
      </c>
      <c r="H244" s="74" t="s">
        <v>137</v>
      </c>
      <c r="I244" s="74" t="s">
        <v>66</v>
      </c>
      <c r="J244" s="74" t="s">
        <v>532</v>
      </c>
      <c r="K244" s="82" t="s">
        <v>137</v>
      </c>
      <c r="L244" s="82" t="s">
        <v>137</v>
      </c>
      <c r="M244" s="82" t="s">
        <v>137</v>
      </c>
      <c r="N244" s="82" t="s">
        <v>137</v>
      </c>
      <c r="O244" s="82" t="s">
        <v>137</v>
      </c>
      <c r="P244" s="82" t="s">
        <v>137</v>
      </c>
      <c r="Q244" s="74" t="s">
        <v>553</v>
      </c>
      <c r="R244" s="74" t="s">
        <v>710</v>
      </c>
      <c r="S244" s="74" t="s">
        <v>556</v>
      </c>
      <c r="T244" s="74" t="s">
        <v>320</v>
      </c>
      <c r="U244" s="75">
        <v>0.95</v>
      </c>
      <c r="V244" s="75">
        <v>0.95</v>
      </c>
      <c r="W244" s="75">
        <v>0.95</v>
      </c>
      <c r="X244" s="75">
        <v>0.95</v>
      </c>
      <c r="Y244" s="75">
        <v>0.95</v>
      </c>
      <c r="Z244" s="75">
        <v>0.95</v>
      </c>
      <c r="AA244" s="75">
        <v>0.95</v>
      </c>
      <c r="AB244" s="75">
        <v>0.95</v>
      </c>
      <c r="AC244" s="75">
        <v>0.95</v>
      </c>
      <c r="AD244" s="75">
        <v>0.95</v>
      </c>
      <c r="AE244" s="75">
        <v>0.95</v>
      </c>
      <c r="AF244" s="75">
        <v>0.95</v>
      </c>
      <c r="AG244" s="74" t="s">
        <v>534</v>
      </c>
      <c r="AH244" s="74" t="s">
        <v>530</v>
      </c>
      <c r="AI244" s="78" t="s">
        <v>539</v>
      </c>
      <c r="AJ244" s="79" t="s">
        <v>539</v>
      </c>
      <c r="AK244" s="80">
        <v>46023</v>
      </c>
      <c r="AL244" s="80">
        <v>46387</v>
      </c>
      <c r="AM244" s="79"/>
      <c r="AN244" s="79"/>
      <c r="AO244" s="79"/>
      <c r="AP244" s="81" t="s">
        <v>541</v>
      </c>
      <c r="AQ244" s="80" t="str" cm="1">
        <f t="array" ref="AQ244">IFERROR(DATE(2026, _xlfn.AGGREGATE(15, 6, (COLUMN(CI244:CT244)-COLUMN(CI244)+1)/(CI244:CT244&lt;&gt;0), 1), 1),"N/A")</f>
        <v>N/A</v>
      </c>
      <c r="AR244" s="80" t="str" cm="1">
        <f t="array" ref="AR244">IFERROR(EOMONTH(DATE(2026, _xlfn.AGGREGATE(14, 6, (COLUMN(CI244:CT244)-COLUMN(CI244)+1)/(CI244:CT244&lt;&gt;0), 1), 1), 0),"N/A")</f>
        <v>N/A</v>
      </c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4" t="s">
        <v>630</v>
      </c>
      <c r="BG244" s="74"/>
      <c r="BH244" s="74" t="s">
        <v>736</v>
      </c>
      <c r="BI244" s="74" t="s">
        <v>137</v>
      </c>
      <c r="BJ244" s="78">
        <v>630602</v>
      </c>
      <c r="BK244" s="82" t="s">
        <v>74</v>
      </c>
      <c r="BL244" s="83">
        <v>6600</v>
      </c>
      <c r="BM244" s="84" t="s">
        <v>549</v>
      </c>
      <c r="BN244" s="84" t="s">
        <v>549</v>
      </c>
      <c r="BO244" s="84" t="s">
        <v>549</v>
      </c>
      <c r="BP244" s="72" t="s">
        <v>549</v>
      </c>
      <c r="BQ244" s="84">
        <v>6600</v>
      </c>
      <c r="BR244" s="84" t="s">
        <v>549</v>
      </c>
      <c r="BS244" s="84" t="s">
        <v>549</v>
      </c>
      <c r="BT244" s="84" t="s">
        <v>549</v>
      </c>
      <c r="BU244" s="84" t="s">
        <v>549</v>
      </c>
      <c r="BV244" s="84" t="s">
        <v>549</v>
      </c>
      <c r="BW244" s="84" t="s">
        <v>549</v>
      </c>
      <c r="BX244" s="84" t="s">
        <v>549</v>
      </c>
      <c r="BY244" s="84"/>
      <c r="BZ244" s="84"/>
      <c r="CA244" s="84"/>
      <c r="CB244" s="84"/>
      <c r="CC244" s="84"/>
      <c r="CD244" s="84"/>
      <c r="CE244" s="84">
        <v>-6600</v>
      </c>
      <c r="CF244" s="84"/>
      <c r="CG244" s="84"/>
      <c r="CH244" s="73">
        <f t="shared" si="6"/>
        <v>0</v>
      </c>
      <c r="CI244" s="84"/>
      <c r="CJ244" s="84"/>
      <c r="CK244" s="84"/>
      <c r="CL244" s="72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>
        <f t="shared" si="7"/>
        <v>0</v>
      </c>
      <c r="CW244" s="84"/>
      <c r="CX244" s="74"/>
      <c r="CY244" s="74"/>
      <c r="CZ244" s="74"/>
      <c r="DA244" s="74"/>
      <c r="DB244" s="74"/>
      <c r="DC244" s="74"/>
      <c r="DD244" s="74"/>
    </row>
    <row r="245" spans="1:108" s="68" customFormat="1" ht="54" hidden="1" customHeight="1" x14ac:dyDescent="0.25">
      <c r="A245" s="74" t="s">
        <v>699</v>
      </c>
      <c r="B245" s="74" t="s">
        <v>154</v>
      </c>
      <c r="C245" s="74" t="s">
        <v>172</v>
      </c>
      <c r="D245" s="85" t="s">
        <v>196</v>
      </c>
      <c r="E245" s="74" t="s">
        <v>309</v>
      </c>
      <c r="F245" s="74" t="s">
        <v>550</v>
      </c>
      <c r="G245" s="74" t="s">
        <v>137</v>
      </c>
      <c r="H245" s="74" t="s">
        <v>137</v>
      </c>
      <c r="I245" s="74" t="s">
        <v>66</v>
      </c>
      <c r="J245" s="74" t="s">
        <v>532</v>
      </c>
      <c r="K245" s="82" t="s">
        <v>137</v>
      </c>
      <c r="L245" s="82" t="s">
        <v>137</v>
      </c>
      <c r="M245" s="82" t="s">
        <v>137</v>
      </c>
      <c r="N245" s="82" t="s">
        <v>137</v>
      </c>
      <c r="O245" s="82" t="s">
        <v>137</v>
      </c>
      <c r="P245" s="82" t="s">
        <v>137</v>
      </c>
      <c r="Q245" s="74" t="s">
        <v>553</v>
      </c>
      <c r="R245" s="74" t="s">
        <v>710</v>
      </c>
      <c r="S245" s="74" t="s">
        <v>556</v>
      </c>
      <c r="T245" s="74" t="s">
        <v>320</v>
      </c>
      <c r="U245" s="75">
        <v>0.95</v>
      </c>
      <c r="V245" s="75">
        <v>0.95</v>
      </c>
      <c r="W245" s="75">
        <v>0.95</v>
      </c>
      <c r="X245" s="75">
        <v>0.95</v>
      </c>
      <c r="Y245" s="75">
        <v>0.95</v>
      </c>
      <c r="Z245" s="75">
        <v>0.95</v>
      </c>
      <c r="AA245" s="75">
        <v>0.95</v>
      </c>
      <c r="AB245" s="75">
        <v>0.95</v>
      </c>
      <c r="AC245" s="75">
        <v>0.95</v>
      </c>
      <c r="AD245" s="75">
        <v>0.95</v>
      </c>
      <c r="AE245" s="75">
        <v>0.95</v>
      </c>
      <c r="AF245" s="75">
        <v>0.95</v>
      </c>
      <c r="AG245" s="74" t="s">
        <v>534</v>
      </c>
      <c r="AH245" s="74" t="s">
        <v>530</v>
      </c>
      <c r="AI245" s="78" t="s">
        <v>539</v>
      </c>
      <c r="AJ245" s="79" t="s">
        <v>539</v>
      </c>
      <c r="AK245" s="80">
        <v>46023</v>
      </c>
      <c r="AL245" s="80">
        <v>46387</v>
      </c>
      <c r="AM245" s="79"/>
      <c r="AN245" s="79"/>
      <c r="AO245" s="79"/>
      <c r="AP245" s="81" t="s">
        <v>541</v>
      </c>
      <c r="AQ245" s="80" cm="1">
        <f t="array" ref="AQ245">IFERROR(DATE(2026, _xlfn.AGGREGATE(15, 6, (COLUMN(CI245:CT245)-COLUMN(CI245)+1)/(CI245:CT245&lt;&gt;0), 1), 1),"N/A")</f>
        <v>46113</v>
      </c>
      <c r="AR245" s="80" cm="1">
        <f t="array" ref="AR245">IFERROR(EOMONTH(DATE(2026, _xlfn.AGGREGATE(14, 6, (COLUMN(CI245:CT245)-COLUMN(CI245)+1)/(CI245:CT245&lt;&gt;0), 1), 1), 0),"N/A")</f>
        <v>46387</v>
      </c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85" t="s">
        <v>1016</v>
      </c>
      <c r="BG245" s="74"/>
      <c r="BH245" s="74" t="s">
        <v>1017</v>
      </c>
      <c r="BI245" s="74" t="s">
        <v>137</v>
      </c>
      <c r="BJ245" s="78">
        <v>630105</v>
      </c>
      <c r="BK245" s="82" t="s">
        <v>74</v>
      </c>
      <c r="BL245" s="83">
        <v>0</v>
      </c>
      <c r="BM245" s="84"/>
      <c r="BN245" s="84"/>
      <c r="BO245" s="84"/>
      <c r="BP245" s="72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>
        <v>20</v>
      </c>
      <c r="CA245" s="84"/>
      <c r="CB245" s="84"/>
      <c r="CC245" s="84"/>
      <c r="CD245" s="84"/>
      <c r="CE245" s="84"/>
      <c r="CF245" s="84"/>
      <c r="CG245" s="84"/>
      <c r="CH245" s="73">
        <f t="shared" si="6"/>
        <v>20</v>
      </c>
      <c r="CI245" s="84"/>
      <c r="CJ245" s="84"/>
      <c r="CK245" s="84"/>
      <c r="CL245" s="72">
        <v>4</v>
      </c>
      <c r="CM245" s="84">
        <v>2</v>
      </c>
      <c r="CN245" s="84">
        <v>2</v>
      </c>
      <c r="CO245" s="84">
        <v>2</v>
      </c>
      <c r="CP245" s="84">
        <v>2</v>
      </c>
      <c r="CQ245" s="84">
        <v>2</v>
      </c>
      <c r="CR245" s="84">
        <v>2</v>
      </c>
      <c r="CS245" s="84">
        <v>2</v>
      </c>
      <c r="CT245" s="84">
        <v>2</v>
      </c>
      <c r="CU245" s="84"/>
      <c r="CV245" s="84">
        <f t="shared" si="7"/>
        <v>0</v>
      </c>
      <c r="CW245" s="84"/>
      <c r="CX245" s="74" t="s">
        <v>1231</v>
      </c>
      <c r="CY245" s="74"/>
      <c r="CZ245" s="74"/>
      <c r="DA245" s="74" t="s">
        <v>1235</v>
      </c>
      <c r="DB245" s="74"/>
      <c r="DC245" s="74"/>
      <c r="DD245" s="74"/>
    </row>
    <row r="246" spans="1:108" s="169" customFormat="1" ht="31.9" hidden="1" customHeight="1" x14ac:dyDescent="0.25">
      <c r="A246" s="166" t="s">
        <v>697</v>
      </c>
      <c r="B246" s="74" t="s">
        <v>154</v>
      </c>
      <c r="C246" s="74" t="s">
        <v>172</v>
      </c>
      <c r="D246" s="85" t="s">
        <v>196</v>
      </c>
      <c r="E246" s="166" t="s">
        <v>309</v>
      </c>
      <c r="F246" s="74" t="s">
        <v>550</v>
      </c>
      <c r="G246" s="74" t="s">
        <v>137</v>
      </c>
      <c r="H246" s="74" t="s">
        <v>137</v>
      </c>
      <c r="I246" s="74" t="s">
        <v>66</v>
      </c>
      <c r="J246" s="74" t="s">
        <v>532</v>
      </c>
      <c r="K246" s="82" t="s">
        <v>137</v>
      </c>
      <c r="L246" s="82" t="s">
        <v>137</v>
      </c>
      <c r="M246" s="82" t="s">
        <v>137</v>
      </c>
      <c r="N246" s="82" t="s">
        <v>137</v>
      </c>
      <c r="O246" s="82" t="s">
        <v>137</v>
      </c>
      <c r="P246" s="82" t="s">
        <v>137</v>
      </c>
      <c r="Q246" s="74" t="s">
        <v>553</v>
      </c>
      <c r="R246" s="74" t="s">
        <v>710</v>
      </c>
      <c r="S246" s="74" t="s">
        <v>556</v>
      </c>
      <c r="T246" s="74" t="s">
        <v>320</v>
      </c>
      <c r="U246" s="75">
        <v>0.95</v>
      </c>
      <c r="V246" s="75">
        <v>0.95</v>
      </c>
      <c r="W246" s="75">
        <v>0.95</v>
      </c>
      <c r="X246" s="75">
        <v>0.95</v>
      </c>
      <c r="Y246" s="75">
        <v>0.95</v>
      </c>
      <c r="Z246" s="75">
        <v>0.95</v>
      </c>
      <c r="AA246" s="75">
        <v>0.95</v>
      </c>
      <c r="AB246" s="75">
        <v>0.95</v>
      </c>
      <c r="AC246" s="75">
        <v>0.95</v>
      </c>
      <c r="AD246" s="75">
        <v>0.95</v>
      </c>
      <c r="AE246" s="75">
        <v>0.95</v>
      </c>
      <c r="AF246" s="75">
        <v>0.95</v>
      </c>
      <c r="AG246" s="74" t="s">
        <v>773</v>
      </c>
      <c r="AH246" s="74" t="s">
        <v>531</v>
      </c>
      <c r="AI246" s="78" t="s">
        <v>539</v>
      </c>
      <c r="AJ246" s="79" t="s">
        <v>539</v>
      </c>
      <c r="AK246" s="80">
        <v>46023</v>
      </c>
      <c r="AL246" s="80">
        <v>46387</v>
      </c>
      <c r="AM246" s="79"/>
      <c r="AN246" s="79"/>
      <c r="AO246" s="79"/>
      <c r="AP246" s="81" t="s">
        <v>541</v>
      </c>
      <c r="AQ246" s="80" cm="1">
        <f t="array" ref="AQ246">IFERROR(DATE(2026, _xlfn.AGGREGATE(15, 6, (COLUMN(CI246:CT246)-COLUMN(CI246)+1)/(CI246:CT246&lt;&gt;0), 1), 1),"N/A")</f>
        <v>46143</v>
      </c>
      <c r="AR246" s="80" cm="1">
        <f t="array" ref="AR246">IFERROR(EOMONTH(DATE(2026, _xlfn.AGGREGATE(14, 6, (COLUMN(CI246:CT246)-COLUMN(CI246)+1)/(CI246:CT246&lt;&gt;0), 1), 1), 0),"N/A")</f>
        <v>46173</v>
      </c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167" t="s">
        <v>671</v>
      </c>
      <c r="BG246" s="74"/>
      <c r="BH246" s="74" t="s">
        <v>732</v>
      </c>
      <c r="BI246" s="74" t="s">
        <v>1014</v>
      </c>
      <c r="BJ246" s="78">
        <v>530613</v>
      </c>
      <c r="BK246" s="82" t="s">
        <v>74</v>
      </c>
      <c r="BL246" s="83">
        <v>51996.95</v>
      </c>
      <c r="BM246" s="73">
        <v>0</v>
      </c>
      <c r="BN246" s="73">
        <v>0</v>
      </c>
      <c r="BO246" s="73">
        <v>0</v>
      </c>
      <c r="BP246" s="72">
        <v>51996.95</v>
      </c>
      <c r="BQ246" s="73">
        <v>0</v>
      </c>
      <c r="BR246" s="73">
        <v>0</v>
      </c>
      <c r="BS246" s="73">
        <v>0</v>
      </c>
      <c r="BT246" s="73">
        <v>0</v>
      </c>
      <c r="BU246" s="73">
        <v>0</v>
      </c>
      <c r="BV246" s="73">
        <v>0</v>
      </c>
      <c r="BW246" s="73">
        <v>0</v>
      </c>
      <c r="BX246" s="73">
        <v>0</v>
      </c>
      <c r="BY246" s="73">
        <v>-11348.45</v>
      </c>
      <c r="BZ246" s="73"/>
      <c r="CA246" s="73"/>
      <c r="CB246" s="73"/>
      <c r="CC246" s="73"/>
      <c r="CD246" s="73"/>
      <c r="CE246" s="73"/>
      <c r="CF246" s="73"/>
      <c r="CG246" s="73"/>
      <c r="CH246" s="168">
        <f t="shared" si="6"/>
        <v>40648.5</v>
      </c>
      <c r="CI246" s="73"/>
      <c r="CJ246" s="73"/>
      <c r="CK246" s="72">
        <v>0</v>
      </c>
      <c r="CL246" s="72"/>
      <c r="CM246" s="73">
        <v>40648.5</v>
      </c>
      <c r="CN246" s="73">
        <v>0</v>
      </c>
      <c r="CO246" s="73">
        <v>0</v>
      </c>
      <c r="CP246" s="73">
        <v>0</v>
      </c>
      <c r="CQ246" s="73">
        <v>0</v>
      </c>
      <c r="CR246" s="73">
        <v>0</v>
      </c>
      <c r="CS246" s="73">
        <v>0</v>
      </c>
      <c r="CT246" s="73">
        <v>0</v>
      </c>
      <c r="CU246" s="73"/>
      <c r="CV246" s="84">
        <f t="shared" si="7"/>
        <v>0</v>
      </c>
      <c r="CW246" s="84"/>
      <c r="CX246" s="68"/>
      <c r="CY246" s="68"/>
      <c r="CZ246" s="167"/>
      <c r="DA246" s="169" t="s">
        <v>1236</v>
      </c>
    </row>
    <row r="247" spans="1:108" s="169" customFormat="1" ht="31.9" hidden="1" customHeight="1" x14ac:dyDescent="0.25">
      <c r="A247" s="166" t="s">
        <v>697</v>
      </c>
      <c r="B247" s="74" t="s">
        <v>154</v>
      </c>
      <c r="C247" s="74" t="s">
        <v>172</v>
      </c>
      <c r="D247" s="85" t="s">
        <v>196</v>
      </c>
      <c r="E247" s="166" t="s">
        <v>309</v>
      </c>
      <c r="F247" s="74" t="s">
        <v>550</v>
      </c>
      <c r="G247" s="74" t="s">
        <v>137</v>
      </c>
      <c r="H247" s="74" t="s">
        <v>137</v>
      </c>
      <c r="I247" s="74" t="s">
        <v>66</v>
      </c>
      <c r="J247" s="74" t="s">
        <v>532</v>
      </c>
      <c r="K247" s="82" t="s">
        <v>137</v>
      </c>
      <c r="L247" s="82" t="s">
        <v>137</v>
      </c>
      <c r="M247" s="82" t="s">
        <v>137</v>
      </c>
      <c r="N247" s="82" t="s">
        <v>137</v>
      </c>
      <c r="O247" s="82" t="s">
        <v>137</v>
      </c>
      <c r="P247" s="82" t="s">
        <v>137</v>
      </c>
      <c r="Q247" s="74" t="s">
        <v>553</v>
      </c>
      <c r="R247" s="74" t="s">
        <v>710</v>
      </c>
      <c r="S247" s="74" t="s">
        <v>556</v>
      </c>
      <c r="T247" s="74" t="s">
        <v>320</v>
      </c>
      <c r="U247" s="75">
        <v>0.95</v>
      </c>
      <c r="V247" s="75">
        <v>0.95</v>
      </c>
      <c r="W247" s="75">
        <v>0.95</v>
      </c>
      <c r="X247" s="75">
        <v>0.95</v>
      </c>
      <c r="Y247" s="75">
        <v>0.95</v>
      </c>
      <c r="Z247" s="75">
        <v>0.95</v>
      </c>
      <c r="AA247" s="75">
        <v>0.95</v>
      </c>
      <c r="AB247" s="75">
        <v>0.95</v>
      </c>
      <c r="AC247" s="75">
        <v>0.95</v>
      </c>
      <c r="AD247" s="75">
        <v>0.95</v>
      </c>
      <c r="AE247" s="75">
        <v>0.95</v>
      </c>
      <c r="AF247" s="75">
        <v>0.95</v>
      </c>
      <c r="AG247" s="74" t="s">
        <v>534</v>
      </c>
      <c r="AH247" s="74" t="s">
        <v>788</v>
      </c>
      <c r="AI247" s="78" t="s">
        <v>539</v>
      </c>
      <c r="AJ247" s="79" t="s">
        <v>539</v>
      </c>
      <c r="AK247" s="80">
        <v>46023</v>
      </c>
      <c r="AL247" s="80">
        <v>46387</v>
      </c>
      <c r="AM247" s="79"/>
      <c r="AN247" s="79"/>
      <c r="AO247" s="79"/>
      <c r="AP247" s="81" t="s">
        <v>541</v>
      </c>
      <c r="AQ247" s="80" cm="1">
        <f t="array" ref="AQ247">IFERROR(DATE(2026, _xlfn.AGGREGATE(15, 6, (COLUMN(CI247:CT247)-COLUMN(CI247)+1)/(CI247:CT247&lt;&gt;0), 1), 1),"N/A")</f>
        <v>46143</v>
      </c>
      <c r="AR247" s="80" cm="1">
        <f t="array" ref="AR247">IFERROR(EOMONTH(DATE(2026, _xlfn.AGGREGATE(14, 6, (COLUMN(CI247:CT247)-COLUMN(CI247)+1)/(CI247:CT247&lt;&gt;0), 1), 1), 0),"N/A")</f>
        <v>46173</v>
      </c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167" t="s">
        <v>993</v>
      </c>
      <c r="BG247" s="74"/>
      <c r="BH247" s="74" t="s">
        <v>994</v>
      </c>
      <c r="BI247" s="74" t="s">
        <v>1014</v>
      </c>
      <c r="BJ247" s="78">
        <v>530613</v>
      </c>
      <c r="BK247" s="82" t="s">
        <v>74</v>
      </c>
      <c r="BL247" s="83">
        <v>0</v>
      </c>
      <c r="BM247" s="73"/>
      <c r="BN247" s="73"/>
      <c r="BO247" s="73"/>
      <c r="BP247" s="73"/>
      <c r="BQ247" s="73"/>
      <c r="BR247" s="73"/>
      <c r="BS247" s="73"/>
      <c r="BT247" s="84"/>
      <c r="BU247" s="73"/>
      <c r="BV247" s="73"/>
      <c r="BW247" s="73"/>
      <c r="BX247" s="84"/>
      <c r="BY247" s="84">
        <v>1492.25</v>
      </c>
      <c r="BZ247" s="84"/>
      <c r="CA247" s="84"/>
      <c r="CB247" s="84"/>
      <c r="CC247" s="84"/>
      <c r="CD247" s="84"/>
      <c r="CE247" s="84"/>
      <c r="CF247" s="84"/>
      <c r="CG247" s="84"/>
      <c r="CH247" s="168">
        <f t="shared" si="6"/>
        <v>1492.25</v>
      </c>
      <c r="CI247" s="73"/>
      <c r="CJ247" s="73"/>
      <c r="CK247" s="72"/>
      <c r="CL247" s="73"/>
      <c r="CM247" s="73">
        <v>1492.25</v>
      </c>
      <c r="CN247" s="73"/>
      <c r="CO247" s="73"/>
      <c r="CP247" s="84"/>
      <c r="CQ247" s="73"/>
      <c r="CR247" s="73"/>
      <c r="CS247" s="73"/>
      <c r="CT247" s="84"/>
      <c r="CU247" s="84"/>
      <c r="CV247" s="84">
        <f t="shared" si="7"/>
        <v>0</v>
      </c>
      <c r="CW247" s="84"/>
      <c r="CX247" s="74"/>
      <c r="CY247" s="74"/>
      <c r="CZ247" s="166" t="s">
        <v>1300</v>
      </c>
      <c r="DA247" s="166" t="s">
        <v>1236</v>
      </c>
      <c r="DB247" s="166"/>
      <c r="DC247" s="166"/>
      <c r="DD247" s="166"/>
    </row>
    <row r="248" spans="1:108" s="68" customFormat="1" ht="218.45" hidden="1" customHeight="1" x14ac:dyDescent="0.25">
      <c r="A248" s="74" t="s">
        <v>697</v>
      </c>
      <c r="B248" s="74" t="s">
        <v>154</v>
      </c>
      <c r="C248" s="74" t="s">
        <v>172</v>
      </c>
      <c r="D248" s="85" t="s">
        <v>196</v>
      </c>
      <c r="E248" s="74" t="s">
        <v>309</v>
      </c>
      <c r="F248" s="74" t="s">
        <v>550</v>
      </c>
      <c r="G248" s="74" t="s">
        <v>137</v>
      </c>
      <c r="H248" s="74" t="s">
        <v>137</v>
      </c>
      <c r="I248" s="74" t="s">
        <v>66</v>
      </c>
      <c r="J248" s="74" t="s">
        <v>532</v>
      </c>
      <c r="K248" s="82" t="s">
        <v>137</v>
      </c>
      <c r="L248" s="82" t="s">
        <v>137</v>
      </c>
      <c r="M248" s="82" t="s">
        <v>137</v>
      </c>
      <c r="N248" s="82" t="s">
        <v>137</v>
      </c>
      <c r="O248" s="82" t="s">
        <v>137</v>
      </c>
      <c r="P248" s="82" t="s">
        <v>137</v>
      </c>
      <c r="Q248" s="74" t="s">
        <v>553</v>
      </c>
      <c r="R248" s="74" t="s">
        <v>710</v>
      </c>
      <c r="S248" s="74" t="s">
        <v>556</v>
      </c>
      <c r="T248" s="74" t="s">
        <v>320</v>
      </c>
      <c r="U248" s="75">
        <v>0.95</v>
      </c>
      <c r="V248" s="75">
        <v>0.95</v>
      </c>
      <c r="W248" s="75">
        <v>0.95</v>
      </c>
      <c r="X248" s="75">
        <v>0.95</v>
      </c>
      <c r="Y248" s="75">
        <v>0.95</v>
      </c>
      <c r="Z248" s="75">
        <v>0.95</v>
      </c>
      <c r="AA248" s="75">
        <v>0.95</v>
      </c>
      <c r="AB248" s="75">
        <v>0.95</v>
      </c>
      <c r="AC248" s="75">
        <v>0.95</v>
      </c>
      <c r="AD248" s="75">
        <v>0.95</v>
      </c>
      <c r="AE248" s="75">
        <v>0.95</v>
      </c>
      <c r="AF248" s="75">
        <v>0.95</v>
      </c>
      <c r="AG248" s="74" t="s">
        <v>534</v>
      </c>
      <c r="AH248" s="74" t="s">
        <v>530</v>
      </c>
      <c r="AI248" s="78" t="s">
        <v>539</v>
      </c>
      <c r="AJ248" s="79" t="s">
        <v>539</v>
      </c>
      <c r="AK248" s="80">
        <v>46023</v>
      </c>
      <c r="AL248" s="80">
        <v>46387</v>
      </c>
      <c r="AM248" s="79"/>
      <c r="AN248" s="79"/>
      <c r="AO248" s="79"/>
      <c r="AP248" s="81" t="s">
        <v>541</v>
      </c>
      <c r="AQ248" s="80" cm="1">
        <f t="array" ref="AQ248">IFERROR(DATE(2026, _xlfn.AGGREGATE(15, 6, (COLUMN(CI248:CT248)-COLUMN(CI248)+1)/(CI248:CT248&lt;&gt;0), 1), 1),"N/A")</f>
        <v>46266</v>
      </c>
      <c r="AR248" s="80" cm="1">
        <f t="array" ref="AR248">IFERROR(EOMONTH(DATE(2026, _xlfn.AGGREGATE(14, 6, (COLUMN(CI248:CT248)-COLUMN(CI248)+1)/(CI248:CT248&lt;&gt;0), 1), 1), 0),"N/A")</f>
        <v>46387</v>
      </c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85" t="s">
        <v>676</v>
      </c>
      <c r="BG248" s="74"/>
      <c r="BH248" s="74" t="s">
        <v>911</v>
      </c>
      <c r="BI248" s="74" t="s">
        <v>1014</v>
      </c>
      <c r="BJ248" s="78">
        <v>530613</v>
      </c>
      <c r="BK248" s="82" t="s">
        <v>74</v>
      </c>
      <c r="BL248" s="83">
        <v>77339.55</v>
      </c>
      <c r="BM248" s="73">
        <v>0</v>
      </c>
      <c r="BN248" s="73">
        <v>0</v>
      </c>
      <c r="BO248" s="73">
        <v>0</v>
      </c>
      <c r="BP248" s="73">
        <v>0</v>
      </c>
      <c r="BQ248" s="73">
        <v>0</v>
      </c>
      <c r="BR248" s="73">
        <v>0</v>
      </c>
      <c r="BS248" s="73">
        <v>0</v>
      </c>
      <c r="BT248" s="84">
        <v>38669.75</v>
      </c>
      <c r="BU248" s="73">
        <v>0</v>
      </c>
      <c r="BV248" s="73">
        <v>0</v>
      </c>
      <c r="BW248" s="73">
        <v>0</v>
      </c>
      <c r="BX248" s="84">
        <v>38669.800000000003</v>
      </c>
      <c r="BY248" s="84">
        <v>9856.2000000000007</v>
      </c>
      <c r="BZ248" s="84"/>
      <c r="CA248" s="84">
        <v>42500</v>
      </c>
      <c r="CB248" s="84"/>
      <c r="CC248" s="84"/>
      <c r="CD248" s="84"/>
      <c r="CE248" s="84"/>
      <c r="CF248" s="84"/>
      <c r="CG248" s="84"/>
      <c r="CH248" s="73">
        <f t="shared" si="6"/>
        <v>129695.75</v>
      </c>
      <c r="CI248" s="73"/>
      <c r="CJ248" s="73"/>
      <c r="CK248" s="72">
        <v>0</v>
      </c>
      <c r="CL248" s="73">
        <v>0</v>
      </c>
      <c r="CM248" s="73">
        <v>0</v>
      </c>
      <c r="CN248" s="73">
        <v>0</v>
      </c>
      <c r="CO248" s="73">
        <v>0</v>
      </c>
      <c r="CP248" s="84">
        <v>0</v>
      </c>
      <c r="CQ248" s="73">
        <v>50800</v>
      </c>
      <c r="CR248" s="73">
        <v>0</v>
      </c>
      <c r="CS248" s="73">
        <v>0</v>
      </c>
      <c r="CT248" s="84">
        <v>78895.75</v>
      </c>
      <c r="CU248" s="84"/>
      <c r="CV248" s="84">
        <f t="shared" si="7"/>
        <v>0</v>
      </c>
      <c r="CW248" s="132"/>
      <c r="CX248" s="132" t="s">
        <v>1246</v>
      </c>
      <c r="CY248" s="132" t="s">
        <v>1256</v>
      </c>
      <c r="CZ248" s="132" t="s">
        <v>1301</v>
      </c>
      <c r="DA248" s="137" t="s">
        <v>1317</v>
      </c>
      <c r="DB248" s="85" t="s">
        <v>1315</v>
      </c>
      <c r="DC248" s="85" t="s">
        <v>1322</v>
      </c>
      <c r="DD248" s="85" t="s">
        <v>1316</v>
      </c>
    </row>
    <row r="249" spans="1:108" s="68" customFormat="1" ht="15" hidden="1" customHeight="1" x14ac:dyDescent="0.25">
      <c r="A249" s="74" t="s">
        <v>699</v>
      </c>
      <c r="B249" s="74" t="s">
        <v>154</v>
      </c>
      <c r="C249" s="74" t="s">
        <v>172</v>
      </c>
      <c r="D249" s="85" t="s">
        <v>196</v>
      </c>
      <c r="E249" s="74" t="s">
        <v>309</v>
      </c>
      <c r="F249" s="74" t="s">
        <v>550</v>
      </c>
      <c r="G249" s="74" t="s">
        <v>137</v>
      </c>
      <c r="H249" s="74" t="s">
        <v>137</v>
      </c>
      <c r="I249" s="74" t="s">
        <v>66</v>
      </c>
      <c r="J249" s="74" t="s">
        <v>532</v>
      </c>
      <c r="K249" s="82" t="s">
        <v>137</v>
      </c>
      <c r="L249" s="82" t="s">
        <v>137</v>
      </c>
      <c r="M249" s="82" t="s">
        <v>137</v>
      </c>
      <c r="N249" s="82" t="s">
        <v>137</v>
      </c>
      <c r="O249" s="82" t="s">
        <v>137</v>
      </c>
      <c r="P249" s="82" t="s">
        <v>137</v>
      </c>
      <c r="Q249" s="74" t="s">
        <v>553</v>
      </c>
      <c r="R249" s="74" t="s">
        <v>710</v>
      </c>
      <c r="S249" s="74" t="s">
        <v>556</v>
      </c>
      <c r="T249" s="74" t="s">
        <v>320</v>
      </c>
      <c r="U249" s="75">
        <v>0.95</v>
      </c>
      <c r="V249" s="75">
        <v>0.95</v>
      </c>
      <c r="W249" s="75">
        <v>0.95</v>
      </c>
      <c r="X249" s="75">
        <v>0.95</v>
      </c>
      <c r="Y249" s="75">
        <v>0.95</v>
      </c>
      <c r="Z249" s="75">
        <v>0.95</v>
      </c>
      <c r="AA249" s="75">
        <v>0.95</v>
      </c>
      <c r="AB249" s="75">
        <v>0.95</v>
      </c>
      <c r="AC249" s="75">
        <v>0.95</v>
      </c>
      <c r="AD249" s="75">
        <v>0.95</v>
      </c>
      <c r="AE249" s="75">
        <v>0.95</v>
      </c>
      <c r="AF249" s="75">
        <v>0.95</v>
      </c>
      <c r="AG249" s="74" t="s">
        <v>534</v>
      </c>
      <c r="AH249" s="74" t="s">
        <v>530</v>
      </c>
      <c r="AI249" s="78" t="s">
        <v>539</v>
      </c>
      <c r="AJ249" s="79" t="s">
        <v>539</v>
      </c>
      <c r="AK249" s="80">
        <v>46023</v>
      </c>
      <c r="AL249" s="80">
        <v>46387</v>
      </c>
      <c r="AM249" s="79"/>
      <c r="AN249" s="79"/>
      <c r="AO249" s="79"/>
      <c r="AP249" s="81" t="s">
        <v>541</v>
      </c>
      <c r="AQ249" s="80" cm="1">
        <f t="array" ref="AQ249">IFERROR(DATE(2026, _xlfn.AGGREGATE(15, 6, (COLUMN(CI249:CT249)-COLUMN(CI249)+1)/(CI249:CT249&lt;&gt;0), 1), 1),"N/A")</f>
        <v>46054</v>
      </c>
      <c r="AR249" s="80" cm="1">
        <f t="array" ref="AR249">IFERROR(EOMONTH(DATE(2026, _xlfn.AGGREGATE(14, 6, (COLUMN(CI249:CT249)-COLUMN(CI249)+1)/(CI249:CT249&lt;&gt;0), 1), 1), 0),"N/A")</f>
        <v>46387</v>
      </c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85" t="s">
        <v>588</v>
      </c>
      <c r="BG249" s="74"/>
      <c r="BH249" s="74" t="s">
        <v>898</v>
      </c>
      <c r="BI249" s="74" t="s">
        <v>137</v>
      </c>
      <c r="BJ249" s="78">
        <v>630105</v>
      </c>
      <c r="BK249" s="82" t="s">
        <v>74</v>
      </c>
      <c r="BL249" s="83">
        <v>1000</v>
      </c>
      <c r="BM249" s="84" t="s">
        <v>549</v>
      </c>
      <c r="BN249" s="84">
        <v>90.91</v>
      </c>
      <c r="BO249" s="84">
        <v>90.91</v>
      </c>
      <c r="BP249" s="72">
        <v>90.91</v>
      </c>
      <c r="BQ249" s="84">
        <v>90.91</v>
      </c>
      <c r="BR249" s="84">
        <v>90.91</v>
      </c>
      <c r="BS249" s="84">
        <v>90.91</v>
      </c>
      <c r="BT249" s="84">
        <v>90.91</v>
      </c>
      <c r="BU249" s="84">
        <v>90.91</v>
      </c>
      <c r="BV249" s="84">
        <v>90.91</v>
      </c>
      <c r="BW249" s="84">
        <v>90.91</v>
      </c>
      <c r="BX249" s="84">
        <v>90.9</v>
      </c>
      <c r="BY249" s="84"/>
      <c r="BZ249" s="84">
        <v>-20</v>
      </c>
      <c r="CA249" s="84"/>
      <c r="CB249" s="84"/>
      <c r="CC249" s="84"/>
      <c r="CD249" s="84"/>
      <c r="CE249" s="84"/>
      <c r="CF249" s="84"/>
      <c r="CG249" s="84"/>
      <c r="CH249" s="73">
        <f t="shared" si="6"/>
        <v>980</v>
      </c>
      <c r="CI249" s="84"/>
      <c r="CJ249" s="84">
        <v>88.91</v>
      </c>
      <c r="CK249" s="84">
        <v>88.91</v>
      </c>
      <c r="CL249" s="72">
        <v>88.91</v>
      </c>
      <c r="CM249" s="84">
        <v>88.91</v>
      </c>
      <c r="CN249" s="84">
        <v>88.91</v>
      </c>
      <c r="CO249" s="84">
        <v>88.91</v>
      </c>
      <c r="CP249" s="84">
        <v>88.91</v>
      </c>
      <c r="CQ249" s="84">
        <v>88.91</v>
      </c>
      <c r="CR249" s="84">
        <v>88.91</v>
      </c>
      <c r="CS249" s="84">
        <v>88.91</v>
      </c>
      <c r="CT249" s="84">
        <v>90.9</v>
      </c>
      <c r="CU249" s="84"/>
      <c r="CV249" s="84">
        <f t="shared" si="7"/>
        <v>0</v>
      </c>
      <c r="CW249" s="132" t="s">
        <v>1246</v>
      </c>
      <c r="CX249" s="74" t="s">
        <v>1231</v>
      </c>
      <c r="CY249" s="74"/>
      <c r="CZ249" s="74"/>
      <c r="DA249" s="74" t="s">
        <v>1235</v>
      </c>
      <c r="DB249" s="74"/>
      <c r="DC249" s="74"/>
      <c r="DD249" s="74"/>
    </row>
    <row r="250" spans="1:108" s="68" customFormat="1" ht="144" hidden="1" x14ac:dyDescent="0.25">
      <c r="A250" s="74" t="s">
        <v>697</v>
      </c>
      <c r="B250" s="74" t="s">
        <v>154</v>
      </c>
      <c r="C250" s="74" t="s">
        <v>172</v>
      </c>
      <c r="D250" s="85" t="s">
        <v>196</v>
      </c>
      <c r="E250" s="74" t="s">
        <v>309</v>
      </c>
      <c r="F250" s="74" t="s">
        <v>550</v>
      </c>
      <c r="G250" s="74" t="s">
        <v>137</v>
      </c>
      <c r="H250" s="74" t="s">
        <v>137</v>
      </c>
      <c r="I250" s="74" t="s">
        <v>66</v>
      </c>
      <c r="J250" s="74" t="s">
        <v>532</v>
      </c>
      <c r="K250" s="82" t="s">
        <v>137</v>
      </c>
      <c r="L250" s="82" t="s">
        <v>137</v>
      </c>
      <c r="M250" s="82" t="s">
        <v>137</v>
      </c>
      <c r="N250" s="82" t="s">
        <v>137</v>
      </c>
      <c r="O250" s="82" t="s">
        <v>137</v>
      </c>
      <c r="P250" s="82" t="s">
        <v>137</v>
      </c>
      <c r="Q250" s="74" t="s">
        <v>553</v>
      </c>
      <c r="R250" s="74" t="s">
        <v>710</v>
      </c>
      <c r="S250" s="74" t="s">
        <v>556</v>
      </c>
      <c r="T250" s="74" t="s">
        <v>320</v>
      </c>
      <c r="U250" s="75">
        <v>0.95</v>
      </c>
      <c r="V250" s="75">
        <v>0.95</v>
      </c>
      <c r="W250" s="75">
        <v>0.95</v>
      </c>
      <c r="X250" s="75">
        <v>0.95</v>
      </c>
      <c r="Y250" s="75">
        <v>0.95</v>
      </c>
      <c r="Z250" s="75">
        <v>0.95</v>
      </c>
      <c r="AA250" s="75">
        <v>0.95</v>
      </c>
      <c r="AB250" s="75">
        <v>0.95</v>
      </c>
      <c r="AC250" s="75">
        <v>0.95</v>
      </c>
      <c r="AD250" s="75">
        <v>0.95</v>
      </c>
      <c r="AE250" s="75">
        <v>0.95</v>
      </c>
      <c r="AF250" s="75">
        <v>0.95</v>
      </c>
      <c r="AG250" s="74" t="s">
        <v>534</v>
      </c>
      <c r="AH250" s="74" t="s">
        <v>530</v>
      </c>
      <c r="AI250" s="78" t="s">
        <v>539</v>
      </c>
      <c r="AJ250" s="79" t="s">
        <v>539</v>
      </c>
      <c r="AK250" s="80">
        <v>46023</v>
      </c>
      <c r="AL250" s="80">
        <v>46387</v>
      </c>
      <c r="AM250" s="79"/>
      <c r="AN250" s="79"/>
      <c r="AO250" s="79"/>
      <c r="AP250" s="81" t="s">
        <v>541</v>
      </c>
      <c r="AQ250" s="80" t="str" cm="1">
        <f t="array" ref="AQ250">IFERROR(DATE(2026, _xlfn.AGGREGATE(15, 6, (COLUMN(CI250:CT250)-COLUMN(CI250)+1)/(CI250:CT250&lt;&gt;0), 1), 1),"N/A")</f>
        <v>N/A</v>
      </c>
      <c r="AR250" s="80" t="str" cm="1">
        <f t="array" ref="AR250">IFERROR(EOMONTH(DATE(2026, _xlfn.AGGREGATE(14, 6, (COLUMN(CI250:CT250)-COLUMN(CI250)+1)/(CI250:CT250&lt;&gt;0), 1), 1), 0),"N/A")</f>
        <v>N/A</v>
      </c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85" t="s">
        <v>1102</v>
      </c>
      <c r="BG250" s="74"/>
      <c r="BH250" s="74" t="s">
        <v>910</v>
      </c>
      <c r="BI250" s="74" t="s">
        <v>1014</v>
      </c>
      <c r="BJ250" s="78">
        <v>630207</v>
      </c>
      <c r="BK250" s="82" t="s">
        <v>74</v>
      </c>
      <c r="BL250" s="83">
        <v>9000</v>
      </c>
      <c r="BM250" s="73"/>
      <c r="BN250" s="73"/>
      <c r="BO250" s="73"/>
      <c r="BP250" s="73"/>
      <c r="BQ250" s="73"/>
      <c r="BR250" s="84"/>
      <c r="BS250" s="73">
        <v>9000</v>
      </c>
      <c r="BT250" s="73"/>
      <c r="BU250" s="73"/>
      <c r="BV250" s="73"/>
      <c r="BW250" s="73"/>
      <c r="BX250" s="73"/>
      <c r="BY250" s="73"/>
      <c r="BZ250" s="73"/>
      <c r="CA250" s="73"/>
      <c r="CB250" s="73">
        <v>-9000</v>
      </c>
      <c r="CC250" s="73"/>
      <c r="CD250" s="73"/>
      <c r="CE250" s="73"/>
      <c r="CF250" s="73"/>
      <c r="CG250" s="73"/>
      <c r="CH250" s="73">
        <f t="shared" si="6"/>
        <v>0</v>
      </c>
      <c r="CI250" s="73"/>
      <c r="CJ250" s="73"/>
      <c r="CK250" s="72"/>
      <c r="CL250" s="73"/>
      <c r="CM250" s="73"/>
      <c r="CN250" s="84"/>
      <c r="CO250" s="73">
        <v>0</v>
      </c>
      <c r="CP250" s="73"/>
      <c r="CQ250" s="73"/>
      <c r="CR250" s="73"/>
      <c r="CS250" s="73"/>
      <c r="CT250" s="73"/>
      <c r="CU250" s="73"/>
      <c r="CV250" s="84">
        <f t="shared" si="7"/>
        <v>0</v>
      </c>
      <c r="CW250" s="132"/>
      <c r="CX250" s="132" t="s">
        <v>1246</v>
      </c>
      <c r="CY250" s="132"/>
      <c r="CZ250" s="132" t="s">
        <v>1278</v>
      </c>
      <c r="DA250" s="132"/>
      <c r="DB250" s="74"/>
      <c r="DC250" s="74"/>
      <c r="DD250" s="74"/>
    </row>
    <row r="251" spans="1:108" s="68" customFormat="1" ht="159.6" hidden="1" customHeight="1" x14ac:dyDescent="0.25">
      <c r="A251" s="74" t="s">
        <v>697</v>
      </c>
      <c r="B251" s="74" t="s">
        <v>154</v>
      </c>
      <c r="C251" s="74" t="s">
        <v>172</v>
      </c>
      <c r="D251" s="85" t="s">
        <v>196</v>
      </c>
      <c r="E251" s="74" t="s">
        <v>309</v>
      </c>
      <c r="F251" s="74" t="s">
        <v>550</v>
      </c>
      <c r="G251" s="74" t="s">
        <v>137</v>
      </c>
      <c r="H251" s="74" t="s">
        <v>137</v>
      </c>
      <c r="I251" s="74" t="s">
        <v>66</v>
      </c>
      <c r="J251" s="74" t="s">
        <v>532</v>
      </c>
      <c r="K251" s="82" t="s">
        <v>137</v>
      </c>
      <c r="L251" s="82" t="s">
        <v>137</v>
      </c>
      <c r="M251" s="82" t="s">
        <v>137</v>
      </c>
      <c r="N251" s="82" t="s">
        <v>137</v>
      </c>
      <c r="O251" s="82" t="s">
        <v>137</v>
      </c>
      <c r="P251" s="82" t="s">
        <v>137</v>
      </c>
      <c r="Q251" s="74" t="s">
        <v>553</v>
      </c>
      <c r="R251" s="74" t="s">
        <v>710</v>
      </c>
      <c r="S251" s="74" t="s">
        <v>556</v>
      </c>
      <c r="T251" s="74" t="s">
        <v>320</v>
      </c>
      <c r="U251" s="75">
        <v>0.95</v>
      </c>
      <c r="V251" s="75">
        <v>0.95</v>
      </c>
      <c r="W251" s="75">
        <v>0.95</v>
      </c>
      <c r="X251" s="75">
        <v>0.95</v>
      </c>
      <c r="Y251" s="75">
        <v>0.95</v>
      </c>
      <c r="Z251" s="75">
        <v>0.95</v>
      </c>
      <c r="AA251" s="75">
        <v>0.95</v>
      </c>
      <c r="AB251" s="75">
        <v>0.95</v>
      </c>
      <c r="AC251" s="75">
        <v>0.95</v>
      </c>
      <c r="AD251" s="75">
        <v>0.95</v>
      </c>
      <c r="AE251" s="75">
        <v>0.95</v>
      </c>
      <c r="AF251" s="75">
        <v>0.95</v>
      </c>
      <c r="AG251" s="74" t="s">
        <v>534</v>
      </c>
      <c r="AH251" s="74" t="s">
        <v>530</v>
      </c>
      <c r="AI251" s="78" t="s">
        <v>539</v>
      </c>
      <c r="AJ251" s="79" t="s">
        <v>539</v>
      </c>
      <c r="AK251" s="80">
        <v>46023</v>
      </c>
      <c r="AL251" s="80">
        <v>46387</v>
      </c>
      <c r="AM251" s="79"/>
      <c r="AN251" s="79"/>
      <c r="AO251" s="79"/>
      <c r="AP251" s="81" t="s">
        <v>541</v>
      </c>
      <c r="AQ251" s="80" cm="1">
        <f t="array" ref="AQ251">IFERROR(DATE(2026, _xlfn.AGGREGATE(15, 6, (COLUMN(CI251:CT251)-COLUMN(CI251)+1)/(CI251:CT251&lt;&gt;0), 1), 1),"N/A")</f>
        <v>46235</v>
      </c>
      <c r="AR251" s="80" cm="1">
        <f t="array" ref="AR251">IFERROR(EOMONTH(DATE(2026, _xlfn.AGGREGATE(14, 6, (COLUMN(CI251:CT251)-COLUMN(CI251)+1)/(CI251:CT251&lt;&gt;0), 1), 1), 0),"N/A")</f>
        <v>46387</v>
      </c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85" t="s">
        <v>1109</v>
      </c>
      <c r="BG251" s="74"/>
      <c r="BH251" s="74" t="s">
        <v>1118</v>
      </c>
      <c r="BI251" s="74" t="s">
        <v>1014</v>
      </c>
      <c r="BJ251" s="78">
        <v>630207</v>
      </c>
      <c r="BK251" s="82" t="s">
        <v>74</v>
      </c>
      <c r="BL251" s="83"/>
      <c r="BM251" s="73"/>
      <c r="BN251" s="73"/>
      <c r="BO251" s="73"/>
      <c r="BP251" s="73"/>
      <c r="BQ251" s="73"/>
      <c r="BR251" s="84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>
        <v>9000</v>
      </c>
      <c r="CC251" s="73"/>
      <c r="CD251" s="73"/>
      <c r="CE251" s="73"/>
      <c r="CF251" s="73"/>
      <c r="CG251" s="73"/>
      <c r="CH251" s="73">
        <f t="shared" si="6"/>
        <v>9000</v>
      </c>
      <c r="CI251" s="73"/>
      <c r="CJ251" s="73"/>
      <c r="CK251" s="72"/>
      <c r="CL251" s="73"/>
      <c r="CM251" s="73"/>
      <c r="CN251" s="84"/>
      <c r="CO251" s="73"/>
      <c r="CP251" s="73">
        <v>3000</v>
      </c>
      <c r="CQ251" s="73"/>
      <c r="CR251" s="73">
        <v>3000</v>
      </c>
      <c r="CS251" s="73"/>
      <c r="CT251" s="73">
        <v>3000</v>
      </c>
      <c r="CU251" s="73"/>
      <c r="CV251" s="84">
        <f t="shared" si="7"/>
        <v>0</v>
      </c>
      <c r="CW251" s="132"/>
      <c r="CX251" s="132" t="s">
        <v>1246</v>
      </c>
      <c r="CY251" s="132" t="s">
        <v>1257</v>
      </c>
      <c r="CZ251" s="132" t="s">
        <v>1297</v>
      </c>
      <c r="DA251" s="137" t="s">
        <v>1318</v>
      </c>
      <c r="DB251" s="85" t="s">
        <v>1319</v>
      </c>
      <c r="DC251" s="85" t="s">
        <v>1320</v>
      </c>
      <c r="DD251" s="74"/>
    </row>
    <row r="252" spans="1:108" s="68" customFormat="1" ht="156.6" hidden="1" customHeight="1" x14ac:dyDescent="0.25">
      <c r="A252" s="74" t="s">
        <v>697</v>
      </c>
      <c r="B252" s="74" t="s">
        <v>154</v>
      </c>
      <c r="C252" s="74" t="s">
        <v>172</v>
      </c>
      <c r="D252" s="85" t="s">
        <v>196</v>
      </c>
      <c r="E252" s="74" t="s">
        <v>309</v>
      </c>
      <c r="F252" s="74" t="s">
        <v>550</v>
      </c>
      <c r="G252" s="74" t="s">
        <v>137</v>
      </c>
      <c r="H252" s="74" t="s">
        <v>137</v>
      </c>
      <c r="I252" s="74" t="s">
        <v>66</v>
      </c>
      <c r="J252" s="74" t="s">
        <v>532</v>
      </c>
      <c r="K252" s="82" t="s">
        <v>137</v>
      </c>
      <c r="L252" s="82" t="s">
        <v>137</v>
      </c>
      <c r="M252" s="82" t="s">
        <v>137</v>
      </c>
      <c r="N252" s="82" t="s">
        <v>137</v>
      </c>
      <c r="O252" s="82" t="s">
        <v>137</v>
      </c>
      <c r="P252" s="82" t="s">
        <v>137</v>
      </c>
      <c r="Q252" s="74" t="s">
        <v>553</v>
      </c>
      <c r="R252" s="74" t="s">
        <v>710</v>
      </c>
      <c r="S252" s="74" t="s">
        <v>556</v>
      </c>
      <c r="T252" s="74" t="s">
        <v>320</v>
      </c>
      <c r="U252" s="75">
        <v>0.95</v>
      </c>
      <c r="V252" s="75">
        <v>0.95</v>
      </c>
      <c r="W252" s="75">
        <v>0.95</v>
      </c>
      <c r="X252" s="75">
        <v>0.95</v>
      </c>
      <c r="Y252" s="75">
        <v>0.95</v>
      </c>
      <c r="Z252" s="75">
        <v>0.95</v>
      </c>
      <c r="AA252" s="75">
        <v>0.95</v>
      </c>
      <c r="AB252" s="75">
        <v>0.95</v>
      </c>
      <c r="AC252" s="75">
        <v>0.95</v>
      </c>
      <c r="AD252" s="75">
        <v>0.95</v>
      </c>
      <c r="AE252" s="75">
        <v>0.95</v>
      </c>
      <c r="AF252" s="75">
        <v>0.95</v>
      </c>
      <c r="AG252" s="74" t="s">
        <v>534</v>
      </c>
      <c r="AH252" s="74" t="s">
        <v>530</v>
      </c>
      <c r="AI252" s="78" t="s">
        <v>539</v>
      </c>
      <c r="AJ252" s="79" t="s">
        <v>539</v>
      </c>
      <c r="AK252" s="80">
        <v>46023</v>
      </c>
      <c r="AL252" s="80">
        <v>46387</v>
      </c>
      <c r="AM252" s="79"/>
      <c r="AN252" s="79"/>
      <c r="AO252" s="79"/>
      <c r="AP252" s="81" t="s">
        <v>541</v>
      </c>
      <c r="AQ252" s="80" cm="1">
        <f t="array" ref="AQ252">IFERROR(DATE(2026, _xlfn.AGGREGATE(15, 6, (COLUMN(CI252:CT252)-COLUMN(CI252)+1)/(CI252:CT252&lt;&gt;0), 1), 1),"N/A")</f>
        <v>46266</v>
      </c>
      <c r="AR252" s="80" cm="1">
        <f t="array" ref="AR252">IFERROR(EOMONTH(DATE(2026, _xlfn.AGGREGATE(14, 6, (COLUMN(CI252:CT252)-COLUMN(CI252)+1)/(CI252:CT252&lt;&gt;0), 1), 1), 0),"N/A")</f>
        <v>46295</v>
      </c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85" t="s">
        <v>615</v>
      </c>
      <c r="BG252" s="74"/>
      <c r="BH252" s="74" t="s">
        <v>899</v>
      </c>
      <c r="BI252" s="74" t="s">
        <v>137</v>
      </c>
      <c r="BJ252" s="78">
        <v>630204</v>
      </c>
      <c r="BK252" s="82" t="s">
        <v>74</v>
      </c>
      <c r="BL252" s="83">
        <v>4000</v>
      </c>
      <c r="BM252" s="73">
        <v>0</v>
      </c>
      <c r="BN252" s="73">
        <v>0</v>
      </c>
      <c r="BO252" s="73">
        <v>0</v>
      </c>
      <c r="BP252" s="73">
        <v>0</v>
      </c>
      <c r="BQ252" s="73">
        <v>0</v>
      </c>
      <c r="BR252" s="73">
        <v>0</v>
      </c>
      <c r="BS252" s="73">
        <v>0</v>
      </c>
      <c r="BT252" s="73">
        <v>0</v>
      </c>
      <c r="BU252" s="84">
        <v>4000</v>
      </c>
      <c r="BV252" s="73">
        <v>0</v>
      </c>
      <c r="BW252" s="73">
        <v>0</v>
      </c>
      <c r="BX252" s="73">
        <v>0</v>
      </c>
      <c r="BY252" s="73"/>
      <c r="BZ252" s="73"/>
      <c r="CA252" s="73"/>
      <c r="CB252" s="73"/>
      <c r="CC252" s="73"/>
      <c r="CD252" s="73"/>
      <c r="CE252" s="73"/>
      <c r="CF252" s="73"/>
      <c r="CG252" s="73"/>
      <c r="CH252" s="73">
        <f t="shared" si="6"/>
        <v>4000</v>
      </c>
      <c r="CI252" s="73"/>
      <c r="CJ252" s="73"/>
      <c r="CK252" s="72">
        <v>0</v>
      </c>
      <c r="CL252" s="73">
        <v>0</v>
      </c>
      <c r="CM252" s="73">
        <v>0</v>
      </c>
      <c r="CN252" s="73">
        <v>0</v>
      </c>
      <c r="CO252" s="73">
        <v>0</v>
      </c>
      <c r="CP252" s="73">
        <v>0</v>
      </c>
      <c r="CQ252" s="84">
        <v>4000</v>
      </c>
      <c r="CR252" s="73">
        <v>0</v>
      </c>
      <c r="CS252" s="73">
        <v>0</v>
      </c>
      <c r="CT252" s="73">
        <v>0</v>
      </c>
      <c r="CU252" s="73"/>
      <c r="CV252" s="84">
        <f t="shared" si="7"/>
        <v>0</v>
      </c>
      <c r="CW252" s="84"/>
      <c r="CX252" s="74"/>
      <c r="CY252" s="132" t="s">
        <v>1259</v>
      </c>
      <c r="CZ252" s="132" t="s">
        <v>1279</v>
      </c>
      <c r="DA252" s="137" t="s">
        <v>1323</v>
      </c>
      <c r="DB252" s="74" t="s">
        <v>137</v>
      </c>
      <c r="DC252" s="74" t="s">
        <v>1324</v>
      </c>
      <c r="DD252" s="74" t="s">
        <v>1325</v>
      </c>
    </row>
    <row r="253" spans="1:108" s="68" customFormat="1" ht="15" hidden="1" customHeight="1" x14ac:dyDescent="0.25">
      <c r="A253" s="74" t="s">
        <v>692</v>
      </c>
      <c r="B253" s="74" t="s">
        <v>154</v>
      </c>
      <c r="C253" s="74" t="s">
        <v>172</v>
      </c>
      <c r="D253" s="85" t="s">
        <v>196</v>
      </c>
      <c r="E253" s="74" t="s">
        <v>309</v>
      </c>
      <c r="F253" s="74" t="s">
        <v>550</v>
      </c>
      <c r="G253" s="74" t="s">
        <v>137</v>
      </c>
      <c r="H253" s="74" t="s">
        <v>137</v>
      </c>
      <c r="I253" s="74" t="s">
        <v>66</v>
      </c>
      <c r="J253" s="74" t="s">
        <v>532</v>
      </c>
      <c r="K253" s="82" t="s">
        <v>137</v>
      </c>
      <c r="L253" s="82" t="s">
        <v>137</v>
      </c>
      <c r="M253" s="82" t="s">
        <v>137</v>
      </c>
      <c r="N253" s="82" t="s">
        <v>137</v>
      </c>
      <c r="O253" s="82" t="s">
        <v>137</v>
      </c>
      <c r="P253" s="82" t="s">
        <v>137</v>
      </c>
      <c r="Q253" s="74" t="s">
        <v>553</v>
      </c>
      <c r="R253" s="74" t="s">
        <v>710</v>
      </c>
      <c r="S253" s="74" t="s">
        <v>556</v>
      </c>
      <c r="T253" s="74" t="s">
        <v>320</v>
      </c>
      <c r="U253" s="75">
        <v>0.95</v>
      </c>
      <c r="V253" s="75">
        <v>0.95</v>
      </c>
      <c r="W253" s="75">
        <v>0.95</v>
      </c>
      <c r="X253" s="75">
        <v>0.95</v>
      </c>
      <c r="Y253" s="75">
        <v>0.95</v>
      </c>
      <c r="Z253" s="75">
        <v>0.95</v>
      </c>
      <c r="AA253" s="75">
        <v>0.95</v>
      </c>
      <c r="AB253" s="75">
        <v>0.95</v>
      </c>
      <c r="AC253" s="75">
        <v>0.95</v>
      </c>
      <c r="AD253" s="75">
        <v>0.95</v>
      </c>
      <c r="AE253" s="75">
        <v>0.95</v>
      </c>
      <c r="AF253" s="75">
        <v>0.95</v>
      </c>
      <c r="AG253" s="74" t="s">
        <v>773</v>
      </c>
      <c r="AH253" s="74" t="s">
        <v>531</v>
      </c>
      <c r="AI253" s="78" t="s">
        <v>539</v>
      </c>
      <c r="AJ253" s="79" t="s">
        <v>539</v>
      </c>
      <c r="AK253" s="80">
        <v>46023</v>
      </c>
      <c r="AL253" s="80">
        <v>46387</v>
      </c>
      <c r="AM253" s="79"/>
      <c r="AN253" s="79"/>
      <c r="AO253" s="79"/>
      <c r="AP253" s="81" t="s">
        <v>541</v>
      </c>
      <c r="AQ253" s="80" t="str" cm="1">
        <f t="array" ref="AQ253">IFERROR(DATE(2026, _xlfn.AGGREGATE(15, 6, (COLUMN(CI253:CT253)-COLUMN(CI253)+1)/(CI253:CT253&lt;&gt;0), 1), 1),"N/A")</f>
        <v>N/A</v>
      </c>
      <c r="AR253" s="80" t="str" cm="1">
        <f t="array" ref="AR253">IFERROR(EOMONTH(DATE(2026, _xlfn.AGGREGATE(14, 6, (COLUMN(CI253:CT253)-COLUMN(CI253)+1)/(CI253:CT253&lt;&gt;0), 1), 1), 0),"N/A")</f>
        <v>N/A</v>
      </c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4" t="s">
        <v>688</v>
      </c>
      <c r="BG253" s="74"/>
      <c r="BH253" s="74" t="s">
        <v>903</v>
      </c>
      <c r="BI253" s="74" t="s">
        <v>137</v>
      </c>
      <c r="BJ253" s="78">
        <v>530201</v>
      </c>
      <c r="BK253" s="82" t="s">
        <v>74</v>
      </c>
      <c r="BL253" s="83">
        <v>2500</v>
      </c>
      <c r="BM253" s="73">
        <v>0</v>
      </c>
      <c r="BN253" s="84">
        <v>150</v>
      </c>
      <c r="BO253" s="84">
        <v>150</v>
      </c>
      <c r="BP253" s="72">
        <v>150</v>
      </c>
      <c r="BQ253" s="84">
        <v>150</v>
      </c>
      <c r="BR253" s="84">
        <v>150</v>
      </c>
      <c r="BS253" s="84">
        <v>150</v>
      </c>
      <c r="BT253" s="84">
        <v>150</v>
      </c>
      <c r="BU253" s="84">
        <v>150</v>
      </c>
      <c r="BV253" s="84">
        <v>150</v>
      </c>
      <c r="BW253" s="84">
        <v>150</v>
      </c>
      <c r="BX253" s="84">
        <v>1000</v>
      </c>
      <c r="BY253" s="84"/>
      <c r="BZ253" s="84">
        <v>-2500</v>
      </c>
      <c r="CA253" s="84"/>
      <c r="CB253" s="84"/>
      <c r="CC253" s="84"/>
      <c r="CD253" s="84"/>
      <c r="CE253" s="84"/>
      <c r="CF253" s="84"/>
      <c r="CG253" s="84"/>
      <c r="CH253" s="73">
        <f t="shared" si="6"/>
        <v>0</v>
      </c>
      <c r="CI253" s="73"/>
      <c r="CJ253" s="84">
        <v>0</v>
      </c>
      <c r="CK253" s="84">
        <v>0</v>
      </c>
      <c r="CL253" s="72">
        <v>0</v>
      </c>
      <c r="CM253" s="84">
        <v>0</v>
      </c>
      <c r="CN253" s="84">
        <v>0</v>
      </c>
      <c r="CO253" s="84">
        <v>0</v>
      </c>
      <c r="CP253" s="84">
        <v>0</v>
      </c>
      <c r="CQ253" s="84">
        <v>0</v>
      </c>
      <c r="CR253" s="84">
        <v>0</v>
      </c>
      <c r="CS253" s="84">
        <v>0</v>
      </c>
      <c r="CT253" s="84">
        <v>0</v>
      </c>
      <c r="CU253" s="84"/>
      <c r="CV253" s="84">
        <f t="shared" si="7"/>
        <v>0</v>
      </c>
      <c r="CW253" s="84"/>
      <c r="CX253" s="74"/>
      <c r="CY253" s="74"/>
      <c r="CZ253" s="74" t="s">
        <v>1286</v>
      </c>
      <c r="DA253" s="74"/>
      <c r="DB253" s="74"/>
      <c r="DC253" s="74"/>
      <c r="DD253" s="74"/>
    </row>
    <row r="254" spans="1:108" s="68" customFormat="1" ht="15" hidden="1" customHeight="1" x14ac:dyDescent="0.25">
      <c r="A254" s="74" t="s">
        <v>697</v>
      </c>
      <c r="B254" s="74" t="s">
        <v>154</v>
      </c>
      <c r="C254" s="74" t="s">
        <v>172</v>
      </c>
      <c r="D254" s="85" t="s">
        <v>196</v>
      </c>
      <c r="E254" s="74" t="s">
        <v>309</v>
      </c>
      <c r="F254" s="74" t="s">
        <v>550</v>
      </c>
      <c r="G254" s="74" t="s">
        <v>137</v>
      </c>
      <c r="H254" s="74" t="s">
        <v>137</v>
      </c>
      <c r="I254" s="74" t="s">
        <v>66</v>
      </c>
      <c r="J254" s="74" t="s">
        <v>532</v>
      </c>
      <c r="K254" s="82" t="s">
        <v>137</v>
      </c>
      <c r="L254" s="82" t="s">
        <v>137</v>
      </c>
      <c r="M254" s="82" t="s">
        <v>137</v>
      </c>
      <c r="N254" s="82" t="s">
        <v>137</v>
      </c>
      <c r="O254" s="82" t="s">
        <v>137</v>
      </c>
      <c r="P254" s="82" t="s">
        <v>137</v>
      </c>
      <c r="Q254" s="74" t="s">
        <v>553</v>
      </c>
      <c r="R254" s="74" t="s">
        <v>710</v>
      </c>
      <c r="S254" s="74" t="s">
        <v>556</v>
      </c>
      <c r="T254" s="74" t="s">
        <v>320</v>
      </c>
      <c r="U254" s="75">
        <v>0.95</v>
      </c>
      <c r="V254" s="75">
        <v>0.95</v>
      </c>
      <c r="W254" s="75">
        <v>0.95</v>
      </c>
      <c r="X254" s="75">
        <v>0.95</v>
      </c>
      <c r="Y254" s="75">
        <v>0.95</v>
      </c>
      <c r="Z254" s="75">
        <v>0.95</v>
      </c>
      <c r="AA254" s="75">
        <v>0.95</v>
      </c>
      <c r="AB254" s="75">
        <v>0.95</v>
      </c>
      <c r="AC254" s="75">
        <v>0.95</v>
      </c>
      <c r="AD254" s="75">
        <v>0.95</v>
      </c>
      <c r="AE254" s="75">
        <v>0.95</v>
      </c>
      <c r="AF254" s="75">
        <v>0.95</v>
      </c>
      <c r="AG254" s="74" t="s">
        <v>534</v>
      </c>
      <c r="AH254" s="74" t="s">
        <v>530</v>
      </c>
      <c r="AI254" s="78" t="s">
        <v>539</v>
      </c>
      <c r="AJ254" s="79" t="s">
        <v>539</v>
      </c>
      <c r="AK254" s="80">
        <v>46023</v>
      </c>
      <c r="AL254" s="80">
        <v>46387</v>
      </c>
      <c r="AM254" s="79"/>
      <c r="AN254" s="79"/>
      <c r="AO254" s="79"/>
      <c r="AP254" s="81" t="s">
        <v>541</v>
      </c>
      <c r="AQ254" s="80" t="str" cm="1">
        <f t="array" ref="AQ254">IFERROR(DATE(2026, _xlfn.AGGREGATE(15, 6, (COLUMN(CI254:CT254)-COLUMN(CI254)+1)/(CI254:CT254&lt;&gt;0), 1), 1),"N/A")</f>
        <v>N/A</v>
      </c>
      <c r="AR254" s="80" t="str" cm="1">
        <f t="array" ref="AR254">IFERROR(EOMONTH(DATE(2026, _xlfn.AGGREGATE(14, 6, (COLUMN(CI254:CT254)-COLUMN(CI254)+1)/(CI254:CT254&lt;&gt;0), 1), 1), 0),"N/A")</f>
        <v>N/A</v>
      </c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4" t="s">
        <v>707</v>
      </c>
      <c r="BG254" s="74"/>
      <c r="BH254" s="74" t="s">
        <v>914</v>
      </c>
      <c r="BI254" s="74" t="s">
        <v>137</v>
      </c>
      <c r="BJ254" s="78">
        <v>630201</v>
      </c>
      <c r="BK254" s="82" t="s">
        <v>74</v>
      </c>
      <c r="BL254" s="83">
        <v>70000</v>
      </c>
      <c r="BM254" s="73"/>
      <c r="BN254" s="73"/>
      <c r="BO254" s="73"/>
      <c r="BP254" s="73"/>
      <c r="BQ254" s="73"/>
      <c r="BR254" s="84"/>
      <c r="BS254" s="73">
        <v>70000</v>
      </c>
      <c r="BT254" s="73"/>
      <c r="BU254" s="73"/>
      <c r="BV254" s="73"/>
      <c r="BW254" s="73"/>
      <c r="BX254" s="73"/>
      <c r="BY254" s="73">
        <v>-9500</v>
      </c>
      <c r="BZ254" s="73">
        <v>-60500</v>
      </c>
      <c r="CA254" s="73"/>
      <c r="CB254" s="73"/>
      <c r="CC254" s="73"/>
      <c r="CD254" s="73"/>
      <c r="CE254" s="73"/>
      <c r="CF254" s="73"/>
      <c r="CG254" s="73"/>
      <c r="CH254" s="73">
        <f t="shared" si="6"/>
        <v>0</v>
      </c>
      <c r="CI254" s="73"/>
      <c r="CJ254" s="73"/>
      <c r="CK254" s="72"/>
      <c r="CL254" s="73"/>
      <c r="CM254" s="73"/>
      <c r="CN254" s="84"/>
      <c r="CO254" s="73"/>
      <c r="CP254" s="73"/>
      <c r="CQ254" s="73"/>
      <c r="CR254" s="73"/>
      <c r="CS254" s="73"/>
      <c r="CT254" s="73">
        <v>0</v>
      </c>
      <c r="CU254" s="73"/>
      <c r="CV254" s="84">
        <f t="shared" si="7"/>
        <v>0</v>
      </c>
      <c r="CW254" s="84"/>
      <c r="CX254" s="74"/>
      <c r="CY254" s="74"/>
      <c r="CZ254" s="74"/>
      <c r="DA254" s="74"/>
      <c r="DB254" s="74"/>
      <c r="DC254" s="74"/>
      <c r="DD254" s="74"/>
    </row>
    <row r="255" spans="1:108" s="68" customFormat="1" ht="15" hidden="1" customHeight="1" x14ac:dyDescent="0.25">
      <c r="A255" s="74" t="s">
        <v>697</v>
      </c>
      <c r="B255" s="74" t="s">
        <v>154</v>
      </c>
      <c r="C255" s="74" t="s">
        <v>172</v>
      </c>
      <c r="D255" s="85" t="s">
        <v>196</v>
      </c>
      <c r="E255" s="74" t="s">
        <v>309</v>
      </c>
      <c r="F255" s="74" t="s">
        <v>550</v>
      </c>
      <c r="G255" s="74" t="s">
        <v>137</v>
      </c>
      <c r="H255" s="74" t="s">
        <v>137</v>
      </c>
      <c r="I255" s="74" t="s">
        <v>66</v>
      </c>
      <c r="J255" s="74" t="s">
        <v>532</v>
      </c>
      <c r="K255" s="82" t="s">
        <v>137</v>
      </c>
      <c r="L255" s="82" t="s">
        <v>137</v>
      </c>
      <c r="M255" s="82" t="s">
        <v>137</v>
      </c>
      <c r="N255" s="82" t="s">
        <v>137</v>
      </c>
      <c r="O255" s="82" t="s">
        <v>137</v>
      </c>
      <c r="P255" s="82" t="s">
        <v>137</v>
      </c>
      <c r="Q255" s="74" t="s">
        <v>553</v>
      </c>
      <c r="R255" s="74" t="s">
        <v>710</v>
      </c>
      <c r="S255" s="74" t="s">
        <v>556</v>
      </c>
      <c r="T255" s="74" t="s">
        <v>320</v>
      </c>
      <c r="U255" s="75">
        <v>0.95</v>
      </c>
      <c r="V255" s="75">
        <v>0.95</v>
      </c>
      <c r="W255" s="75">
        <v>0.95</v>
      </c>
      <c r="X255" s="75">
        <v>0.95</v>
      </c>
      <c r="Y255" s="75">
        <v>0.95</v>
      </c>
      <c r="Z255" s="75">
        <v>0.95</v>
      </c>
      <c r="AA255" s="75">
        <v>0.95</v>
      </c>
      <c r="AB255" s="75">
        <v>0.95</v>
      </c>
      <c r="AC255" s="75">
        <v>0.95</v>
      </c>
      <c r="AD255" s="75">
        <v>0.95</v>
      </c>
      <c r="AE255" s="75">
        <v>0.95</v>
      </c>
      <c r="AF255" s="75">
        <v>0.95</v>
      </c>
      <c r="AG255" s="74" t="s">
        <v>534</v>
      </c>
      <c r="AH255" s="74" t="s">
        <v>530</v>
      </c>
      <c r="AI255" s="78" t="s">
        <v>539</v>
      </c>
      <c r="AJ255" s="79" t="s">
        <v>539</v>
      </c>
      <c r="AK255" s="80">
        <v>46023</v>
      </c>
      <c r="AL255" s="80">
        <v>46387</v>
      </c>
      <c r="AM255" s="79"/>
      <c r="AN255" s="79"/>
      <c r="AO255" s="79"/>
      <c r="AP255" s="81" t="s">
        <v>541</v>
      </c>
      <c r="AQ255" s="80" t="str" cm="1">
        <f t="array" ref="AQ255">IFERROR(DATE(2026, _xlfn.AGGREGATE(15, 6, (COLUMN(CI255:CT255)-COLUMN(CI255)+1)/(CI255:CT255&lt;&gt;0), 1), 1),"N/A")</f>
        <v>N/A</v>
      </c>
      <c r="AR255" s="80" t="str" cm="1">
        <f t="array" ref="AR255">IFERROR(EOMONTH(DATE(2026, _xlfn.AGGREGATE(14, 6, (COLUMN(CI255:CT255)-COLUMN(CI255)+1)/(CI255:CT255&lt;&gt;0), 1), 1), 0),"N/A")</f>
        <v>N/A</v>
      </c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4" t="s">
        <v>659</v>
      </c>
      <c r="BG255" s="74"/>
      <c r="BH255" s="74" t="s">
        <v>912</v>
      </c>
      <c r="BI255" s="74" t="s">
        <v>137</v>
      </c>
      <c r="BJ255" s="78">
        <v>630601</v>
      </c>
      <c r="BK255" s="82" t="s">
        <v>74</v>
      </c>
      <c r="BL255" s="83">
        <v>25000</v>
      </c>
      <c r="BM255" s="73">
        <v>0</v>
      </c>
      <c r="BN255" s="73">
        <v>0</v>
      </c>
      <c r="BO255" s="73">
        <v>0</v>
      </c>
      <c r="BP255" s="73">
        <v>0</v>
      </c>
      <c r="BQ255" s="73">
        <v>0</v>
      </c>
      <c r="BR255" s="73">
        <v>0</v>
      </c>
      <c r="BS255" s="73">
        <v>0</v>
      </c>
      <c r="BT255" s="73">
        <v>0</v>
      </c>
      <c r="BU255" s="73">
        <v>0</v>
      </c>
      <c r="BV255" s="73">
        <v>0</v>
      </c>
      <c r="BW255" s="84">
        <v>25000</v>
      </c>
      <c r="BX255" s="73">
        <v>0</v>
      </c>
      <c r="BY255" s="73"/>
      <c r="BZ255" s="73">
        <v>-25000</v>
      </c>
      <c r="CA255" s="73"/>
      <c r="CB255" s="73"/>
      <c r="CC255" s="73"/>
      <c r="CD255" s="73"/>
      <c r="CE255" s="73"/>
      <c r="CF255" s="73"/>
      <c r="CG255" s="73"/>
      <c r="CH255" s="73">
        <f t="shared" si="6"/>
        <v>0</v>
      </c>
      <c r="CI255" s="73"/>
      <c r="CJ255" s="73"/>
      <c r="CK255" s="72">
        <v>0</v>
      </c>
      <c r="CL255" s="73">
        <v>0</v>
      </c>
      <c r="CM255" s="73">
        <v>0</v>
      </c>
      <c r="CN255" s="73">
        <v>0</v>
      </c>
      <c r="CO255" s="73">
        <v>0</v>
      </c>
      <c r="CP255" s="73">
        <v>0</v>
      </c>
      <c r="CQ255" s="73">
        <v>0</v>
      </c>
      <c r="CR255" s="73">
        <v>0</v>
      </c>
      <c r="CS255" s="84">
        <v>0</v>
      </c>
      <c r="CT255" s="73">
        <v>0</v>
      </c>
      <c r="CU255" s="73"/>
      <c r="CV255" s="84">
        <f t="shared" si="7"/>
        <v>0</v>
      </c>
      <c r="CW255" s="84"/>
      <c r="CX255" s="74"/>
      <c r="CY255" s="74"/>
      <c r="CZ255" s="74"/>
      <c r="DA255" s="74"/>
      <c r="DB255" s="74"/>
      <c r="DC255" s="74"/>
      <c r="DD255" s="74"/>
    </row>
    <row r="256" spans="1:108" s="68" customFormat="1" ht="15" hidden="1" customHeight="1" x14ac:dyDescent="0.25">
      <c r="A256" s="74" t="s">
        <v>689</v>
      </c>
      <c r="B256" s="74" t="s">
        <v>154</v>
      </c>
      <c r="C256" s="74" t="s">
        <v>172</v>
      </c>
      <c r="D256" s="74" t="s">
        <v>196</v>
      </c>
      <c r="E256" s="74" t="s">
        <v>309</v>
      </c>
      <c r="F256" s="74" t="s">
        <v>550</v>
      </c>
      <c r="G256" s="74" t="s">
        <v>137</v>
      </c>
      <c r="H256" s="74" t="s">
        <v>137</v>
      </c>
      <c r="I256" s="74" t="s">
        <v>66</v>
      </c>
      <c r="J256" s="74" t="s">
        <v>28</v>
      </c>
      <c r="K256" s="82" t="s">
        <v>137</v>
      </c>
      <c r="L256" s="82" t="s">
        <v>137</v>
      </c>
      <c r="M256" s="82" t="s">
        <v>137</v>
      </c>
      <c r="N256" s="82" t="s">
        <v>137</v>
      </c>
      <c r="O256" s="82" t="s">
        <v>137</v>
      </c>
      <c r="P256" s="82" t="s">
        <v>137</v>
      </c>
      <c r="Q256" s="74" t="s">
        <v>494</v>
      </c>
      <c r="R256" s="74" t="s">
        <v>711</v>
      </c>
      <c r="S256" s="74" t="s">
        <v>557</v>
      </c>
      <c r="T256" s="74" t="s">
        <v>2</v>
      </c>
      <c r="U256" s="74" t="s">
        <v>549</v>
      </c>
      <c r="V256" s="74" t="s">
        <v>549</v>
      </c>
      <c r="W256" s="74" t="s">
        <v>549</v>
      </c>
      <c r="X256" s="71" t="s">
        <v>549</v>
      </c>
      <c r="Y256" s="74" t="s">
        <v>549</v>
      </c>
      <c r="Z256" s="74" t="s">
        <v>549</v>
      </c>
      <c r="AA256" s="74" t="s">
        <v>549</v>
      </c>
      <c r="AB256" s="74" t="s">
        <v>549</v>
      </c>
      <c r="AC256" s="74" t="s">
        <v>549</v>
      </c>
      <c r="AD256" s="74" t="s">
        <v>549</v>
      </c>
      <c r="AE256" s="74" t="s">
        <v>549</v>
      </c>
      <c r="AF256" s="75">
        <v>1</v>
      </c>
      <c r="AG256" s="74" t="s">
        <v>535</v>
      </c>
      <c r="AH256" s="74" t="s">
        <v>530</v>
      </c>
      <c r="AI256" s="78" t="s">
        <v>539</v>
      </c>
      <c r="AJ256" s="79" t="s">
        <v>539</v>
      </c>
      <c r="AK256" s="80">
        <v>46023</v>
      </c>
      <c r="AL256" s="80">
        <v>46387</v>
      </c>
      <c r="AM256" s="79"/>
      <c r="AN256" s="79"/>
      <c r="AO256" s="79"/>
      <c r="AP256" s="81" t="s">
        <v>542</v>
      </c>
      <c r="AQ256" s="80" cm="1">
        <f t="array" ref="AQ256">IFERROR(DATE(2026, _xlfn.AGGREGATE(15, 6, (COLUMN(CI256:CT256)-COLUMN(CI256)+1)/(CI256:CT256&lt;&gt;0), 1), 1),"N/A")</f>
        <v>46023</v>
      </c>
      <c r="AR256" s="80" cm="1">
        <f t="array" ref="AR256">IFERROR(EOMONTH(DATE(2026, _xlfn.AGGREGATE(14, 6, (COLUMN(CI256:CT256)-COLUMN(CI256)+1)/(CI256:CT256&lt;&gt;0), 1), 1), 0),"N/A")</f>
        <v>46387</v>
      </c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4" t="s">
        <v>614</v>
      </c>
      <c r="BG256" s="74"/>
      <c r="BH256" s="74" t="s">
        <v>919</v>
      </c>
      <c r="BI256" s="74" t="s">
        <v>137</v>
      </c>
      <c r="BJ256" s="78">
        <v>510306</v>
      </c>
      <c r="BK256" s="82" t="s">
        <v>74</v>
      </c>
      <c r="BL256" s="83">
        <v>3758.4</v>
      </c>
      <c r="BM256" s="84">
        <v>313.2</v>
      </c>
      <c r="BN256" s="84">
        <v>313.2</v>
      </c>
      <c r="BO256" s="84">
        <v>313.2</v>
      </c>
      <c r="BP256" s="72">
        <v>313.2</v>
      </c>
      <c r="BQ256" s="84">
        <v>313.2</v>
      </c>
      <c r="BR256" s="84">
        <v>313.2</v>
      </c>
      <c r="BS256" s="84">
        <v>313.2</v>
      </c>
      <c r="BT256" s="84">
        <v>313.2</v>
      </c>
      <c r="BU256" s="84">
        <v>313.2</v>
      </c>
      <c r="BV256" s="84">
        <v>313.2</v>
      </c>
      <c r="BW256" s="84">
        <v>313.2</v>
      </c>
      <c r="BX256" s="84">
        <v>313.2</v>
      </c>
      <c r="BY256" s="84"/>
      <c r="BZ256" s="84"/>
      <c r="CA256" s="84"/>
      <c r="CB256" s="84"/>
      <c r="CC256" s="84"/>
      <c r="CD256" s="84">
        <v>403.2</v>
      </c>
      <c r="CE256" s="84"/>
      <c r="CF256" s="84"/>
      <c r="CG256" s="84"/>
      <c r="CH256" s="73">
        <f t="shared" si="6"/>
        <v>4161.6000000000004</v>
      </c>
      <c r="CI256" s="84">
        <v>280.8</v>
      </c>
      <c r="CJ256" s="84">
        <v>241.2</v>
      </c>
      <c r="CK256" s="84">
        <v>316.8</v>
      </c>
      <c r="CL256" s="72">
        <v>313.2</v>
      </c>
      <c r="CM256" s="84">
        <v>277.2</v>
      </c>
      <c r="CN256" s="84">
        <v>390.34</v>
      </c>
      <c r="CO256" s="84">
        <v>390.34</v>
      </c>
      <c r="CP256" s="84">
        <v>390.34</v>
      </c>
      <c r="CQ256" s="84">
        <v>390.34</v>
      </c>
      <c r="CR256" s="84">
        <v>390.34</v>
      </c>
      <c r="CS256" s="84">
        <v>390.34</v>
      </c>
      <c r="CT256" s="84">
        <v>390.36</v>
      </c>
      <c r="CU256" s="84"/>
      <c r="CV256" s="84">
        <f t="shared" si="7"/>
        <v>0</v>
      </c>
      <c r="CW256" s="84"/>
      <c r="CX256" s="74"/>
      <c r="CY256" s="74"/>
      <c r="CZ256" s="74"/>
      <c r="DA256" s="74"/>
      <c r="DB256" s="74"/>
      <c r="DC256" s="74"/>
      <c r="DD256" s="74"/>
    </row>
    <row r="257" spans="1:108" s="68" customFormat="1" ht="15" hidden="1" customHeight="1" x14ac:dyDescent="0.25">
      <c r="A257" s="74" t="s">
        <v>689</v>
      </c>
      <c r="B257" s="74" t="s">
        <v>154</v>
      </c>
      <c r="C257" s="74" t="s">
        <v>172</v>
      </c>
      <c r="D257" s="74" t="s">
        <v>196</v>
      </c>
      <c r="E257" s="74" t="s">
        <v>309</v>
      </c>
      <c r="F257" s="74" t="s">
        <v>550</v>
      </c>
      <c r="G257" s="74" t="s">
        <v>137</v>
      </c>
      <c r="H257" s="74" t="s">
        <v>137</v>
      </c>
      <c r="I257" s="74" t="s">
        <v>66</v>
      </c>
      <c r="J257" s="74" t="s">
        <v>28</v>
      </c>
      <c r="K257" s="82" t="s">
        <v>137</v>
      </c>
      <c r="L257" s="82" t="s">
        <v>137</v>
      </c>
      <c r="M257" s="82" t="s">
        <v>137</v>
      </c>
      <c r="N257" s="82" t="s">
        <v>137</v>
      </c>
      <c r="O257" s="82" t="s">
        <v>137</v>
      </c>
      <c r="P257" s="82" t="s">
        <v>137</v>
      </c>
      <c r="Q257" s="74" t="s">
        <v>494</v>
      </c>
      <c r="R257" s="74" t="s">
        <v>711</v>
      </c>
      <c r="S257" s="74" t="s">
        <v>557</v>
      </c>
      <c r="T257" s="74" t="s">
        <v>2</v>
      </c>
      <c r="U257" s="74" t="s">
        <v>549</v>
      </c>
      <c r="V257" s="74" t="s">
        <v>549</v>
      </c>
      <c r="W257" s="74" t="s">
        <v>549</v>
      </c>
      <c r="X257" s="71" t="s">
        <v>549</v>
      </c>
      <c r="Y257" s="74" t="s">
        <v>549</v>
      </c>
      <c r="Z257" s="74" t="s">
        <v>549</v>
      </c>
      <c r="AA257" s="74" t="s">
        <v>549</v>
      </c>
      <c r="AB257" s="74" t="s">
        <v>549</v>
      </c>
      <c r="AC257" s="74" t="s">
        <v>549</v>
      </c>
      <c r="AD257" s="74" t="s">
        <v>549</v>
      </c>
      <c r="AE257" s="74" t="s">
        <v>549</v>
      </c>
      <c r="AF257" s="75">
        <v>1</v>
      </c>
      <c r="AG257" s="74" t="s">
        <v>535</v>
      </c>
      <c r="AH257" s="74" t="s">
        <v>530</v>
      </c>
      <c r="AI257" s="78" t="s">
        <v>539</v>
      </c>
      <c r="AJ257" s="79" t="s">
        <v>539</v>
      </c>
      <c r="AK257" s="80">
        <v>46023</v>
      </c>
      <c r="AL257" s="80">
        <v>46387</v>
      </c>
      <c r="AM257" s="79"/>
      <c r="AN257" s="79"/>
      <c r="AO257" s="79"/>
      <c r="AP257" s="81" t="s">
        <v>542</v>
      </c>
      <c r="AQ257" s="80" cm="1">
        <f t="array" ref="AQ257">IFERROR(DATE(2026, _xlfn.AGGREGATE(15, 6, (COLUMN(CI257:CT257)-COLUMN(CI257)+1)/(CI257:CT257&lt;&gt;0), 1), 1),"N/A")</f>
        <v>46023</v>
      </c>
      <c r="AR257" s="80" cm="1">
        <f t="array" ref="AR257">IFERROR(EOMONTH(DATE(2026, _xlfn.AGGREGATE(14, 6, (COLUMN(CI257:CT257)-COLUMN(CI257)+1)/(CI257:CT257&lt;&gt;0), 1), 1), 0),"N/A")</f>
        <v>46387</v>
      </c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4" t="s">
        <v>651</v>
      </c>
      <c r="BG257" s="74"/>
      <c r="BH257" s="74" t="s">
        <v>920</v>
      </c>
      <c r="BI257" s="74" t="s">
        <v>137</v>
      </c>
      <c r="BJ257" s="78">
        <v>510601</v>
      </c>
      <c r="BK257" s="82" t="s">
        <v>74</v>
      </c>
      <c r="BL257" s="83">
        <v>193836.66999999998</v>
      </c>
      <c r="BM257" s="84">
        <v>16153.055833333332</v>
      </c>
      <c r="BN257" s="84">
        <v>16153.055833333332</v>
      </c>
      <c r="BO257" s="84">
        <v>16153.055833333332</v>
      </c>
      <c r="BP257" s="72">
        <v>16153.055833333332</v>
      </c>
      <c r="BQ257" s="84">
        <v>16153.055833333332</v>
      </c>
      <c r="BR257" s="84">
        <v>16153.055833333332</v>
      </c>
      <c r="BS257" s="84">
        <v>16153.055833333332</v>
      </c>
      <c r="BT257" s="84">
        <v>16153.055833333332</v>
      </c>
      <c r="BU257" s="84">
        <v>16153.055833333332</v>
      </c>
      <c r="BV257" s="84">
        <v>16153.055833333332</v>
      </c>
      <c r="BW257" s="84">
        <v>16153.055833333332</v>
      </c>
      <c r="BX257" s="84">
        <v>16153.055833333332</v>
      </c>
      <c r="BY257" s="84"/>
      <c r="BZ257" s="84">
        <v>9532.26</v>
      </c>
      <c r="CA257" s="84"/>
      <c r="CB257" s="84"/>
      <c r="CC257" s="84"/>
      <c r="CD257" s="84">
        <v>10666.39</v>
      </c>
      <c r="CE257" s="84"/>
      <c r="CF257" s="84"/>
      <c r="CG257" s="84"/>
      <c r="CH257" s="73">
        <f t="shared" si="6"/>
        <v>214035.32</v>
      </c>
      <c r="CI257" s="102">
        <v>16359.85</v>
      </c>
      <c r="CJ257" s="102">
        <v>15632.27</v>
      </c>
      <c r="CK257" s="102">
        <v>16304.95</v>
      </c>
      <c r="CL257" s="73">
        <v>17042.32</v>
      </c>
      <c r="CM257" s="111">
        <v>17304.95</v>
      </c>
      <c r="CN257" s="111">
        <v>18770.14</v>
      </c>
      <c r="CO257" s="111">
        <v>18770.14</v>
      </c>
      <c r="CP257" s="111">
        <v>18770.14</v>
      </c>
      <c r="CQ257" s="111">
        <v>18770.14</v>
      </c>
      <c r="CR257" s="111">
        <v>18770.14</v>
      </c>
      <c r="CS257" s="111">
        <v>18770.14</v>
      </c>
      <c r="CT257" s="111">
        <v>18770.14</v>
      </c>
      <c r="CU257" s="84"/>
      <c r="CV257" s="84">
        <f t="shared" si="7"/>
        <v>0</v>
      </c>
      <c r="CW257" s="84"/>
      <c r="CX257" s="74"/>
      <c r="CY257" s="74"/>
      <c r="CZ257" s="74"/>
      <c r="DA257" s="74"/>
      <c r="DB257" s="74"/>
      <c r="DC257" s="74"/>
      <c r="DD257" s="74"/>
    </row>
    <row r="258" spans="1:108" s="68" customFormat="1" ht="15" hidden="1" customHeight="1" x14ac:dyDescent="0.25">
      <c r="A258" s="74" t="s">
        <v>689</v>
      </c>
      <c r="B258" s="74" t="s">
        <v>154</v>
      </c>
      <c r="C258" s="74" t="s">
        <v>172</v>
      </c>
      <c r="D258" s="74" t="s">
        <v>196</v>
      </c>
      <c r="E258" s="74" t="s">
        <v>309</v>
      </c>
      <c r="F258" s="74" t="s">
        <v>550</v>
      </c>
      <c r="G258" s="74" t="s">
        <v>137</v>
      </c>
      <c r="H258" s="74" t="s">
        <v>137</v>
      </c>
      <c r="I258" s="74" t="s">
        <v>66</v>
      </c>
      <c r="J258" s="74" t="s">
        <v>28</v>
      </c>
      <c r="K258" s="82" t="s">
        <v>137</v>
      </c>
      <c r="L258" s="82" t="s">
        <v>137</v>
      </c>
      <c r="M258" s="82" t="s">
        <v>137</v>
      </c>
      <c r="N258" s="82" t="s">
        <v>137</v>
      </c>
      <c r="O258" s="82" t="s">
        <v>137</v>
      </c>
      <c r="P258" s="82" t="s">
        <v>137</v>
      </c>
      <c r="Q258" s="74" t="s">
        <v>494</v>
      </c>
      <c r="R258" s="74" t="s">
        <v>711</v>
      </c>
      <c r="S258" s="74" t="s">
        <v>557</v>
      </c>
      <c r="T258" s="74" t="s">
        <v>2</v>
      </c>
      <c r="U258" s="74" t="s">
        <v>549</v>
      </c>
      <c r="V258" s="74" t="s">
        <v>549</v>
      </c>
      <c r="W258" s="74" t="s">
        <v>549</v>
      </c>
      <c r="X258" s="71" t="s">
        <v>549</v>
      </c>
      <c r="Y258" s="74" t="s">
        <v>549</v>
      </c>
      <c r="Z258" s="74" t="s">
        <v>549</v>
      </c>
      <c r="AA258" s="74" t="s">
        <v>549</v>
      </c>
      <c r="AB258" s="74" t="s">
        <v>549</v>
      </c>
      <c r="AC258" s="74" t="s">
        <v>549</v>
      </c>
      <c r="AD258" s="74" t="s">
        <v>549</v>
      </c>
      <c r="AE258" s="74" t="s">
        <v>549</v>
      </c>
      <c r="AF258" s="75">
        <v>1</v>
      </c>
      <c r="AG258" s="74" t="s">
        <v>535</v>
      </c>
      <c r="AH258" s="74" t="s">
        <v>530</v>
      </c>
      <c r="AI258" s="78" t="s">
        <v>539</v>
      </c>
      <c r="AJ258" s="79" t="s">
        <v>539</v>
      </c>
      <c r="AK258" s="80">
        <v>46023</v>
      </c>
      <c r="AL258" s="80">
        <v>46387</v>
      </c>
      <c r="AM258" s="79"/>
      <c r="AN258" s="79"/>
      <c r="AO258" s="79"/>
      <c r="AP258" s="81" t="s">
        <v>542</v>
      </c>
      <c r="AQ258" s="80" t="str" cm="1">
        <f t="array" ref="AQ258">IFERROR(DATE(2026, _xlfn.AGGREGATE(15, 6, (COLUMN(CI258:CT258)-COLUMN(CI258)+1)/(CI258:CT258&lt;&gt;0), 1), 1),"N/A")</f>
        <v>N/A</v>
      </c>
      <c r="AR258" s="80" t="str" cm="1">
        <f t="array" ref="AR258">IFERROR(EOMONTH(DATE(2026, _xlfn.AGGREGATE(14, 6, (COLUMN(CI258:CT258)-COLUMN(CI258)+1)/(CI258:CT258&lt;&gt;0), 1), 1), 0),"N/A")</f>
        <v>N/A</v>
      </c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4" t="s">
        <v>658</v>
      </c>
      <c r="BG258" s="74"/>
      <c r="BH258" s="74" t="s">
        <v>932</v>
      </c>
      <c r="BI258" s="74" t="s">
        <v>137</v>
      </c>
      <c r="BJ258" s="78">
        <v>510704</v>
      </c>
      <c r="BK258" s="82" t="s">
        <v>74</v>
      </c>
      <c r="BL258" s="83">
        <v>22302</v>
      </c>
      <c r="BM258" s="84">
        <v>1858.5</v>
      </c>
      <c r="BN258" s="84">
        <v>1858.5</v>
      </c>
      <c r="BO258" s="84">
        <v>1858.5</v>
      </c>
      <c r="BP258" s="72">
        <v>1858.5</v>
      </c>
      <c r="BQ258" s="84">
        <v>1858.5</v>
      </c>
      <c r="BR258" s="84">
        <v>1858.5</v>
      </c>
      <c r="BS258" s="84">
        <v>1858.5</v>
      </c>
      <c r="BT258" s="84">
        <v>1858.5</v>
      </c>
      <c r="BU258" s="84">
        <v>1858.5</v>
      </c>
      <c r="BV258" s="84">
        <v>1858.5</v>
      </c>
      <c r="BW258" s="84">
        <v>1858.5</v>
      </c>
      <c r="BX258" s="84">
        <v>1858.5</v>
      </c>
      <c r="BY258" s="84">
        <v>-22302</v>
      </c>
      <c r="BZ258" s="84"/>
      <c r="CA258" s="84"/>
      <c r="CB258" s="84"/>
      <c r="CC258" s="84"/>
      <c r="CD258" s="84"/>
      <c r="CE258" s="84"/>
      <c r="CF258" s="84"/>
      <c r="CG258" s="84"/>
      <c r="CH258" s="73">
        <f t="shared" si="6"/>
        <v>0</v>
      </c>
      <c r="CI258" s="84"/>
      <c r="CJ258" s="84"/>
      <c r="CK258" s="84"/>
      <c r="CL258" s="72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>
        <f t="shared" si="7"/>
        <v>0</v>
      </c>
      <c r="CW258" s="84"/>
      <c r="CX258" s="74"/>
      <c r="CY258" s="74"/>
      <c r="CZ258" s="74"/>
      <c r="DA258" s="74"/>
      <c r="DB258" s="74"/>
      <c r="DC258" s="74"/>
      <c r="DD258" s="74"/>
    </row>
    <row r="259" spans="1:108" s="68" customFormat="1" ht="15" hidden="1" customHeight="1" x14ac:dyDescent="0.25">
      <c r="A259" s="74" t="s">
        <v>689</v>
      </c>
      <c r="B259" s="74" t="s">
        <v>154</v>
      </c>
      <c r="C259" s="74" t="s">
        <v>172</v>
      </c>
      <c r="D259" s="74" t="s">
        <v>196</v>
      </c>
      <c r="E259" s="74" t="s">
        <v>309</v>
      </c>
      <c r="F259" s="74" t="s">
        <v>550</v>
      </c>
      <c r="G259" s="74" t="s">
        <v>137</v>
      </c>
      <c r="H259" s="74" t="s">
        <v>137</v>
      </c>
      <c r="I259" s="74" t="s">
        <v>66</v>
      </c>
      <c r="J259" s="74" t="s">
        <v>28</v>
      </c>
      <c r="K259" s="82" t="s">
        <v>137</v>
      </c>
      <c r="L259" s="82" t="s">
        <v>137</v>
      </c>
      <c r="M259" s="82" t="s">
        <v>137</v>
      </c>
      <c r="N259" s="82" t="s">
        <v>137</v>
      </c>
      <c r="O259" s="82" t="s">
        <v>137</v>
      </c>
      <c r="P259" s="82" t="s">
        <v>137</v>
      </c>
      <c r="Q259" s="74" t="s">
        <v>494</v>
      </c>
      <c r="R259" s="74" t="s">
        <v>711</v>
      </c>
      <c r="S259" s="74" t="s">
        <v>557</v>
      </c>
      <c r="T259" s="74" t="s">
        <v>2</v>
      </c>
      <c r="U259" s="74" t="s">
        <v>549</v>
      </c>
      <c r="V259" s="74" t="s">
        <v>549</v>
      </c>
      <c r="W259" s="74" t="s">
        <v>549</v>
      </c>
      <c r="X259" s="71" t="s">
        <v>549</v>
      </c>
      <c r="Y259" s="74" t="s">
        <v>549</v>
      </c>
      <c r="Z259" s="74" t="s">
        <v>549</v>
      </c>
      <c r="AA259" s="74" t="s">
        <v>549</v>
      </c>
      <c r="AB259" s="74" t="s">
        <v>549</v>
      </c>
      <c r="AC259" s="74" t="s">
        <v>549</v>
      </c>
      <c r="AD259" s="74" t="s">
        <v>549</v>
      </c>
      <c r="AE259" s="74" t="s">
        <v>549</v>
      </c>
      <c r="AF259" s="75">
        <v>1</v>
      </c>
      <c r="AG259" s="74" t="s">
        <v>535</v>
      </c>
      <c r="AH259" s="74" t="s">
        <v>530</v>
      </c>
      <c r="AI259" s="78" t="s">
        <v>539</v>
      </c>
      <c r="AJ259" s="79" t="s">
        <v>539</v>
      </c>
      <c r="AK259" s="80">
        <v>46023</v>
      </c>
      <c r="AL259" s="80">
        <v>46387</v>
      </c>
      <c r="AM259" s="79"/>
      <c r="AN259" s="79"/>
      <c r="AO259" s="79"/>
      <c r="AP259" s="81" t="s">
        <v>542</v>
      </c>
      <c r="AQ259" s="80" cm="1">
        <f t="array" ref="AQ259">IFERROR(DATE(2026, _xlfn.AGGREGATE(15, 6, (COLUMN(CI259:CT259)-COLUMN(CI259)+1)/(CI259:CT259&lt;&gt;0), 1), 1),"N/A")</f>
        <v>46023</v>
      </c>
      <c r="AR259" s="80" cm="1">
        <f t="array" ref="AR259">IFERROR(EOMONTH(DATE(2026, _xlfn.AGGREGATE(14, 6, (COLUMN(CI259:CT259)-COLUMN(CI259)+1)/(CI259:CT259&lt;&gt;0), 1), 1), 0),"N/A")</f>
        <v>46387</v>
      </c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4" t="s">
        <v>779</v>
      </c>
      <c r="BG259" s="74"/>
      <c r="BH259" s="74" t="s">
        <v>921</v>
      </c>
      <c r="BI259" s="74" t="s">
        <v>137</v>
      </c>
      <c r="BJ259" s="78">
        <v>510304</v>
      </c>
      <c r="BK259" s="82" t="s">
        <v>74</v>
      </c>
      <c r="BL259" s="83">
        <v>522</v>
      </c>
      <c r="BM259" s="84">
        <v>43.5</v>
      </c>
      <c r="BN259" s="84">
        <v>43.5</v>
      </c>
      <c r="BO259" s="84">
        <v>43.5</v>
      </c>
      <c r="BP259" s="72">
        <v>43.5</v>
      </c>
      <c r="BQ259" s="84">
        <v>43.5</v>
      </c>
      <c r="BR259" s="84">
        <v>43.5</v>
      </c>
      <c r="BS259" s="84">
        <v>43.5</v>
      </c>
      <c r="BT259" s="84">
        <v>43.5</v>
      </c>
      <c r="BU259" s="84">
        <v>43.5</v>
      </c>
      <c r="BV259" s="84">
        <v>43.5</v>
      </c>
      <c r="BW259" s="84">
        <v>43.5</v>
      </c>
      <c r="BX259" s="84">
        <v>43.5</v>
      </c>
      <c r="BY259" s="84"/>
      <c r="BZ259" s="84"/>
      <c r="CA259" s="84"/>
      <c r="CB259" s="84"/>
      <c r="CC259" s="84"/>
      <c r="CD259" s="84">
        <v>56</v>
      </c>
      <c r="CE259" s="84"/>
      <c r="CF259" s="84"/>
      <c r="CG259" s="84"/>
      <c r="CH259" s="73">
        <f t="shared" si="6"/>
        <v>578</v>
      </c>
      <c r="CI259" s="84">
        <v>39</v>
      </c>
      <c r="CJ259" s="84">
        <v>33.5</v>
      </c>
      <c r="CK259" s="84">
        <v>44</v>
      </c>
      <c r="CL259" s="72">
        <v>38.5</v>
      </c>
      <c r="CM259" s="84">
        <v>38</v>
      </c>
      <c r="CN259" s="84">
        <v>55</v>
      </c>
      <c r="CO259" s="84">
        <v>55</v>
      </c>
      <c r="CP259" s="84">
        <v>55</v>
      </c>
      <c r="CQ259" s="84">
        <v>55</v>
      </c>
      <c r="CR259" s="84">
        <v>55</v>
      </c>
      <c r="CS259" s="84">
        <v>55</v>
      </c>
      <c r="CT259" s="84">
        <v>55</v>
      </c>
      <c r="CU259" s="84"/>
      <c r="CV259" s="84">
        <f t="shared" si="7"/>
        <v>0</v>
      </c>
      <c r="CW259" s="84"/>
      <c r="CX259" s="74"/>
      <c r="CY259" s="74"/>
      <c r="CZ259" s="74"/>
      <c r="DA259" s="74"/>
      <c r="DB259" s="74"/>
      <c r="DC259" s="74"/>
      <c r="DD259" s="74"/>
    </row>
    <row r="260" spans="1:108" s="68" customFormat="1" ht="15" hidden="1" customHeight="1" x14ac:dyDescent="0.25">
      <c r="A260" s="74" t="s">
        <v>689</v>
      </c>
      <c r="B260" s="74" t="s">
        <v>154</v>
      </c>
      <c r="C260" s="74" t="s">
        <v>172</v>
      </c>
      <c r="D260" s="74" t="s">
        <v>196</v>
      </c>
      <c r="E260" s="74" t="s">
        <v>309</v>
      </c>
      <c r="F260" s="74" t="s">
        <v>550</v>
      </c>
      <c r="G260" s="74" t="s">
        <v>137</v>
      </c>
      <c r="H260" s="74" t="s">
        <v>137</v>
      </c>
      <c r="I260" s="74" t="s">
        <v>66</v>
      </c>
      <c r="J260" s="74" t="s">
        <v>28</v>
      </c>
      <c r="K260" s="82" t="s">
        <v>137</v>
      </c>
      <c r="L260" s="82" t="s">
        <v>137</v>
      </c>
      <c r="M260" s="82" t="s">
        <v>137</v>
      </c>
      <c r="N260" s="82" t="s">
        <v>137</v>
      </c>
      <c r="O260" s="82" t="s">
        <v>137</v>
      </c>
      <c r="P260" s="82" t="s">
        <v>137</v>
      </c>
      <c r="Q260" s="74" t="s">
        <v>494</v>
      </c>
      <c r="R260" s="74" t="s">
        <v>711</v>
      </c>
      <c r="S260" s="74" t="s">
        <v>557</v>
      </c>
      <c r="T260" s="74" t="s">
        <v>2</v>
      </c>
      <c r="U260" s="74" t="s">
        <v>549</v>
      </c>
      <c r="V260" s="74" t="s">
        <v>549</v>
      </c>
      <c r="W260" s="74" t="s">
        <v>549</v>
      </c>
      <c r="X260" s="71" t="s">
        <v>549</v>
      </c>
      <c r="Y260" s="74" t="s">
        <v>549</v>
      </c>
      <c r="Z260" s="74" t="s">
        <v>549</v>
      </c>
      <c r="AA260" s="74" t="s">
        <v>549</v>
      </c>
      <c r="AB260" s="74" t="s">
        <v>549</v>
      </c>
      <c r="AC260" s="74" t="s">
        <v>549</v>
      </c>
      <c r="AD260" s="74" t="s">
        <v>549</v>
      </c>
      <c r="AE260" s="74" t="s">
        <v>549</v>
      </c>
      <c r="AF260" s="75">
        <v>1</v>
      </c>
      <c r="AG260" s="74" t="s">
        <v>535</v>
      </c>
      <c r="AH260" s="74" t="s">
        <v>530</v>
      </c>
      <c r="AI260" s="78" t="s">
        <v>539</v>
      </c>
      <c r="AJ260" s="79" t="s">
        <v>539</v>
      </c>
      <c r="AK260" s="80">
        <v>46023</v>
      </c>
      <c r="AL260" s="80">
        <v>46387</v>
      </c>
      <c r="AM260" s="79"/>
      <c r="AN260" s="79"/>
      <c r="AO260" s="79"/>
      <c r="AP260" s="81" t="s">
        <v>542</v>
      </c>
      <c r="AQ260" s="80" cm="1">
        <f t="array" ref="AQ260">IFERROR(DATE(2026, _xlfn.AGGREGATE(15, 6, (COLUMN(CI260:CT260)-COLUMN(CI260)+1)/(CI260:CT260&lt;&gt;0), 1), 1),"N/A")</f>
        <v>46023</v>
      </c>
      <c r="AR260" s="80" cm="1">
        <f t="array" ref="AR260">IFERROR(EOMONTH(DATE(2026, _xlfn.AGGREGATE(14, 6, (COLUMN(CI260:CT260)-COLUMN(CI260)+1)/(CI260:CT260&lt;&gt;0), 1), 1), 0),"N/A")</f>
        <v>46387</v>
      </c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4" t="s">
        <v>616</v>
      </c>
      <c r="BG260" s="74"/>
      <c r="BH260" s="74" t="s">
        <v>922</v>
      </c>
      <c r="BI260" s="74" t="s">
        <v>137</v>
      </c>
      <c r="BJ260" s="78">
        <v>510707</v>
      </c>
      <c r="BK260" s="82" t="s">
        <v>74</v>
      </c>
      <c r="BL260" s="83">
        <v>31317.69999999999</v>
      </c>
      <c r="BM260" s="84">
        <v>2609.8083333333325</v>
      </c>
      <c r="BN260" s="84">
        <v>2609.8083333333325</v>
      </c>
      <c r="BO260" s="84">
        <v>2609.8083333333325</v>
      </c>
      <c r="BP260" s="72">
        <v>2609.8083333333325</v>
      </c>
      <c r="BQ260" s="84">
        <v>2609.8083333333325</v>
      </c>
      <c r="BR260" s="84">
        <v>2609.8083333333325</v>
      </c>
      <c r="BS260" s="84">
        <v>2609.8083333333325</v>
      </c>
      <c r="BT260" s="84">
        <v>2609.8083333333325</v>
      </c>
      <c r="BU260" s="84">
        <v>2609.8083333333325</v>
      </c>
      <c r="BV260" s="84">
        <v>2609.8083333333325</v>
      </c>
      <c r="BW260" s="84">
        <v>2609.8083333333325</v>
      </c>
      <c r="BX260" s="84">
        <v>2609.8083333333325</v>
      </c>
      <c r="BY260" s="84">
        <v>-12212.58</v>
      </c>
      <c r="BZ260" s="84">
        <v>4775</v>
      </c>
      <c r="CA260" s="84"/>
      <c r="CB260" s="84"/>
      <c r="CC260" s="84"/>
      <c r="CD260" s="84"/>
      <c r="CE260" s="84"/>
      <c r="CF260" s="84"/>
      <c r="CG260" s="84"/>
      <c r="CH260" s="73">
        <f t="shared" si="6"/>
        <v>23880.119999999988</v>
      </c>
      <c r="CI260" s="102">
        <v>2166.06</v>
      </c>
      <c r="CJ260" s="102">
        <v>0</v>
      </c>
      <c r="CK260" s="102">
        <v>1083.03</v>
      </c>
      <c r="CL260" s="102">
        <v>2292.34</v>
      </c>
      <c r="CM260" s="84">
        <v>2292.34</v>
      </c>
      <c r="CN260" s="84">
        <v>2292.34</v>
      </c>
      <c r="CO260" s="84">
        <v>2292.34</v>
      </c>
      <c r="CP260" s="84">
        <v>2292.34</v>
      </c>
      <c r="CQ260" s="84">
        <v>2292.34</v>
      </c>
      <c r="CR260" s="84">
        <v>2292.34</v>
      </c>
      <c r="CS260" s="84">
        <v>2292.34</v>
      </c>
      <c r="CT260" s="84">
        <v>2292.31</v>
      </c>
      <c r="CU260" s="84"/>
      <c r="CV260" s="84">
        <f t="shared" si="7"/>
        <v>0</v>
      </c>
      <c r="CW260" s="84"/>
      <c r="CX260" s="74"/>
      <c r="CY260" s="74"/>
      <c r="CZ260" s="74"/>
      <c r="DA260" s="74"/>
      <c r="DB260" s="74"/>
      <c r="DC260" s="74"/>
      <c r="DD260" s="74"/>
    </row>
    <row r="261" spans="1:108" s="68" customFormat="1" ht="15" hidden="1" customHeight="1" x14ac:dyDescent="0.25">
      <c r="A261" s="74" t="s">
        <v>689</v>
      </c>
      <c r="B261" s="74" t="s">
        <v>154</v>
      </c>
      <c r="C261" s="74" t="s">
        <v>172</v>
      </c>
      <c r="D261" s="74" t="s">
        <v>196</v>
      </c>
      <c r="E261" s="74" t="s">
        <v>309</v>
      </c>
      <c r="F261" s="74" t="s">
        <v>550</v>
      </c>
      <c r="G261" s="74" t="s">
        <v>137</v>
      </c>
      <c r="H261" s="74" t="s">
        <v>137</v>
      </c>
      <c r="I261" s="74" t="s">
        <v>66</v>
      </c>
      <c r="J261" s="74" t="s">
        <v>28</v>
      </c>
      <c r="K261" s="82" t="s">
        <v>137</v>
      </c>
      <c r="L261" s="82" t="s">
        <v>137</v>
      </c>
      <c r="M261" s="82" t="s">
        <v>137</v>
      </c>
      <c r="N261" s="82" t="s">
        <v>137</v>
      </c>
      <c r="O261" s="82" t="s">
        <v>137</v>
      </c>
      <c r="P261" s="82" t="s">
        <v>137</v>
      </c>
      <c r="Q261" s="74" t="s">
        <v>494</v>
      </c>
      <c r="R261" s="74" t="s">
        <v>711</v>
      </c>
      <c r="S261" s="74" t="s">
        <v>557</v>
      </c>
      <c r="T261" s="74" t="s">
        <v>2</v>
      </c>
      <c r="U261" s="74" t="s">
        <v>549</v>
      </c>
      <c r="V261" s="74" t="s">
        <v>549</v>
      </c>
      <c r="W261" s="74" t="s">
        <v>549</v>
      </c>
      <c r="X261" s="71" t="s">
        <v>549</v>
      </c>
      <c r="Y261" s="74" t="s">
        <v>549</v>
      </c>
      <c r="Z261" s="74" t="s">
        <v>549</v>
      </c>
      <c r="AA261" s="74" t="s">
        <v>549</v>
      </c>
      <c r="AB261" s="74" t="s">
        <v>549</v>
      </c>
      <c r="AC261" s="74" t="s">
        <v>549</v>
      </c>
      <c r="AD261" s="74" t="s">
        <v>549</v>
      </c>
      <c r="AE261" s="74" t="s">
        <v>549</v>
      </c>
      <c r="AF261" s="75">
        <v>1</v>
      </c>
      <c r="AG261" s="74" t="s">
        <v>535</v>
      </c>
      <c r="AH261" s="74" t="s">
        <v>530</v>
      </c>
      <c r="AI261" s="78" t="s">
        <v>539</v>
      </c>
      <c r="AJ261" s="79" t="s">
        <v>539</v>
      </c>
      <c r="AK261" s="80">
        <v>46023</v>
      </c>
      <c r="AL261" s="80">
        <v>46387</v>
      </c>
      <c r="AM261" s="79"/>
      <c r="AN261" s="79"/>
      <c r="AO261" s="79"/>
      <c r="AP261" s="81" t="s">
        <v>542</v>
      </c>
      <c r="AQ261" s="80" cm="1">
        <f t="array" ref="AQ261">IFERROR(DATE(2026, _xlfn.AGGREGATE(15, 6, (COLUMN(CI261:CT261)-COLUMN(CI261)+1)/(CI261:CT261&lt;&gt;0), 1), 1),"N/A")</f>
        <v>46023</v>
      </c>
      <c r="AR261" s="80" cm="1">
        <f t="array" ref="AR261">IFERROR(EOMONTH(DATE(2026, _xlfn.AGGREGATE(14, 6, (COLUMN(CI261:CT261)-COLUMN(CI261)+1)/(CI261:CT261&lt;&gt;0), 1), 1), 0),"N/A")</f>
        <v>46387</v>
      </c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4" t="s">
        <v>619</v>
      </c>
      <c r="BG261" s="74"/>
      <c r="BH261" s="74" t="s">
        <v>923</v>
      </c>
      <c r="BI261" s="74" t="s">
        <v>137</v>
      </c>
      <c r="BJ261" s="78">
        <v>510204</v>
      </c>
      <c r="BK261" s="82" t="s">
        <v>74</v>
      </c>
      <c r="BL261" s="83">
        <v>44160</v>
      </c>
      <c r="BM261" s="84">
        <v>3680</v>
      </c>
      <c r="BN261" s="84">
        <v>3680</v>
      </c>
      <c r="BO261" s="84">
        <v>3680</v>
      </c>
      <c r="BP261" s="72">
        <v>3680</v>
      </c>
      <c r="BQ261" s="84">
        <v>3680</v>
      </c>
      <c r="BR261" s="84">
        <v>3680</v>
      </c>
      <c r="BS261" s="84">
        <v>3680</v>
      </c>
      <c r="BT261" s="84">
        <v>3680</v>
      </c>
      <c r="BU261" s="84">
        <v>3680</v>
      </c>
      <c r="BV261" s="84">
        <v>3680</v>
      </c>
      <c r="BW261" s="84">
        <v>3680</v>
      </c>
      <c r="BX261" s="84">
        <v>3680</v>
      </c>
      <c r="BY261" s="84"/>
      <c r="BZ261" s="84">
        <v>3976.5</v>
      </c>
      <c r="CA261" s="84"/>
      <c r="CB261" s="84"/>
      <c r="CC261" s="84"/>
      <c r="CD261" s="84">
        <v>1166.04</v>
      </c>
      <c r="CE261" s="84"/>
      <c r="CF261" s="84"/>
      <c r="CG261" s="84"/>
      <c r="CH261" s="73">
        <f t="shared" si="6"/>
        <v>49302.54</v>
      </c>
      <c r="CI261" s="102">
        <v>3724.55</v>
      </c>
      <c r="CJ261" s="102">
        <v>3439.88</v>
      </c>
      <c r="CK261" s="102">
        <v>3779.69</v>
      </c>
      <c r="CL261" s="73">
        <v>4351.3500000000004</v>
      </c>
      <c r="CM261" s="111">
        <v>4453.45</v>
      </c>
      <c r="CN261" s="111">
        <v>4221.92</v>
      </c>
      <c r="CO261" s="111">
        <v>4221.95</v>
      </c>
      <c r="CP261" s="111">
        <v>4221.95</v>
      </c>
      <c r="CQ261" s="111">
        <v>4221.95</v>
      </c>
      <c r="CR261" s="111">
        <v>4221.95</v>
      </c>
      <c r="CS261" s="111">
        <v>4221.95</v>
      </c>
      <c r="CT261" s="111">
        <v>4221.95</v>
      </c>
      <c r="CU261" s="84"/>
      <c r="CV261" s="84">
        <f t="shared" si="7"/>
        <v>0</v>
      </c>
      <c r="CW261" s="84"/>
      <c r="CX261" s="74"/>
      <c r="CY261" s="74"/>
      <c r="CZ261" s="74"/>
      <c r="DA261" s="74"/>
      <c r="DB261" s="74"/>
      <c r="DC261" s="74"/>
      <c r="DD261" s="74"/>
    </row>
    <row r="262" spans="1:108" s="68" customFormat="1" ht="15" hidden="1" customHeight="1" x14ac:dyDescent="0.25">
      <c r="A262" s="74" t="s">
        <v>689</v>
      </c>
      <c r="B262" s="74" t="s">
        <v>154</v>
      </c>
      <c r="C262" s="74" t="s">
        <v>172</v>
      </c>
      <c r="D262" s="74" t="s">
        <v>196</v>
      </c>
      <c r="E262" s="74" t="s">
        <v>309</v>
      </c>
      <c r="F262" s="74" t="s">
        <v>550</v>
      </c>
      <c r="G262" s="74" t="s">
        <v>137</v>
      </c>
      <c r="H262" s="74" t="s">
        <v>137</v>
      </c>
      <c r="I262" s="74" t="s">
        <v>66</v>
      </c>
      <c r="J262" s="74" t="s">
        <v>28</v>
      </c>
      <c r="K262" s="82" t="s">
        <v>137</v>
      </c>
      <c r="L262" s="82" t="s">
        <v>137</v>
      </c>
      <c r="M262" s="82" t="s">
        <v>137</v>
      </c>
      <c r="N262" s="82" t="s">
        <v>137</v>
      </c>
      <c r="O262" s="82" t="s">
        <v>137</v>
      </c>
      <c r="P262" s="82" t="s">
        <v>137</v>
      </c>
      <c r="Q262" s="74" t="s">
        <v>494</v>
      </c>
      <c r="R262" s="74" t="s">
        <v>711</v>
      </c>
      <c r="S262" s="74" t="s">
        <v>557</v>
      </c>
      <c r="T262" s="74" t="s">
        <v>2</v>
      </c>
      <c r="U262" s="74" t="s">
        <v>549</v>
      </c>
      <c r="V262" s="74" t="s">
        <v>549</v>
      </c>
      <c r="W262" s="74" t="s">
        <v>549</v>
      </c>
      <c r="X262" s="71" t="s">
        <v>549</v>
      </c>
      <c r="Y262" s="74" t="s">
        <v>549</v>
      </c>
      <c r="Z262" s="74" t="s">
        <v>549</v>
      </c>
      <c r="AA262" s="74" t="s">
        <v>549</v>
      </c>
      <c r="AB262" s="74" t="s">
        <v>549</v>
      </c>
      <c r="AC262" s="74" t="s">
        <v>549</v>
      </c>
      <c r="AD262" s="74" t="s">
        <v>549</v>
      </c>
      <c r="AE262" s="74" t="s">
        <v>549</v>
      </c>
      <c r="AF262" s="75">
        <v>1</v>
      </c>
      <c r="AG262" s="74" t="s">
        <v>535</v>
      </c>
      <c r="AH262" s="74" t="s">
        <v>530</v>
      </c>
      <c r="AI262" s="78" t="s">
        <v>539</v>
      </c>
      <c r="AJ262" s="79" t="s">
        <v>539</v>
      </c>
      <c r="AK262" s="80">
        <v>46023</v>
      </c>
      <c r="AL262" s="80">
        <v>46387</v>
      </c>
      <c r="AM262" s="79"/>
      <c r="AN262" s="79"/>
      <c r="AO262" s="79"/>
      <c r="AP262" s="81" t="s">
        <v>542</v>
      </c>
      <c r="AQ262" s="80" cm="1">
        <f t="array" ref="AQ262">IFERROR(DATE(2026, _xlfn.AGGREGATE(15, 6, (COLUMN(CI262:CT262)-COLUMN(CI262)+1)/(CI262:CT262&lt;&gt;0), 1), 1),"N/A")</f>
        <v>46023</v>
      </c>
      <c r="AR262" s="80" cm="1">
        <f t="array" ref="AR262">IFERROR(EOMONTH(DATE(2026, _xlfn.AGGREGATE(14, 6, (COLUMN(CI262:CT262)-COLUMN(CI262)+1)/(CI262:CT262&lt;&gt;0), 1), 1), 0),"N/A")</f>
        <v>46387</v>
      </c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4" t="s">
        <v>640</v>
      </c>
      <c r="BG262" s="74"/>
      <c r="BH262" s="74" t="s">
        <v>924</v>
      </c>
      <c r="BI262" s="74" t="s">
        <v>137</v>
      </c>
      <c r="BJ262" s="78">
        <v>510203</v>
      </c>
      <c r="BK262" s="82" t="s">
        <v>74</v>
      </c>
      <c r="BL262" s="83">
        <v>136687.44999999998</v>
      </c>
      <c r="BM262" s="84">
        <v>11390.620833333332</v>
      </c>
      <c r="BN262" s="84">
        <v>11390.620833333332</v>
      </c>
      <c r="BO262" s="84">
        <v>11390.620833333332</v>
      </c>
      <c r="BP262" s="72">
        <v>11390.620833333332</v>
      </c>
      <c r="BQ262" s="84">
        <v>11390.620833333332</v>
      </c>
      <c r="BR262" s="84">
        <v>11390.620833333332</v>
      </c>
      <c r="BS262" s="84">
        <v>11390.620833333332</v>
      </c>
      <c r="BT262" s="84">
        <v>11390.620833333332</v>
      </c>
      <c r="BU262" s="84">
        <v>11390.620833333332</v>
      </c>
      <c r="BV262" s="84">
        <v>11390.620833333332</v>
      </c>
      <c r="BW262" s="84">
        <v>11390.620833333332</v>
      </c>
      <c r="BX262" s="84">
        <v>11390.620833333332</v>
      </c>
      <c r="BY262" s="84"/>
      <c r="BZ262" s="84">
        <v>6818.45</v>
      </c>
      <c r="CA262" s="84"/>
      <c r="CB262" s="84"/>
      <c r="CC262" s="84"/>
      <c r="CD262" s="84">
        <v>8639.94</v>
      </c>
      <c r="CE262" s="84"/>
      <c r="CF262" s="84"/>
      <c r="CG262" s="84"/>
      <c r="CH262" s="73">
        <f t="shared" si="6"/>
        <v>152145.84</v>
      </c>
      <c r="CI262" s="102">
        <v>12469.16</v>
      </c>
      <c r="CJ262" s="102">
        <v>11073.26</v>
      </c>
      <c r="CK262" s="102">
        <v>12169.66</v>
      </c>
      <c r="CL262" s="73">
        <v>12678.78</v>
      </c>
      <c r="CM262" s="111">
        <v>12862.57</v>
      </c>
      <c r="CN262" s="111">
        <v>12984.63</v>
      </c>
      <c r="CO262" s="111">
        <v>12984.63</v>
      </c>
      <c r="CP262" s="111">
        <v>12984.63</v>
      </c>
      <c r="CQ262" s="111">
        <v>12984.63</v>
      </c>
      <c r="CR262" s="111">
        <v>12984.63</v>
      </c>
      <c r="CS262" s="111">
        <v>12984.63</v>
      </c>
      <c r="CT262" s="111">
        <v>12984.63</v>
      </c>
      <c r="CU262" s="84"/>
      <c r="CV262" s="84">
        <f t="shared" si="7"/>
        <v>0</v>
      </c>
      <c r="CW262" s="84"/>
      <c r="CX262" s="74"/>
      <c r="CY262" s="74"/>
      <c r="CZ262" s="74"/>
      <c r="DA262" s="74"/>
      <c r="DB262" s="74"/>
      <c r="DC262" s="74"/>
      <c r="DD262" s="74"/>
    </row>
    <row r="263" spans="1:108" s="68" customFormat="1" ht="15" hidden="1" customHeight="1" x14ac:dyDescent="0.25">
      <c r="A263" s="74" t="s">
        <v>689</v>
      </c>
      <c r="B263" s="74" t="s">
        <v>154</v>
      </c>
      <c r="C263" s="74" t="s">
        <v>172</v>
      </c>
      <c r="D263" s="74" t="s">
        <v>196</v>
      </c>
      <c r="E263" s="74" t="s">
        <v>309</v>
      </c>
      <c r="F263" s="74" t="s">
        <v>550</v>
      </c>
      <c r="G263" s="74" t="s">
        <v>137</v>
      </c>
      <c r="H263" s="74" t="s">
        <v>137</v>
      </c>
      <c r="I263" s="74" t="s">
        <v>66</v>
      </c>
      <c r="J263" s="74" t="s">
        <v>28</v>
      </c>
      <c r="K263" s="82" t="s">
        <v>137</v>
      </c>
      <c r="L263" s="82" t="s">
        <v>137</v>
      </c>
      <c r="M263" s="82" t="s">
        <v>137</v>
      </c>
      <c r="N263" s="82" t="s">
        <v>137</v>
      </c>
      <c r="O263" s="82" t="s">
        <v>137</v>
      </c>
      <c r="P263" s="82" t="s">
        <v>137</v>
      </c>
      <c r="Q263" s="74" t="s">
        <v>494</v>
      </c>
      <c r="R263" s="74" t="s">
        <v>711</v>
      </c>
      <c r="S263" s="74" t="s">
        <v>557</v>
      </c>
      <c r="T263" s="74" t="s">
        <v>2</v>
      </c>
      <c r="U263" s="74" t="s">
        <v>549</v>
      </c>
      <c r="V263" s="74" t="s">
        <v>549</v>
      </c>
      <c r="W263" s="74" t="s">
        <v>549</v>
      </c>
      <c r="X263" s="71" t="s">
        <v>549</v>
      </c>
      <c r="Y263" s="74" t="s">
        <v>549</v>
      </c>
      <c r="Z263" s="74" t="s">
        <v>549</v>
      </c>
      <c r="AA263" s="74" t="s">
        <v>549</v>
      </c>
      <c r="AB263" s="74" t="s">
        <v>549</v>
      </c>
      <c r="AC263" s="74" t="s">
        <v>549</v>
      </c>
      <c r="AD263" s="74" t="s">
        <v>549</v>
      </c>
      <c r="AE263" s="74" t="s">
        <v>549</v>
      </c>
      <c r="AF263" s="75">
        <v>1</v>
      </c>
      <c r="AG263" s="74" t="s">
        <v>535</v>
      </c>
      <c r="AH263" s="74" t="s">
        <v>530</v>
      </c>
      <c r="AI263" s="78" t="s">
        <v>539</v>
      </c>
      <c r="AJ263" s="79" t="s">
        <v>539</v>
      </c>
      <c r="AK263" s="80">
        <v>46023</v>
      </c>
      <c r="AL263" s="80">
        <v>46387</v>
      </c>
      <c r="AM263" s="79"/>
      <c r="AN263" s="79"/>
      <c r="AO263" s="79"/>
      <c r="AP263" s="81" t="s">
        <v>542</v>
      </c>
      <c r="AQ263" s="80" cm="1">
        <f t="array" ref="AQ263">IFERROR(DATE(2026, _xlfn.AGGREGATE(15, 6, (COLUMN(CI263:CT263)-COLUMN(CI263)+1)/(CI263:CT263&lt;&gt;0), 1), 1),"N/A")</f>
        <v>46023</v>
      </c>
      <c r="AR263" s="80" cm="1">
        <f t="array" ref="AR263">IFERROR(EOMONTH(DATE(2026, _xlfn.AGGREGATE(14, 6, (COLUMN(CI263:CT263)-COLUMN(CI263)+1)/(CI263:CT263&lt;&gt;0), 1), 1), 0),"N/A")</f>
        <v>46387</v>
      </c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4" t="s">
        <v>647</v>
      </c>
      <c r="BG263" s="74"/>
      <c r="BH263" s="74" t="s">
        <v>925</v>
      </c>
      <c r="BI263" s="74" t="s">
        <v>137</v>
      </c>
      <c r="BJ263" s="78">
        <v>510513</v>
      </c>
      <c r="BK263" s="82" t="s">
        <v>74</v>
      </c>
      <c r="BL263" s="83">
        <v>10766.630000000001</v>
      </c>
      <c r="BM263" s="84">
        <v>897.21916666666675</v>
      </c>
      <c r="BN263" s="84">
        <v>897.21916666666675</v>
      </c>
      <c r="BO263" s="84">
        <v>897.21916666666675</v>
      </c>
      <c r="BP263" s="72">
        <v>897.21916666666675</v>
      </c>
      <c r="BQ263" s="84">
        <v>897.21916666666675</v>
      </c>
      <c r="BR263" s="84">
        <v>897.21916666666675</v>
      </c>
      <c r="BS263" s="84">
        <v>897.21916666666675</v>
      </c>
      <c r="BT263" s="84">
        <v>897.21916666666675</v>
      </c>
      <c r="BU263" s="84">
        <v>897.21916666666675</v>
      </c>
      <c r="BV263" s="84">
        <v>897.21916666666675</v>
      </c>
      <c r="BW263" s="84">
        <v>897.21916666666675</v>
      </c>
      <c r="BX263" s="84">
        <v>897.21916666666675</v>
      </c>
      <c r="BY263" s="84"/>
      <c r="BZ263" s="84"/>
      <c r="CA263" s="84">
        <v>14828.49</v>
      </c>
      <c r="CB263" s="84"/>
      <c r="CC263" s="84"/>
      <c r="CD263" s="84">
        <v>10637.88</v>
      </c>
      <c r="CE263" s="84"/>
      <c r="CF263" s="84"/>
      <c r="CG263" s="84"/>
      <c r="CH263" s="73">
        <f t="shared" ref="CH263:CH326" si="8">+BL263+BY263+BZ263+CA263+CB263+CC263+CD263+CE263+CF263+CG263</f>
        <v>36233</v>
      </c>
      <c r="CI263" s="102">
        <v>1870.5</v>
      </c>
      <c r="CJ263" s="102">
        <v>1164.27</v>
      </c>
      <c r="CK263" s="102">
        <v>1947.7</v>
      </c>
      <c r="CL263" s="73">
        <v>3722.53</v>
      </c>
      <c r="CM263" s="84">
        <v>3441</v>
      </c>
      <c r="CN263" s="84">
        <v>3441</v>
      </c>
      <c r="CO263" s="84">
        <v>3441</v>
      </c>
      <c r="CP263" s="84">
        <v>3441</v>
      </c>
      <c r="CQ263" s="84">
        <v>3441</v>
      </c>
      <c r="CR263" s="84">
        <v>3441</v>
      </c>
      <c r="CS263" s="84">
        <v>3441</v>
      </c>
      <c r="CT263" s="84">
        <v>3441</v>
      </c>
      <c r="CU263" s="84"/>
      <c r="CV263" s="84">
        <f t="shared" ref="CV263:CV326" si="9">+CH263-SUM(CI263:CU263)</f>
        <v>0</v>
      </c>
      <c r="CW263" s="84"/>
      <c r="CX263" s="74"/>
      <c r="CY263" s="74"/>
      <c r="CZ263" s="74"/>
      <c r="DA263" s="74"/>
      <c r="DB263" s="74"/>
      <c r="DC263" s="74"/>
      <c r="DD263" s="74"/>
    </row>
    <row r="264" spans="1:108" s="68" customFormat="1" ht="15" hidden="1" customHeight="1" x14ac:dyDescent="0.25">
      <c r="A264" s="74" t="s">
        <v>689</v>
      </c>
      <c r="B264" s="74" t="s">
        <v>154</v>
      </c>
      <c r="C264" s="74" t="s">
        <v>172</v>
      </c>
      <c r="D264" s="74" t="s">
        <v>196</v>
      </c>
      <c r="E264" s="74" t="s">
        <v>309</v>
      </c>
      <c r="F264" s="74" t="s">
        <v>550</v>
      </c>
      <c r="G264" s="74" t="s">
        <v>137</v>
      </c>
      <c r="H264" s="74" t="s">
        <v>137</v>
      </c>
      <c r="I264" s="74" t="s">
        <v>66</v>
      </c>
      <c r="J264" s="74" t="s">
        <v>28</v>
      </c>
      <c r="K264" s="82" t="s">
        <v>137</v>
      </c>
      <c r="L264" s="82" t="s">
        <v>137</v>
      </c>
      <c r="M264" s="82" t="s">
        <v>137</v>
      </c>
      <c r="N264" s="82" t="s">
        <v>137</v>
      </c>
      <c r="O264" s="82" t="s">
        <v>137</v>
      </c>
      <c r="P264" s="82" t="s">
        <v>137</v>
      </c>
      <c r="Q264" s="74" t="s">
        <v>494</v>
      </c>
      <c r="R264" s="74" t="s">
        <v>711</v>
      </c>
      <c r="S264" s="74" t="s">
        <v>557</v>
      </c>
      <c r="T264" s="74" t="s">
        <v>2</v>
      </c>
      <c r="U264" s="74" t="s">
        <v>549</v>
      </c>
      <c r="V264" s="74" t="s">
        <v>549</v>
      </c>
      <c r="W264" s="74" t="s">
        <v>549</v>
      </c>
      <c r="X264" s="71" t="s">
        <v>549</v>
      </c>
      <c r="Y264" s="74" t="s">
        <v>549</v>
      </c>
      <c r="Z264" s="74" t="s">
        <v>549</v>
      </c>
      <c r="AA264" s="74" t="s">
        <v>549</v>
      </c>
      <c r="AB264" s="74" t="s">
        <v>549</v>
      </c>
      <c r="AC264" s="74" t="s">
        <v>549</v>
      </c>
      <c r="AD264" s="74" t="s">
        <v>549</v>
      </c>
      <c r="AE264" s="74" t="s">
        <v>549</v>
      </c>
      <c r="AF264" s="75">
        <v>1</v>
      </c>
      <c r="AG264" s="74" t="s">
        <v>535</v>
      </c>
      <c r="AH264" s="74" t="s">
        <v>530</v>
      </c>
      <c r="AI264" s="78" t="s">
        <v>539</v>
      </c>
      <c r="AJ264" s="79" t="s">
        <v>539</v>
      </c>
      <c r="AK264" s="80">
        <v>46023</v>
      </c>
      <c r="AL264" s="80">
        <v>46387</v>
      </c>
      <c r="AM264" s="79"/>
      <c r="AN264" s="79"/>
      <c r="AO264" s="79"/>
      <c r="AP264" s="81" t="s">
        <v>542</v>
      </c>
      <c r="AQ264" s="80" cm="1">
        <f t="array" ref="AQ264">IFERROR(DATE(2026, _xlfn.AGGREGATE(15, 6, (COLUMN(CI264:CT264)-COLUMN(CI264)+1)/(CI264:CT264&lt;&gt;0), 1), 1),"N/A")</f>
        <v>46023</v>
      </c>
      <c r="AR264" s="80" cm="1">
        <f t="array" ref="AR264">IFERROR(EOMONTH(DATE(2026, _xlfn.AGGREGATE(14, 6, (COLUMN(CI264:CT264)-COLUMN(CI264)+1)/(CI264:CT264&lt;&gt;0), 1), 1), 0),"N/A")</f>
        <v>46387</v>
      </c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4" t="s">
        <v>639</v>
      </c>
      <c r="BG264" s="74"/>
      <c r="BH264" s="74" t="s">
        <v>926</v>
      </c>
      <c r="BI264" s="74" t="s">
        <v>137</v>
      </c>
      <c r="BJ264" s="78">
        <v>510602</v>
      </c>
      <c r="BK264" s="82" t="s">
        <v>74</v>
      </c>
      <c r="BL264" s="83">
        <v>106188.31</v>
      </c>
      <c r="BM264" s="84">
        <v>8849.0258333333331</v>
      </c>
      <c r="BN264" s="84">
        <v>8849.0258333333331</v>
      </c>
      <c r="BO264" s="84">
        <v>8849.0258333333331</v>
      </c>
      <c r="BP264" s="72">
        <v>8849.0258333333331</v>
      </c>
      <c r="BQ264" s="84">
        <v>8849.0258333333331</v>
      </c>
      <c r="BR264" s="84">
        <v>8849.0258333333331</v>
      </c>
      <c r="BS264" s="84">
        <v>8849.0258333333331</v>
      </c>
      <c r="BT264" s="84">
        <v>8849.0258333333331</v>
      </c>
      <c r="BU264" s="84">
        <v>8849.0258333333331</v>
      </c>
      <c r="BV264" s="84">
        <v>8849.0258333333331</v>
      </c>
      <c r="BW264" s="84">
        <v>8849.0258333333331</v>
      </c>
      <c r="BX264" s="84">
        <v>8849.0258333333331</v>
      </c>
      <c r="BY264" s="84">
        <v>-1813.96</v>
      </c>
      <c r="BZ264" s="84">
        <v>6036.1</v>
      </c>
      <c r="CA264" s="84">
        <v>-4108.7299999999996</v>
      </c>
      <c r="CB264" s="84"/>
      <c r="CC264" s="84"/>
      <c r="CD264" s="84">
        <v>1167.94</v>
      </c>
      <c r="CE264" s="84"/>
      <c r="CF264" s="84"/>
      <c r="CG264" s="84"/>
      <c r="CH264" s="73">
        <f t="shared" si="8"/>
        <v>107469.66</v>
      </c>
      <c r="CI264" s="84">
        <v>8564.68</v>
      </c>
      <c r="CJ264" s="84">
        <v>7808.76</v>
      </c>
      <c r="CK264" s="84">
        <v>8028.28</v>
      </c>
      <c r="CL264" s="84">
        <v>8601.86</v>
      </c>
      <c r="CM264" s="84">
        <v>8958.26</v>
      </c>
      <c r="CN264" s="84">
        <v>9358.26</v>
      </c>
      <c r="CO264" s="84">
        <v>9358.26</v>
      </c>
      <c r="CP264" s="84">
        <v>9358.26</v>
      </c>
      <c r="CQ264" s="84">
        <v>9358.26</v>
      </c>
      <c r="CR264" s="84">
        <v>9358.26</v>
      </c>
      <c r="CS264" s="84">
        <v>9358.26</v>
      </c>
      <c r="CT264" s="84">
        <v>9358.26</v>
      </c>
      <c r="CU264" s="84"/>
      <c r="CV264" s="84">
        <f t="shared" si="9"/>
        <v>0</v>
      </c>
      <c r="CW264" s="84"/>
      <c r="CX264" s="74"/>
      <c r="CY264" s="74"/>
      <c r="CZ264" s="74"/>
      <c r="DA264" s="74"/>
      <c r="DB264" s="74"/>
      <c r="DC264" s="74"/>
      <c r="DD264" s="74"/>
    </row>
    <row r="265" spans="1:108" s="68" customFormat="1" ht="15" hidden="1" customHeight="1" x14ac:dyDescent="0.25">
      <c r="A265" s="74" t="s">
        <v>689</v>
      </c>
      <c r="B265" s="74" t="s">
        <v>154</v>
      </c>
      <c r="C265" s="74" t="s">
        <v>172</v>
      </c>
      <c r="D265" s="74" t="s">
        <v>196</v>
      </c>
      <c r="E265" s="74" t="s">
        <v>309</v>
      </c>
      <c r="F265" s="74" t="s">
        <v>550</v>
      </c>
      <c r="G265" s="74" t="s">
        <v>137</v>
      </c>
      <c r="H265" s="74" t="s">
        <v>137</v>
      </c>
      <c r="I265" s="74" t="s">
        <v>66</v>
      </c>
      <c r="J265" s="74" t="s">
        <v>28</v>
      </c>
      <c r="K265" s="82" t="s">
        <v>137</v>
      </c>
      <c r="L265" s="82" t="s">
        <v>137</v>
      </c>
      <c r="M265" s="82" t="s">
        <v>137</v>
      </c>
      <c r="N265" s="82" t="s">
        <v>137</v>
      </c>
      <c r="O265" s="82" t="s">
        <v>137</v>
      </c>
      <c r="P265" s="82" t="s">
        <v>137</v>
      </c>
      <c r="Q265" s="74" t="s">
        <v>494</v>
      </c>
      <c r="R265" s="74" t="s">
        <v>711</v>
      </c>
      <c r="S265" s="74" t="s">
        <v>557</v>
      </c>
      <c r="T265" s="74" t="s">
        <v>2</v>
      </c>
      <c r="U265" s="74" t="s">
        <v>549</v>
      </c>
      <c r="V265" s="74" t="s">
        <v>549</v>
      </c>
      <c r="W265" s="74" t="s">
        <v>549</v>
      </c>
      <c r="X265" s="71" t="s">
        <v>549</v>
      </c>
      <c r="Y265" s="74" t="s">
        <v>549</v>
      </c>
      <c r="Z265" s="74" t="s">
        <v>549</v>
      </c>
      <c r="AA265" s="74" t="s">
        <v>549</v>
      </c>
      <c r="AB265" s="74" t="s">
        <v>549</v>
      </c>
      <c r="AC265" s="74" t="s">
        <v>549</v>
      </c>
      <c r="AD265" s="74" t="s">
        <v>549</v>
      </c>
      <c r="AE265" s="74" t="s">
        <v>549</v>
      </c>
      <c r="AF265" s="75">
        <v>1</v>
      </c>
      <c r="AG265" s="74" t="s">
        <v>535</v>
      </c>
      <c r="AH265" s="74" t="s">
        <v>530</v>
      </c>
      <c r="AI265" s="78" t="s">
        <v>539</v>
      </c>
      <c r="AJ265" s="79" t="s">
        <v>539</v>
      </c>
      <c r="AK265" s="80">
        <v>46023</v>
      </c>
      <c r="AL265" s="80">
        <v>46387</v>
      </c>
      <c r="AM265" s="79"/>
      <c r="AN265" s="79"/>
      <c r="AO265" s="79"/>
      <c r="AP265" s="81" t="s">
        <v>542</v>
      </c>
      <c r="AQ265" s="80" cm="1">
        <f t="array" ref="AQ265">IFERROR(DATE(2026, _xlfn.AGGREGATE(15, 6, (COLUMN(CI265:CT265)-COLUMN(CI265)+1)/(CI265:CT265&lt;&gt;0), 1), 1),"N/A")</f>
        <v>46023</v>
      </c>
      <c r="AR265" s="80" cm="1">
        <f t="array" ref="AR265">IFERROR(EOMONTH(DATE(2026, _xlfn.AGGREGATE(14, 6, (COLUMN(CI265:CT265)-COLUMN(CI265)+1)/(CI265:CT265&lt;&gt;0), 1), 1), 0),"N/A")</f>
        <v>46387</v>
      </c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4" t="s">
        <v>617</v>
      </c>
      <c r="BG265" s="74"/>
      <c r="BH265" s="74" t="s">
        <v>927</v>
      </c>
      <c r="BI265" s="74" t="s">
        <v>137</v>
      </c>
      <c r="BJ265" s="78">
        <v>510509</v>
      </c>
      <c r="BK265" s="82" t="s">
        <v>74</v>
      </c>
      <c r="BL265" s="83">
        <v>52597.97</v>
      </c>
      <c r="BM265" s="84">
        <v>4383.1641666666665</v>
      </c>
      <c r="BN265" s="84">
        <v>4383.1641666666665</v>
      </c>
      <c r="BO265" s="84">
        <v>4383.1641666666665</v>
      </c>
      <c r="BP265" s="72">
        <v>4383.1641666666665</v>
      </c>
      <c r="BQ265" s="84">
        <v>4383.1641666666665</v>
      </c>
      <c r="BR265" s="84">
        <v>4383.1641666666665</v>
      </c>
      <c r="BS265" s="84">
        <v>4383.1641666666665</v>
      </c>
      <c r="BT265" s="84">
        <v>4383.1641666666665</v>
      </c>
      <c r="BU265" s="84">
        <v>4383.1641666666665</v>
      </c>
      <c r="BV265" s="84">
        <v>4383.1641666666665</v>
      </c>
      <c r="BW265" s="84">
        <v>4383.1641666666665</v>
      </c>
      <c r="BX265" s="84">
        <v>4383.1641666666665</v>
      </c>
      <c r="BY265" s="84"/>
      <c r="BZ265" s="84">
        <v>10000</v>
      </c>
      <c r="CA265" s="84"/>
      <c r="CB265" s="84"/>
      <c r="CC265" s="84"/>
      <c r="CD265" s="84">
        <v>20290.759999999998</v>
      </c>
      <c r="CE265" s="84"/>
      <c r="CF265" s="84"/>
      <c r="CG265" s="84"/>
      <c r="CH265" s="73">
        <f t="shared" si="8"/>
        <v>82888.73</v>
      </c>
      <c r="CI265" s="102">
        <v>13115.94</v>
      </c>
      <c r="CJ265" s="102">
        <v>3583.21</v>
      </c>
      <c r="CK265" s="102">
        <v>8013.49</v>
      </c>
      <c r="CL265" s="73">
        <v>8403.5400000000009</v>
      </c>
      <c r="CM265" s="111">
        <v>11996.97</v>
      </c>
      <c r="CN265" s="111">
        <v>5396.51</v>
      </c>
      <c r="CO265" s="111">
        <v>5396.51</v>
      </c>
      <c r="CP265" s="111">
        <v>5396.51</v>
      </c>
      <c r="CQ265" s="111">
        <v>5396.51</v>
      </c>
      <c r="CR265" s="111">
        <v>5396.51</v>
      </c>
      <c r="CS265" s="111">
        <v>5396.51</v>
      </c>
      <c r="CT265" s="111">
        <v>5396.52</v>
      </c>
      <c r="CU265" s="84"/>
      <c r="CV265" s="84">
        <f t="shared" si="9"/>
        <v>0</v>
      </c>
      <c r="CW265" s="84"/>
      <c r="CX265" s="74"/>
      <c r="CY265" s="74"/>
      <c r="CZ265" s="74"/>
      <c r="DA265" s="74"/>
      <c r="DB265" s="74"/>
      <c r="DC265" s="74"/>
      <c r="DD265" s="74"/>
    </row>
    <row r="266" spans="1:108" s="68" customFormat="1" ht="15" hidden="1" customHeight="1" x14ac:dyDescent="0.25">
      <c r="A266" s="74" t="s">
        <v>689</v>
      </c>
      <c r="B266" s="74" t="s">
        <v>154</v>
      </c>
      <c r="C266" s="74" t="s">
        <v>172</v>
      </c>
      <c r="D266" s="74" t="s">
        <v>196</v>
      </c>
      <c r="E266" s="74" t="s">
        <v>309</v>
      </c>
      <c r="F266" s="74" t="s">
        <v>550</v>
      </c>
      <c r="G266" s="74" t="s">
        <v>137</v>
      </c>
      <c r="H266" s="74" t="s">
        <v>137</v>
      </c>
      <c r="I266" s="74" t="s">
        <v>66</v>
      </c>
      <c r="J266" s="74" t="s">
        <v>28</v>
      </c>
      <c r="K266" s="82" t="s">
        <v>137</v>
      </c>
      <c r="L266" s="82" t="s">
        <v>137</v>
      </c>
      <c r="M266" s="82" t="s">
        <v>137</v>
      </c>
      <c r="N266" s="82" t="s">
        <v>137</v>
      </c>
      <c r="O266" s="82" t="s">
        <v>137</v>
      </c>
      <c r="P266" s="82" t="s">
        <v>137</v>
      </c>
      <c r="Q266" s="74" t="s">
        <v>494</v>
      </c>
      <c r="R266" s="74" t="s">
        <v>711</v>
      </c>
      <c r="S266" s="74" t="s">
        <v>557</v>
      </c>
      <c r="T266" s="74" t="s">
        <v>2</v>
      </c>
      <c r="U266" s="74" t="s">
        <v>549</v>
      </c>
      <c r="V266" s="74" t="s">
        <v>549</v>
      </c>
      <c r="W266" s="74" t="s">
        <v>549</v>
      </c>
      <c r="X266" s="71" t="s">
        <v>549</v>
      </c>
      <c r="Y266" s="74" t="s">
        <v>549</v>
      </c>
      <c r="Z266" s="74" t="s">
        <v>549</v>
      </c>
      <c r="AA266" s="74" t="s">
        <v>549</v>
      </c>
      <c r="AB266" s="74" t="s">
        <v>549</v>
      </c>
      <c r="AC266" s="74" t="s">
        <v>549</v>
      </c>
      <c r="AD266" s="74" t="s">
        <v>549</v>
      </c>
      <c r="AE266" s="74" t="s">
        <v>549</v>
      </c>
      <c r="AF266" s="75">
        <v>1</v>
      </c>
      <c r="AG266" s="74" t="s">
        <v>535</v>
      </c>
      <c r="AH266" s="74" t="s">
        <v>530</v>
      </c>
      <c r="AI266" s="78" t="s">
        <v>539</v>
      </c>
      <c r="AJ266" s="79" t="s">
        <v>539</v>
      </c>
      <c r="AK266" s="80">
        <v>46023</v>
      </c>
      <c r="AL266" s="80">
        <v>46387</v>
      </c>
      <c r="AM266" s="79"/>
      <c r="AN266" s="79"/>
      <c r="AO266" s="79"/>
      <c r="AP266" s="81" t="s">
        <v>542</v>
      </c>
      <c r="AQ266" s="80" cm="1">
        <f t="array" ref="AQ266">IFERROR(DATE(2026, _xlfn.AGGREGATE(15, 6, (COLUMN(CI266:CT266)-COLUMN(CI266)+1)/(CI266:CT266&lt;&gt;0), 1), 1),"N/A")</f>
        <v>46023</v>
      </c>
      <c r="AR266" s="80" cm="1">
        <f t="array" ref="AR266">IFERROR(EOMONTH(DATE(2026, _xlfn.AGGREGATE(14, 6, (COLUMN(CI266:CT266)-COLUMN(CI266)+1)/(CI266:CT266&lt;&gt;0), 1), 1), 0),"N/A")</f>
        <v>46387</v>
      </c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4" t="s">
        <v>687</v>
      </c>
      <c r="BG266" s="74"/>
      <c r="BH266" s="74" t="s">
        <v>928</v>
      </c>
      <c r="BI266" s="74" t="s">
        <v>137</v>
      </c>
      <c r="BJ266" s="78">
        <v>510105</v>
      </c>
      <c r="BK266" s="82" t="s">
        <v>74</v>
      </c>
      <c r="BL266" s="83">
        <v>847680</v>
      </c>
      <c r="BM266" s="84">
        <v>70640</v>
      </c>
      <c r="BN266" s="84">
        <v>70640</v>
      </c>
      <c r="BO266" s="84">
        <v>70640</v>
      </c>
      <c r="BP266" s="72">
        <v>70640</v>
      </c>
      <c r="BQ266" s="84">
        <v>70640</v>
      </c>
      <c r="BR266" s="84">
        <v>70640</v>
      </c>
      <c r="BS266" s="84">
        <v>70640</v>
      </c>
      <c r="BT266" s="84">
        <v>70640</v>
      </c>
      <c r="BU266" s="84">
        <v>70640</v>
      </c>
      <c r="BV266" s="84">
        <v>70640</v>
      </c>
      <c r="BW266" s="84">
        <v>70640</v>
      </c>
      <c r="BX266" s="84">
        <v>70640</v>
      </c>
      <c r="BY266" s="84">
        <v>-37800</v>
      </c>
      <c r="BZ266" s="84">
        <v>-2500</v>
      </c>
      <c r="CA266" s="84">
        <v>-40566.68</v>
      </c>
      <c r="CB266" s="84"/>
      <c r="CC266" s="84"/>
      <c r="CD266" s="84"/>
      <c r="CE266" s="84"/>
      <c r="CF266" s="84"/>
      <c r="CG266" s="84"/>
      <c r="CH266" s="73">
        <f t="shared" si="8"/>
        <v>766813.32</v>
      </c>
      <c r="CI266" s="84">
        <v>57356.66</v>
      </c>
      <c r="CJ266" s="84">
        <v>64473.33</v>
      </c>
      <c r="CK266" s="84">
        <v>63723.33</v>
      </c>
      <c r="CL266" s="84">
        <v>62640</v>
      </c>
      <c r="CM266" s="84">
        <v>62640</v>
      </c>
      <c r="CN266" s="84">
        <v>65140</v>
      </c>
      <c r="CO266" s="84">
        <v>65140</v>
      </c>
      <c r="CP266" s="84">
        <v>65140</v>
      </c>
      <c r="CQ266" s="84">
        <v>65140</v>
      </c>
      <c r="CR266" s="84">
        <v>65140</v>
      </c>
      <c r="CS266" s="84">
        <v>65140</v>
      </c>
      <c r="CT266" s="84">
        <v>65140</v>
      </c>
      <c r="CU266" s="84"/>
      <c r="CV266" s="84">
        <f t="shared" si="9"/>
        <v>0</v>
      </c>
      <c r="CW266" s="84"/>
      <c r="CX266" s="74"/>
      <c r="CY266" s="74"/>
      <c r="CZ266" s="74"/>
      <c r="DA266" s="74"/>
      <c r="DB266" s="74"/>
      <c r="DC266" s="74"/>
      <c r="DD266" s="74"/>
    </row>
    <row r="267" spans="1:108" s="68" customFormat="1" ht="15" hidden="1" customHeight="1" x14ac:dyDescent="0.25">
      <c r="A267" s="74" t="s">
        <v>689</v>
      </c>
      <c r="B267" s="74" t="s">
        <v>154</v>
      </c>
      <c r="C267" s="74" t="s">
        <v>172</v>
      </c>
      <c r="D267" s="74" t="s">
        <v>196</v>
      </c>
      <c r="E267" s="74" t="s">
        <v>309</v>
      </c>
      <c r="F267" s="74" t="s">
        <v>550</v>
      </c>
      <c r="G267" s="74" t="s">
        <v>137</v>
      </c>
      <c r="H267" s="74" t="s">
        <v>137</v>
      </c>
      <c r="I267" s="74" t="s">
        <v>66</v>
      </c>
      <c r="J267" s="74" t="s">
        <v>28</v>
      </c>
      <c r="K267" s="82" t="s">
        <v>137</v>
      </c>
      <c r="L267" s="82" t="s">
        <v>137</v>
      </c>
      <c r="M267" s="82" t="s">
        <v>137</v>
      </c>
      <c r="N267" s="82" t="s">
        <v>137</v>
      </c>
      <c r="O267" s="82" t="s">
        <v>137</v>
      </c>
      <c r="P267" s="82" t="s">
        <v>137</v>
      </c>
      <c r="Q267" s="74" t="s">
        <v>494</v>
      </c>
      <c r="R267" s="74" t="s">
        <v>711</v>
      </c>
      <c r="S267" s="74" t="s">
        <v>557</v>
      </c>
      <c r="T267" s="74" t="s">
        <v>2</v>
      </c>
      <c r="U267" s="74" t="s">
        <v>549</v>
      </c>
      <c r="V267" s="74" t="s">
        <v>549</v>
      </c>
      <c r="W267" s="74" t="s">
        <v>549</v>
      </c>
      <c r="X267" s="71" t="s">
        <v>549</v>
      </c>
      <c r="Y267" s="74" t="s">
        <v>549</v>
      </c>
      <c r="Z267" s="74" t="s">
        <v>549</v>
      </c>
      <c r="AA267" s="74" t="s">
        <v>549</v>
      </c>
      <c r="AB267" s="74" t="s">
        <v>549</v>
      </c>
      <c r="AC267" s="74" t="s">
        <v>549</v>
      </c>
      <c r="AD267" s="74" t="s">
        <v>549</v>
      </c>
      <c r="AE267" s="74" t="s">
        <v>549</v>
      </c>
      <c r="AF267" s="75">
        <v>1</v>
      </c>
      <c r="AG267" s="74" t="s">
        <v>535</v>
      </c>
      <c r="AH267" s="74" t="s">
        <v>530</v>
      </c>
      <c r="AI267" s="78" t="s">
        <v>539</v>
      </c>
      <c r="AJ267" s="79" t="s">
        <v>539</v>
      </c>
      <c r="AK267" s="80">
        <v>46023</v>
      </c>
      <c r="AL267" s="80">
        <v>46387</v>
      </c>
      <c r="AM267" s="79"/>
      <c r="AN267" s="79"/>
      <c r="AO267" s="79"/>
      <c r="AP267" s="81" t="s">
        <v>542</v>
      </c>
      <c r="AQ267" s="80" cm="1">
        <f t="array" ref="AQ267">IFERROR(DATE(2026, _xlfn.AGGREGATE(15, 6, (COLUMN(CI267:CT267)-COLUMN(CI267)+1)/(CI267:CT267&lt;&gt;0), 1), 1),"N/A")</f>
        <v>46023</v>
      </c>
      <c r="AR267" s="80" cm="1">
        <f t="array" ref="AR267">IFERROR(EOMONTH(DATE(2026, _xlfn.AGGREGATE(14, 6, (COLUMN(CI267:CT267)-COLUMN(CI267)+1)/(CI267:CT267&lt;&gt;0), 1), 1), 0),"N/A")</f>
        <v>46387</v>
      </c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4" t="s">
        <v>665</v>
      </c>
      <c r="BG267" s="74"/>
      <c r="BH267" s="74" t="s">
        <v>929</v>
      </c>
      <c r="BI267" s="74" t="s">
        <v>137</v>
      </c>
      <c r="BJ267" s="78">
        <v>510106</v>
      </c>
      <c r="BK267" s="82" t="s">
        <v>74</v>
      </c>
      <c r="BL267" s="83">
        <v>34656</v>
      </c>
      <c r="BM267" s="84">
        <v>2888</v>
      </c>
      <c r="BN267" s="84">
        <v>2888</v>
      </c>
      <c r="BO267" s="84">
        <v>2888</v>
      </c>
      <c r="BP267" s="72">
        <v>2888</v>
      </c>
      <c r="BQ267" s="84">
        <v>2888</v>
      </c>
      <c r="BR267" s="84">
        <v>2888</v>
      </c>
      <c r="BS267" s="84">
        <v>2888</v>
      </c>
      <c r="BT267" s="84">
        <v>2888</v>
      </c>
      <c r="BU267" s="84">
        <v>2888</v>
      </c>
      <c r="BV267" s="84">
        <v>2888</v>
      </c>
      <c r="BW267" s="84">
        <v>2888</v>
      </c>
      <c r="BX267" s="84">
        <v>2888</v>
      </c>
      <c r="BY267" s="84"/>
      <c r="BZ267" s="84"/>
      <c r="CA267" s="84"/>
      <c r="CB267" s="84"/>
      <c r="CC267" s="84"/>
      <c r="CD267" s="84">
        <v>4717.07</v>
      </c>
      <c r="CE267" s="84"/>
      <c r="CF267" s="84"/>
      <c r="CG267" s="84"/>
      <c r="CH267" s="73">
        <f t="shared" si="8"/>
        <v>39373.07</v>
      </c>
      <c r="CI267" s="84">
        <v>2888</v>
      </c>
      <c r="CJ267" s="84">
        <v>2888</v>
      </c>
      <c r="CK267" s="84">
        <v>2888</v>
      </c>
      <c r="CL267" s="72">
        <v>2888</v>
      </c>
      <c r="CM267" s="84">
        <v>2888</v>
      </c>
      <c r="CN267" s="84">
        <v>3273.07</v>
      </c>
      <c r="CO267" s="84">
        <v>3610</v>
      </c>
      <c r="CP267" s="84">
        <v>3610</v>
      </c>
      <c r="CQ267" s="84">
        <v>3610</v>
      </c>
      <c r="CR267" s="84">
        <v>3610</v>
      </c>
      <c r="CS267" s="84">
        <v>3610</v>
      </c>
      <c r="CT267" s="84">
        <v>3610</v>
      </c>
      <c r="CU267" s="84"/>
      <c r="CV267" s="84">
        <f t="shared" si="9"/>
        <v>0</v>
      </c>
      <c r="CW267" s="84"/>
      <c r="CX267" s="74"/>
      <c r="CY267" s="74"/>
      <c r="CZ267" s="74"/>
      <c r="DA267" s="74"/>
      <c r="DB267" s="74"/>
      <c r="DC267" s="74"/>
      <c r="DD267" s="74"/>
    </row>
    <row r="268" spans="1:108" s="68" customFormat="1" ht="15" hidden="1" customHeight="1" x14ac:dyDescent="0.25">
      <c r="A268" s="74" t="s">
        <v>689</v>
      </c>
      <c r="B268" s="74" t="s">
        <v>154</v>
      </c>
      <c r="C268" s="74" t="s">
        <v>172</v>
      </c>
      <c r="D268" s="74" t="s">
        <v>196</v>
      </c>
      <c r="E268" s="74" t="s">
        <v>309</v>
      </c>
      <c r="F268" s="74" t="s">
        <v>550</v>
      </c>
      <c r="G268" s="74" t="s">
        <v>137</v>
      </c>
      <c r="H268" s="74" t="s">
        <v>137</v>
      </c>
      <c r="I268" s="74" t="s">
        <v>66</v>
      </c>
      <c r="J268" s="74" t="s">
        <v>28</v>
      </c>
      <c r="K268" s="82" t="s">
        <v>137</v>
      </c>
      <c r="L268" s="82" t="s">
        <v>137</v>
      </c>
      <c r="M268" s="82" t="s">
        <v>137</v>
      </c>
      <c r="N268" s="82" t="s">
        <v>137</v>
      </c>
      <c r="O268" s="82" t="s">
        <v>137</v>
      </c>
      <c r="P268" s="82" t="s">
        <v>137</v>
      </c>
      <c r="Q268" s="74" t="s">
        <v>494</v>
      </c>
      <c r="R268" s="74" t="s">
        <v>711</v>
      </c>
      <c r="S268" s="74" t="s">
        <v>557</v>
      </c>
      <c r="T268" s="74" t="s">
        <v>2</v>
      </c>
      <c r="U268" s="74" t="s">
        <v>549</v>
      </c>
      <c r="V268" s="74" t="s">
        <v>549</v>
      </c>
      <c r="W268" s="74" t="s">
        <v>549</v>
      </c>
      <c r="X268" s="71" t="s">
        <v>549</v>
      </c>
      <c r="Y268" s="74" t="s">
        <v>549</v>
      </c>
      <c r="Z268" s="74" t="s">
        <v>549</v>
      </c>
      <c r="AA268" s="74" t="s">
        <v>549</v>
      </c>
      <c r="AB268" s="74" t="s">
        <v>549</v>
      </c>
      <c r="AC268" s="74" t="s">
        <v>549</v>
      </c>
      <c r="AD268" s="74" t="s">
        <v>549</v>
      </c>
      <c r="AE268" s="74" t="s">
        <v>549</v>
      </c>
      <c r="AF268" s="75">
        <v>1</v>
      </c>
      <c r="AG268" s="74" t="s">
        <v>535</v>
      </c>
      <c r="AH268" s="74" t="s">
        <v>530</v>
      </c>
      <c r="AI268" s="78" t="s">
        <v>539</v>
      </c>
      <c r="AJ268" s="79" t="s">
        <v>539</v>
      </c>
      <c r="AK268" s="80">
        <v>46023</v>
      </c>
      <c r="AL268" s="80">
        <v>46387</v>
      </c>
      <c r="AM268" s="79"/>
      <c r="AN268" s="79"/>
      <c r="AO268" s="79"/>
      <c r="AP268" s="81" t="s">
        <v>542</v>
      </c>
      <c r="AQ268" s="80" cm="1">
        <f t="array" ref="AQ268">IFERROR(DATE(2026, _xlfn.AGGREGATE(15, 6, (COLUMN(CI268:CT268)-COLUMN(CI268)+1)/(CI268:CT268&lt;&gt;0), 1), 1),"N/A")</f>
        <v>46023</v>
      </c>
      <c r="AR268" s="80" cm="1">
        <f t="array" ref="AR268">IFERROR(EOMONTH(DATE(2026, _xlfn.AGGREGATE(14, 6, (COLUMN(CI268:CT268)-COLUMN(CI268)+1)/(CI268:CT268&lt;&gt;0), 1), 1), 0),"N/A")</f>
        <v>46387</v>
      </c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4" t="s">
        <v>681</v>
      </c>
      <c r="BG268" s="74"/>
      <c r="BH268" s="74" t="s">
        <v>930</v>
      </c>
      <c r="BI268" s="74" t="s">
        <v>137</v>
      </c>
      <c r="BJ268" s="78">
        <v>510510</v>
      </c>
      <c r="BK268" s="82" t="s">
        <v>74</v>
      </c>
      <c r="BL268" s="83">
        <v>728292</v>
      </c>
      <c r="BM268" s="84">
        <v>60691</v>
      </c>
      <c r="BN268" s="84">
        <v>60691</v>
      </c>
      <c r="BO268" s="84">
        <v>60691</v>
      </c>
      <c r="BP268" s="72">
        <v>60691</v>
      </c>
      <c r="BQ268" s="84">
        <v>60691</v>
      </c>
      <c r="BR268" s="84">
        <v>60691</v>
      </c>
      <c r="BS268" s="84">
        <v>60691</v>
      </c>
      <c r="BT268" s="84">
        <v>60691</v>
      </c>
      <c r="BU268" s="84">
        <v>60691</v>
      </c>
      <c r="BV268" s="84">
        <v>60691</v>
      </c>
      <c r="BW268" s="84">
        <v>60691</v>
      </c>
      <c r="BX268" s="84">
        <v>60691</v>
      </c>
      <c r="BY268" s="84">
        <v>74128.539999999994</v>
      </c>
      <c r="BZ268" s="84">
        <v>81259</v>
      </c>
      <c r="CA268" s="84"/>
      <c r="CB268" s="84"/>
      <c r="CC268" s="84"/>
      <c r="CD268" s="84">
        <v>3294.99</v>
      </c>
      <c r="CE268" s="84"/>
      <c r="CF268" s="84"/>
      <c r="CG268" s="84"/>
      <c r="CH268" s="73">
        <f t="shared" si="8"/>
        <v>886974.53</v>
      </c>
      <c r="CI268" s="84">
        <v>64055.03</v>
      </c>
      <c r="CJ268" s="84">
        <v>61936.13</v>
      </c>
      <c r="CK268" s="84">
        <v>63073.57</v>
      </c>
      <c r="CL268" s="84">
        <v>68602.73</v>
      </c>
      <c r="CM268" s="84">
        <v>68787.570000000007</v>
      </c>
      <c r="CN268" s="84">
        <v>80074.240000000005</v>
      </c>
      <c r="CO268" s="84">
        <v>80074.210000000006</v>
      </c>
      <c r="CP268" s="84">
        <v>80074.210000000006</v>
      </c>
      <c r="CQ268" s="84">
        <v>80074.210000000006</v>
      </c>
      <c r="CR268" s="84">
        <v>80074.210000000006</v>
      </c>
      <c r="CS268" s="84">
        <v>80074.210000000006</v>
      </c>
      <c r="CT268" s="84">
        <v>80074.210000000006</v>
      </c>
      <c r="CU268" s="84"/>
      <c r="CV268" s="84">
        <f t="shared" si="9"/>
        <v>0</v>
      </c>
      <c r="CW268" s="84"/>
      <c r="CX268" s="74"/>
      <c r="CY268" s="74"/>
      <c r="CZ268" s="74"/>
      <c r="DA268" s="74"/>
      <c r="DB268" s="74"/>
      <c r="DC268" s="74"/>
      <c r="DD268" s="74"/>
    </row>
    <row r="269" spans="1:108" s="68" customFormat="1" ht="15" hidden="1" customHeight="1" x14ac:dyDescent="0.25">
      <c r="A269" s="74" t="s">
        <v>689</v>
      </c>
      <c r="B269" s="74" t="s">
        <v>154</v>
      </c>
      <c r="C269" s="74" t="s">
        <v>172</v>
      </c>
      <c r="D269" s="74" t="s">
        <v>196</v>
      </c>
      <c r="E269" s="74" t="s">
        <v>309</v>
      </c>
      <c r="F269" s="74" t="s">
        <v>550</v>
      </c>
      <c r="G269" s="74" t="s">
        <v>137</v>
      </c>
      <c r="H269" s="74" t="s">
        <v>137</v>
      </c>
      <c r="I269" s="74" t="s">
        <v>66</v>
      </c>
      <c r="J269" s="74" t="s">
        <v>28</v>
      </c>
      <c r="K269" s="82" t="s">
        <v>137</v>
      </c>
      <c r="L269" s="82" t="s">
        <v>137</v>
      </c>
      <c r="M269" s="82" t="s">
        <v>137</v>
      </c>
      <c r="N269" s="82" t="s">
        <v>137</v>
      </c>
      <c r="O269" s="82" t="s">
        <v>137</v>
      </c>
      <c r="P269" s="82" t="s">
        <v>137</v>
      </c>
      <c r="Q269" s="74" t="s">
        <v>494</v>
      </c>
      <c r="R269" s="74" t="s">
        <v>711</v>
      </c>
      <c r="S269" s="74" t="s">
        <v>557</v>
      </c>
      <c r="T269" s="74" t="s">
        <v>2</v>
      </c>
      <c r="U269" s="74" t="s">
        <v>549</v>
      </c>
      <c r="V269" s="74" t="s">
        <v>549</v>
      </c>
      <c r="W269" s="74" t="s">
        <v>549</v>
      </c>
      <c r="X269" s="71" t="s">
        <v>549</v>
      </c>
      <c r="Y269" s="74" t="s">
        <v>549</v>
      </c>
      <c r="Z269" s="74" t="s">
        <v>549</v>
      </c>
      <c r="AA269" s="74" t="s">
        <v>549</v>
      </c>
      <c r="AB269" s="74" t="s">
        <v>549</v>
      </c>
      <c r="AC269" s="74" t="s">
        <v>549</v>
      </c>
      <c r="AD269" s="74" t="s">
        <v>549</v>
      </c>
      <c r="AE269" s="74" t="s">
        <v>549</v>
      </c>
      <c r="AF269" s="75">
        <v>1</v>
      </c>
      <c r="AG269" s="74" t="s">
        <v>535</v>
      </c>
      <c r="AH269" s="74" t="s">
        <v>530</v>
      </c>
      <c r="AI269" s="78" t="s">
        <v>539</v>
      </c>
      <c r="AJ269" s="79" t="s">
        <v>539</v>
      </c>
      <c r="AK269" s="80">
        <v>46023</v>
      </c>
      <c r="AL269" s="80">
        <v>46387</v>
      </c>
      <c r="AM269" s="79"/>
      <c r="AN269" s="79"/>
      <c r="AO269" s="79"/>
      <c r="AP269" s="81" t="s">
        <v>542</v>
      </c>
      <c r="AQ269" s="80" cm="1">
        <f t="array" ref="AQ269">IFERROR(DATE(2026, _xlfn.AGGREGATE(15, 6, (COLUMN(CI269:CT269)-COLUMN(CI269)+1)/(CI269:CT269&lt;&gt;0), 1), 1),"N/A")</f>
        <v>46023</v>
      </c>
      <c r="AR269" s="80" cm="1">
        <f t="array" ref="AR269">IFERROR(EOMONTH(DATE(2026, _xlfn.AGGREGATE(14, 6, (COLUMN(CI269:CT269)-COLUMN(CI269)+1)/(CI269:CT269&lt;&gt;0), 1), 1), 0),"N/A")</f>
        <v>46387</v>
      </c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4" t="s">
        <v>648</v>
      </c>
      <c r="BG269" s="74"/>
      <c r="BH269" s="74" t="s">
        <v>931</v>
      </c>
      <c r="BI269" s="74" t="s">
        <v>137</v>
      </c>
      <c r="BJ269" s="78">
        <v>510512</v>
      </c>
      <c r="BK269" s="82" t="s">
        <v>74</v>
      </c>
      <c r="BL269" s="83">
        <v>10766.630000000001</v>
      </c>
      <c r="BM269" s="84">
        <v>897.21916666666675</v>
      </c>
      <c r="BN269" s="84">
        <v>897.21916666666675</v>
      </c>
      <c r="BO269" s="84">
        <v>897.21916666666675</v>
      </c>
      <c r="BP269" s="72">
        <v>897.21916666666675</v>
      </c>
      <c r="BQ269" s="84">
        <v>897.21916666666675</v>
      </c>
      <c r="BR269" s="84">
        <v>897.21916666666675</v>
      </c>
      <c r="BS269" s="84">
        <v>897.21916666666675</v>
      </c>
      <c r="BT269" s="84">
        <v>897.21916666666675</v>
      </c>
      <c r="BU269" s="84">
        <v>897.21916666666675</v>
      </c>
      <c r="BV269" s="84">
        <v>897.21916666666675</v>
      </c>
      <c r="BW269" s="84">
        <v>897.21916666666675</v>
      </c>
      <c r="BX269" s="84">
        <v>897.21916666666675</v>
      </c>
      <c r="BY269" s="84"/>
      <c r="BZ269" s="84"/>
      <c r="CA269" s="84">
        <v>-5426.07</v>
      </c>
      <c r="CB269" s="84"/>
      <c r="CC269" s="84"/>
      <c r="CD269" s="84"/>
      <c r="CE269" s="84"/>
      <c r="CF269" s="84"/>
      <c r="CG269" s="84"/>
      <c r="CH269" s="73">
        <f t="shared" si="8"/>
        <v>5340.5600000000013</v>
      </c>
      <c r="CI269" s="84">
        <v>1186.6600000000001</v>
      </c>
      <c r="CJ269" s="84">
        <v>200</v>
      </c>
      <c r="CK269" s="84">
        <v>353.9</v>
      </c>
      <c r="CL269" s="72">
        <v>400</v>
      </c>
      <c r="CM269" s="72">
        <v>400</v>
      </c>
      <c r="CN269" s="72">
        <v>400</v>
      </c>
      <c r="CO269" s="72">
        <v>400</v>
      </c>
      <c r="CP269" s="72">
        <v>400</v>
      </c>
      <c r="CQ269" s="72">
        <v>400</v>
      </c>
      <c r="CR269" s="72">
        <v>400</v>
      </c>
      <c r="CS269" s="72">
        <v>400</v>
      </c>
      <c r="CT269" s="72">
        <v>400</v>
      </c>
      <c r="CU269" s="84"/>
      <c r="CV269" s="84">
        <f t="shared" si="9"/>
        <v>0</v>
      </c>
      <c r="CW269" s="84"/>
      <c r="CX269" s="74"/>
      <c r="CY269" s="74"/>
      <c r="CZ269" s="74"/>
      <c r="DA269" s="74"/>
      <c r="DB269" s="74"/>
      <c r="DC269" s="74"/>
      <c r="DD269" s="74"/>
    </row>
    <row r="270" spans="1:108" s="68" customFormat="1" ht="15" hidden="1" customHeight="1" x14ac:dyDescent="0.25">
      <c r="A270" s="74" t="s">
        <v>697</v>
      </c>
      <c r="B270" s="74" t="s">
        <v>154</v>
      </c>
      <c r="C270" s="74" t="s">
        <v>172</v>
      </c>
      <c r="D270" s="74" t="s">
        <v>196</v>
      </c>
      <c r="E270" s="74" t="s">
        <v>309</v>
      </c>
      <c r="F270" s="74" t="s">
        <v>550</v>
      </c>
      <c r="G270" s="74" t="s">
        <v>137</v>
      </c>
      <c r="H270" s="74" t="s">
        <v>137</v>
      </c>
      <c r="I270" s="74" t="s">
        <v>66</v>
      </c>
      <c r="J270" s="74" t="s">
        <v>30</v>
      </c>
      <c r="K270" s="82" t="s">
        <v>137</v>
      </c>
      <c r="L270" s="82" t="s">
        <v>137</v>
      </c>
      <c r="M270" s="82" t="s">
        <v>137</v>
      </c>
      <c r="N270" s="82" t="s">
        <v>137</v>
      </c>
      <c r="O270" s="82" t="s">
        <v>137</v>
      </c>
      <c r="P270" s="82" t="s">
        <v>137</v>
      </c>
      <c r="Q270" s="74" t="s">
        <v>555</v>
      </c>
      <c r="R270" s="74" t="s">
        <v>554</v>
      </c>
      <c r="S270" s="74" t="s">
        <v>558</v>
      </c>
      <c r="T270" s="74" t="s">
        <v>2</v>
      </c>
      <c r="U270" s="74" t="s">
        <v>549</v>
      </c>
      <c r="V270" s="74" t="s">
        <v>549</v>
      </c>
      <c r="W270" s="74" t="s">
        <v>549</v>
      </c>
      <c r="X270" s="71" t="s">
        <v>549</v>
      </c>
      <c r="Y270" s="74" t="s">
        <v>549</v>
      </c>
      <c r="Z270" s="74" t="s">
        <v>549</v>
      </c>
      <c r="AA270" s="87">
        <v>0.05</v>
      </c>
      <c r="AB270" s="74" t="s">
        <v>549</v>
      </c>
      <c r="AC270" s="74" t="s">
        <v>549</v>
      </c>
      <c r="AD270" s="74" t="s">
        <v>549</v>
      </c>
      <c r="AE270" s="74" t="s">
        <v>549</v>
      </c>
      <c r="AF270" s="88">
        <v>0.1052</v>
      </c>
      <c r="AG270" s="81" t="s">
        <v>569</v>
      </c>
      <c r="AH270" s="74" t="s">
        <v>530</v>
      </c>
      <c r="AI270" s="78" t="s">
        <v>539</v>
      </c>
      <c r="AJ270" s="79" t="s">
        <v>539</v>
      </c>
      <c r="AK270" s="80">
        <v>46357</v>
      </c>
      <c r="AL270" s="80">
        <v>46387</v>
      </c>
      <c r="AM270" s="79"/>
      <c r="AN270" s="79"/>
      <c r="AO270" s="79"/>
      <c r="AP270" s="81" t="s">
        <v>570</v>
      </c>
      <c r="AQ270" s="80" cm="1">
        <f t="array" ref="AQ270">IFERROR(DATE(2026, _xlfn.AGGREGATE(15, 6, (COLUMN(CI270:CT270)-COLUMN(CI270)+1)/(CI270:CT270&lt;&gt;0), 1), 1),"N/A")</f>
        <v>46082</v>
      </c>
      <c r="AR270" s="80" cm="1">
        <f t="array" ref="AR270">IFERROR(EOMONTH(DATE(2026, _xlfn.AGGREGATE(14, 6, (COLUMN(CI270:CT270)-COLUMN(CI270)+1)/(CI270:CT270&lt;&gt;0), 1), 1), 0),"N/A")</f>
        <v>46387</v>
      </c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 t="s">
        <v>702</v>
      </c>
      <c r="BG270" s="79"/>
      <c r="BH270" s="79" t="s">
        <v>137</v>
      </c>
      <c r="BI270" s="74" t="s">
        <v>137</v>
      </c>
      <c r="BJ270" s="78" t="s">
        <v>137</v>
      </c>
      <c r="BK270" s="82" t="s">
        <v>549</v>
      </c>
      <c r="BL270" s="83">
        <v>0</v>
      </c>
      <c r="BM270" s="84" t="s">
        <v>549</v>
      </c>
      <c r="BN270" s="84" t="s">
        <v>549</v>
      </c>
      <c r="BO270" s="84" t="s">
        <v>549</v>
      </c>
      <c r="BP270" s="72" t="s">
        <v>549</v>
      </c>
      <c r="BQ270" s="84" t="s">
        <v>549</v>
      </c>
      <c r="BR270" s="84" t="s">
        <v>549</v>
      </c>
      <c r="BS270" s="84" t="s">
        <v>549</v>
      </c>
      <c r="BT270" s="84" t="s">
        <v>549</v>
      </c>
      <c r="BU270" s="84" t="s">
        <v>549</v>
      </c>
      <c r="BV270" s="84" t="s">
        <v>549</v>
      </c>
      <c r="BW270" s="84" t="s">
        <v>549</v>
      </c>
      <c r="BX270" s="84" t="s">
        <v>549</v>
      </c>
      <c r="BY270" s="84"/>
      <c r="BZ270" s="84"/>
      <c r="CA270" s="84"/>
      <c r="CB270" s="84"/>
      <c r="CC270" s="84"/>
      <c r="CD270" s="84"/>
      <c r="CE270" s="84"/>
      <c r="CF270" s="84"/>
      <c r="CG270" s="84"/>
      <c r="CH270" s="73">
        <f t="shared" si="8"/>
        <v>0</v>
      </c>
      <c r="CI270" s="84"/>
      <c r="CJ270" s="84"/>
      <c r="CK270" s="84" t="s">
        <v>549</v>
      </c>
      <c r="CL270" s="72" t="s">
        <v>549</v>
      </c>
      <c r="CM270" s="84" t="s">
        <v>549</v>
      </c>
      <c r="CN270" s="84" t="s">
        <v>549</v>
      </c>
      <c r="CO270" s="84" t="s">
        <v>549</v>
      </c>
      <c r="CP270" s="84" t="s">
        <v>549</v>
      </c>
      <c r="CQ270" s="84" t="s">
        <v>549</v>
      </c>
      <c r="CR270" s="84" t="s">
        <v>549</v>
      </c>
      <c r="CS270" s="84" t="s">
        <v>549</v>
      </c>
      <c r="CT270" s="84" t="s">
        <v>549</v>
      </c>
      <c r="CU270" s="84"/>
      <c r="CV270" s="84">
        <f t="shared" si="9"/>
        <v>0</v>
      </c>
      <c r="CW270" s="84"/>
      <c r="CX270" s="74"/>
      <c r="CY270" s="74"/>
      <c r="CZ270" s="74"/>
      <c r="DA270" s="74"/>
      <c r="DB270" s="74"/>
      <c r="DC270" s="74"/>
      <c r="DD270" s="74"/>
    </row>
    <row r="271" spans="1:108" s="68" customFormat="1" ht="15" hidden="1" customHeight="1" x14ac:dyDescent="0.25">
      <c r="A271" s="74" t="s">
        <v>699</v>
      </c>
      <c r="B271" s="74" t="s">
        <v>154</v>
      </c>
      <c r="C271" s="74" t="s">
        <v>172</v>
      </c>
      <c r="D271" s="74" t="s">
        <v>196</v>
      </c>
      <c r="E271" s="74" t="s">
        <v>309</v>
      </c>
      <c r="F271" s="74" t="s">
        <v>550</v>
      </c>
      <c r="G271" s="74" t="s">
        <v>137</v>
      </c>
      <c r="H271" s="74" t="s">
        <v>137</v>
      </c>
      <c r="I271" s="74" t="s">
        <v>66</v>
      </c>
      <c r="J271" s="74" t="s">
        <v>30</v>
      </c>
      <c r="K271" s="82" t="s">
        <v>137</v>
      </c>
      <c r="L271" s="82" t="s">
        <v>137</v>
      </c>
      <c r="M271" s="82" t="s">
        <v>137</v>
      </c>
      <c r="N271" s="82" t="s">
        <v>137</v>
      </c>
      <c r="O271" s="82" t="s">
        <v>137</v>
      </c>
      <c r="P271" s="82" t="s">
        <v>137</v>
      </c>
      <c r="Q271" s="74" t="s">
        <v>555</v>
      </c>
      <c r="R271" s="74" t="s">
        <v>554</v>
      </c>
      <c r="S271" s="74" t="s">
        <v>558</v>
      </c>
      <c r="T271" s="74" t="s">
        <v>2</v>
      </c>
      <c r="U271" s="74" t="s">
        <v>549</v>
      </c>
      <c r="V271" s="74" t="s">
        <v>549</v>
      </c>
      <c r="W271" s="74" t="s">
        <v>549</v>
      </c>
      <c r="X271" s="71" t="s">
        <v>549</v>
      </c>
      <c r="Y271" s="74" t="s">
        <v>549</v>
      </c>
      <c r="Z271" s="74" t="s">
        <v>549</v>
      </c>
      <c r="AA271" s="87">
        <v>0.05</v>
      </c>
      <c r="AB271" s="74" t="s">
        <v>549</v>
      </c>
      <c r="AC271" s="74" t="s">
        <v>549</v>
      </c>
      <c r="AD271" s="74" t="s">
        <v>549</v>
      </c>
      <c r="AE271" s="74" t="s">
        <v>549</v>
      </c>
      <c r="AF271" s="88">
        <v>0.1052</v>
      </c>
      <c r="AG271" s="81" t="s">
        <v>571</v>
      </c>
      <c r="AH271" s="74" t="s">
        <v>530</v>
      </c>
      <c r="AI271" s="78" t="s">
        <v>539</v>
      </c>
      <c r="AJ271" s="79" t="s">
        <v>539</v>
      </c>
      <c r="AK271" s="80">
        <v>46023</v>
      </c>
      <c r="AL271" s="80">
        <v>46387</v>
      </c>
      <c r="AM271" s="79"/>
      <c r="AN271" s="79"/>
      <c r="AO271" s="79"/>
      <c r="AP271" s="81" t="s">
        <v>572</v>
      </c>
      <c r="AQ271" s="80" cm="1">
        <f t="array" ref="AQ271">IFERROR(DATE(2026, _xlfn.AGGREGATE(15, 6, (COLUMN(CI271:CT271)-COLUMN(CI271)+1)/(CI271:CT271&lt;&gt;0), 1), 1),"N/A")</f>
        <v>46082</v>
      </c>
      <c r="AR271" s="80" cm="1">
        <f t="array" ref="AR271">IFERROR(EOMONTH(DATE(2026, _xlfn.AGGREGATE(14, 6, (COLUMN(CI271:CT271)-COLUMN(CI271)+1)/(CI271:CT271&lt;&gt;0), 1), 1), 0),"N/A")</f>
        <v>46387</v>
      </c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 t="s">
        <v>702</v>
      </c>
      <c r="BG271" s="79"/>
      <c r="BH271" s="79" t="s">
        <v>137</v>
      </c>
      <c r="BI271" s="74" t="s">
        <v>137</v>
      </c>
      <c r="BJ271" s="78" t="s">
        <v>137</v>
      </c>
      <c r="BK271" s="82" t="s">
        <v>549</v>
      </c>
      <c r="BL271" s="83">
        <v>0</v>
      </c>
      <c r="BM271" s="84" t="s">
        <v>549</v>
      </c>
      <c r="BN271" s="84" t="s">
        <v>549</v>
      </c>
      <c r="BO271" s="84" t="s">
        <v>549</v>
      </c>
      <c r="BP271" s="72" t="s">
        <v>549</v>
      </c>
      <c r="BQ271" s="84" t="s">
        <v>549</v>
      </c>
      <c r="BR271" s="84" t="s">
        <v>549</v>
      </c>
      <c r="BS271" s="84" t="s">
        <v>549</v>
      </c>
      <c r="BT271" s="84" t="s">
        <v>549</v>
      </c>
      <c r="BU271" s="84" t="s">
        <v>549</v>
      </c>
      <c r="BV271" s="84" t="s">
        <v>549</v>
      </c>
      <c r="BW271" s="84" t="s">
        <v>549</v>
      </c>
      <c r="BX271" s="84" t="s">
        <v>549</v>
      </c>
      <c r="BY271" s="84"/>
      <c r="BZ271" s="84"/>
      <c r="CA271" s="84"/>
      <c r="CB271" s="84"/>
      <c r="CC271" s="84"/>
      <c r="CD271" s="84"/>
      <c r="CE271" s="84"/>
      <c r="CF271" s="84"/>
      <c r="CG271" s="84"/>
      <c r="CH271" s="73">
        <f t="shared" si="8"/>
        <v>0</v>
      </c>
      <c r="CI271" s="84"/>
      <c r="CJ271" s="84"/>
      <c r="CK271" s="84" t="s">
        <v>549</v>
      </c>
      <c r="CL271" s="72" t="s">
        <v>549</v>
      </c>
      <c r="CM271" s="84" t="s">
        <v>549</v>
      </c>
      <c r="CN271" s="84" t="s">
        <v>549</v>
      </c>
      <c r="CO271" s="84" t="s">
        <v>549</v>
      </c>
      <c r="CP271" s="84" t="s">
        <v>549</v>
      </c>
      <c r="CQ271" s="84" t="s">
        <v>549</v>
      </c>
      <c r="CR271" s="84" t="s">
        <v>549</v>
      </c>
      <c r="CS271" s="84" t="s">
        <v>549</v>
      </c>
      <c r="CT271" s="84" t="s">
        <v>549</v>
      </c>
      <c r="CU271" s="84"/>
      <c r="CV271" s="84">
        <f t="shared" si="9"/>
        <v>0</v>
      </c>
      <c r="CW271" s="84"/>
      <c r="CX271" s="74"/>
      <c r="CY271" s="74"/>
      <c r="CZ271" s="74"/>
      <c r="DA271" s="74"/>
      <c r="DB271" s="74"/>
      <c r="DC271" s="74"/>
      <c r="DD271" s="74"/>
    </row>
    <row r="272" spans="1:108" s="68" customFormat="1" ht="15" hidden="1" customHeight="1" x14ac:dyDescent="0.25">
      <c r="A272" s="161" t="s">
        <v>693</v>
      </c>
      <c r="B272" s="74" t="s">
        <v>154</v>
      </c>
      <c r="C272" s="74" t="s">
        <v>172</v>
      </c>
      <c r="D272" s="74" t="s">
        <v>196</v>
      </c>
      <c r="E272" s="74" t="s">
        <v>309</v>
      </c>
      <c r="F272" s="74" t="s">
        <v>550</v>
      </c>
      <c r="G272" s="74" t="s">
        <v>137</v>
      </c>
      <c r="H272" s="74" t="s">
        <v>137</v>
      </c>
      <c r="I272" s="74" t="s">
        <v>66</v>
      </c>
      <c r="J272" s="74" t="s">
        <v>30</v>
      </c>
      <c r="K272" s="82" t="s">
        <v>137</v>
      </c>
      <c r="L272" s="82" t="s">
        <v>137</v>
      </c>
      <c r="M272" s="82" t="s">
        <v>137</v>
      </c>
      <c r="N272" s="82" t="s">
        <v>137</v>
      </c>
      <c r="O272" s="82" t="s">
        <v>137</v>
      </c>
      <c r="P272" s="82" t="s">
        <v>137</v>
      </c>
      <c r="Q272" s="74" t="s">
        <v>555</v>
      </c>
      <c r="R272" s="74" t="s">
        <v>554</v>
      </c>
      <c r="S272" s="74" t="s">
        <v>558</v>
      </c>
      <c r="T272" s="74" t="s">
        <v>2</v>
      </c>
      <c r="U272" s="74" t="s">
        <v>549</v>
      </c>
      <c r="V272" s="74" t="s">
        <v>549</v>
      </c>
      <c r="W272" s="74" t="s">
        <v>549</v>
      </c>
      <c r="X272" s="71" t="s">
        <v>549</v>
      </c>
      <c r="Y272" s="74" t="s">
        <v>549</v>
      </c>
      <c r="Z272" s="74" t="s">
        <v>549</v>
      </c>
      <c r="AA272" s="87">
        <v>0.05</v>
      </c>
      <c r="AB272" s="74" t="s">
        <v>549</v>
      </c>
      <c r="AC272" s="74" t="s">
        <v>549</v>
      </c>
      <c r="AD272" s="74" t="s">
        <v>549</v>
      </c>
      <c r="AE272" s="74" t="s">
        <v>549</v>
      </c>
      <c r="AF272" s="88">
        <v>0.1052</v>
      </c>
      <c r="AG272" s="81" t="s">
        <v>568</v>
      </c>
      <c r="AH272" s="74" t="s">
        <v>530</v>
      </c>
      <c r="AI272" s="78" t="s">
        <v>539</v>
      </c>
      <c r="AJ272" s="79" t="s">
        <v>539</v>
      </c>
      <c r="AK272" s="80">
        <v>46023</v>
      </c>
      <c r="AL272" s="80">
        <v>46387</v>
      </c>
      <c r="AM272" s="79"/>
      <c r="AN272" s="79"/>
      <c r="AO272" s="79"/>
      <c r="AP272" s="81" t="s">
        <v>564</v>
      </c>
      <c r="AQ272" s="80" cm="1">
        <f t="array" ref="AQ272">IFERROR(DATE(2026, _xlfn.AGGREGATE(15, 6, (COLUMN(CI272:CT272)-COLUMN(CI272)+1)/(CI272:CT272&lt;&gt;0), 1), 1),"N/A")</f>
        <v>46082</v>
      </c>
      <c r="AR272" s="80" cm="1">
        <f t="array" ref="AR272">IFERROR(EOMONTH(DATE(2026, _xlfn.AGGREGATE(14, 6, (COLUMN(CI272:CT272)-COLUMN(CI272)+1)/(CI272:CT272&lt;&gt;0), 1), 1), 0),"N/A")</f>
        <v>46387</v>
      </c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 t="s">
        <v>702</v>
      </c>
      <c r="BG272" s="79"/>
      <c r="BH272" s="79" t="s">
        <v>137</v>
      </c>
      <c r="BI272" s="74" t="s">
        <v>137</v>
      </c>
      <c r="BJ272" s="78" t="s">
        <v>137</v>
      </c>
      <c r="BK272" s="82" t="s">
        <v>549</v>
      </c>
      <c r="BL272" s="83">
        <v>0</v>
      </c>
      <c r="BM272" s="84" t="s">
        <v>549</v>
      </c>
      <c r="BN272" s="84" t="s">
        <v>549</v>
      </c>
      <c r="BO272" s="84" t="s">
        <v>549</v>
      </c>
      <c r="BP272" s="72" t="s">
        <v>549</v>
      </c>
      <c r="BQ272" s="84" t="s">
        <v>549</v>
      </c>
      <c r="BR272" s="84" t="s">
        <v>549</v>
      </c>
      <c r="BS272" s="84" t="s">
        <v>549</v>
      </c>
      <c r="BT272" s="84" t="s">
        <v>549</v>
      </c>
      <c r="BU272" s="84" t="s">
        <v>549</v>
      </c>
      <c r="BV272" s="84" t="s">
        <v>549</v>
      </c>
      <c r="BW272" s="84" t="s">
        <v>549</v>
      </c>
      <c r="BX272" s="84" t="s">
        <v>549</v>
      </c>
      <c r="BY272" s="84"/>
      <c r="BZ272" s="84"/>
      <c r="CA272" s="84"/>
      <c r="CB272" s="84"/>
      <c r="CC272" s="84"/>
      <c r="CD272" s="84"/>
      <c r="CE272" s="84"/>
      <c r="CF272" s="84"/>
      <c r="CG272" s="84"/>
      <c r="CH272" s="73">
        <f t="shared" si="8"/>
        <v>0</v>
      </c>
      <c r="CI272" s="84"/>
      <c r="CJ272" s="84"/>
      <c r="CK272" s="84" t="s">
        <v>549</v>
      </c>
      <c r="CL272" s="72" t="s">
        <v>549</v>
      </c>
      <c r="CM272" s="84" t="s">
        <v>549</v>
      </c>
      <c r="CN272" s="84" t="s">
        <v>549</v>
      </c>
      <c r="CO272" s="84" t="s">
        <v>549</v>
      </c>
      <c r="CP272" s="84" t="s">
        <v>549</v>
      </c>
      <c r="CQ272" s="84" t="s">
        <v>549</v>
      </c>
      <c r="CR272" s="84" t="s">
        <v>549</v>
      </c>
      <c r="CS272" s="84" t="s">
        <v>549</v>
      </c>
      <c r="CT272" s="84" t="s">
        <v>549</v>
      </c>
      <c r="CU272" s="84"/>
      <c r="CV272" s="84">
        <f t="shared" si="9"/>
        <v>0</v>
      </c>
      <c r="CW272" s="84"/>
      <c r="CX272" s="74"/>
      <c r="CY272" s="74"/>
      <c r="CZ272" s="74"/>
      <c r="DA272" s="74"/>
      <c r="DB272" s="74"/>
      <c r="DC272" s="74"/>
      <c r="DD272" s="74"/>
    </row>
    <row r="273" spans="1:108" s="68" customFormat="1" ht="15" hidden="1" customHeight="1" x14ac:dyDescent="0.25">
      <c r="A273" s="85" t="s">
        <v>695</v>
      </c>
      <c r="B273" s="74" t="s">
        <v>154</v>
      </c>
      <c r="C273" s="74" t="s">
        <v>172</v>
      </c>
      <c r="D273" s="74" t="s">
        <v>196</v>
      </c>
      <c r="E273" s="74" t="s">
        <v>309</v>
      </c>
      <c r="F273" s="74" t="s">
        <v>550</v>
      </c>
      <c r="G273" s="74" t="s">
        <v>137</v>
      </c>
      <c r="H273" s="74" t="s">
        <v>137</v>
      </c>
      <c r="I273" s="74" t="s">
        <v>66</v>
      </c>
      <c r="J273" s="74" t="s">
        <v>30</v>
      </c>
      <c r="K273" s="82" t="s">
        <v>137</v>
      </c>
      <c r="L273" s="82" t="s">
        <v>137</v>
      </c>
      <c r="M273" s="82" t="s">
        <v>137</v>
      </c>
      <c r="N273" s="82" t="s">
        <v>137</v>
      </c>
      <c r="O273" s="82" t="s">
        <v>137</v>
      </c>
      <c r="P273" s="82" t="s">
        <v>137</v>
      </c>
      <c r="Q273" s="74" t="s">
        <v>555</v>
      </c>
      <c r="R273" s="74" t="s">
        <v>554</v>
      </c>
      <c r="S273" s="74" t="s">
        <v>558</v>
      </c>
      <c r="T273" s="74" t="s">
        <v>2</v>
      </c>
      <c r="U273" s="74" t="s">
        <v>549</v>
      </c>
      <c r="V273" s="74" t="s">
        <v>549</v>
      </c>
      <c r="W273" s="74" t="s">
        <v>549</v>
      </c>
      <c r="X273" s="71" t="s">
        <v>549</v>
      </c>
      <c r="Y273" s="74" t="s">
        <v>549</v>
      </c>
      <c r="Z273" s="74" t="s">
        <v>549</v>
      </c>
      <c r="AA273" s="87">
        <v>0.05</v>
      </c>
      <c r="AB273" s="74" t="s">
        <v>549</v>
      </c>
      <c r="AC273" s="74" t="s">
        <v>549</v>
      </c>
      <c r="AD273" s="74" t="s">
        <v>549</v>
      </c>
      <c r="AE273" s="74" t="s">
        <v>549</v>
      </c>
      <c r="AF273" s="88">
        <v>0.1052</v>
      </c>
      <c r="AG273" s="81" t="s">
        <v>566</v>
      </c>
      <c r="AH273" s="74" t="s">
        <v>530</v>
      </c>
      <c r="AI273" s="78" t="s">
        <v>539</v>
      </c>
      <c r="AJ273" s="79" t="s">
        <v>539</v>
      </c>
      <c r="AK273" s="80">
        <v>46023</v>
      </c>
      <c r="AL273" s="80">
        <v>46387</v>
      </c>
      <c r="AM273" s="79"/>
      <c r="AN273" s="79"/>
      <c r="AO273" s="79"/>
      <c r="AP273" s="81" t="s">
        <v>567</v>
      </c>
      <c r="AQ273" s="80" cm="1">
        <f t="array" ref="AQ273">IFERROR(DATE(2026, _xlfn.AGGREGATE(15, 6, (COLUMN(CI273:CT273)-COLUMN(CI273)+1)/(CI273:CT273&lt;&gt;0), 1), 1),"N/A")</f>
        <v>46082</v>
      </c>
      <c r="AR273" s="80" cm="1">
        <f t="array" ref="AR273">IFERROR(EOMONTH(DATE(2026, _xlfn.AGGREGATE(14, 6, (COLUMN(CI273:CT273)-COLUMN(CI273)+1)/(CI273:CT273&lt;&gt;0), 1), 1), 0),"N/A")</f>
        <v>46387</v>
      </c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 t="s">
        <v>702</v>
      </c>
      <c r="BG273" s="79"/>
      <c r="BH273" s="79" t="s">
        <v>137</v>
      </c>
      <c r="BI273" s="74" t="s">
        <v>137</v>
      </c>
      <c r="BJ273" s="78" t="s">
        <v>137</v>
      </c>
      <c r="BK273" s="82" t="s">
        <v>549</v>
      </c>
      <c r="BL273" s="83">
        <v>0</v>
      </c>
      <c r="BM273" s="84" t="s">
        <v>549</v>
      </c>
      <c r="BN273" s="84" t="s">
        <v>549</v>
      </c>
      <c r="BO273" s="84" t="s">
        <v>549</v>
      </c>
      <c r="BP273" s="72" t="s">
        <v>549</v>
      </c>
      <c r="BQ273" s="84" t="s">
        <v>549</v>
      </c>
      <c r="BR273" s="84" t="s">
        <v>549</v>
      </c>
      <c r="BS273" s="84" t="s">
        <v>549</v>
      </c>
      <c r="BT273" s="84" t="s">
        <v>549</v>
      </c>
      <c r="BU273" s="84" t="s">
        <v>549</v>
      </c>
      <c r="BV273" s="84" t="s">
        <v>549</v>
      </c>
      <c r="BW273" s="84" t="s">
        <v>549</v>
      </c>
      <c r="BX273" s="84" t="s">
        <v>549</v>
      </c>
      <c r="BY273" s="84"/>
      <c r="BZ273" s="84"/>
      <c r="CA273" s="84"/>
      <c r="CB273" s="84"/>
      <c r="CC273" s="84"/>
      <c r="CD273" s="84"/>
      <c r="CE273" s="84"/>
      <c r="CF273" s="84"/>
      <c r="CG273" s="84"/>
      <c r="CH273" s="73">
        <f t="shared" si="8"/>
        <v>0</v>
      </c>
      <c r="CI273" s="84"/>
      <c r="CJ273" s="84"/>
      <c r="CK273" s="84" t="s">
        <v>549</v>
      </c>
      <c r="CL273" s="72" t="s">
        <v>549</v>
      </c>
      <c r="CM273" s="84" t="s">
        <v>549</v>
      </c>
      <c r="CN273" s="84" t="s">
        <v>549</v>
      </c>
      <c r="CO273" s="84" t="s">
        <v>549</v>
      </c>
      <c r="CP273" s="84" t="s">
        <v>549</v>
      </c>
      <c r="CQ273" s="84" t="s">
        <v>549</v>
      </c>
      <c r="CR273" s="84" t="s">
        <v>549</v>
      </c>
      <c r="CS273" s="84" t="s">
        <v>549</v>
      </c>
      <c r="CT273" s="84" t="s">
        <v>549</v>
      </c>
      <c r="CU273" s="84"/>
      <c r="CV273" s="84">
        <f t="shared" si="9"/>
        <v>0</v>
      </c>
      <c r="CW273" s="84"/>
      <c r="CX273" s="74"/>
      <c r="CY273" s="74"/>
      <c r="CZ273" s="74"/>
      <c r="DA273" s="74"/>
      <c r="DB273" s="74"/>
      <c r="DC273" s="74"/>
      <c r="DD273" s="74"/>
    </row>
    <row r="274" spans="1:108" s="68" customFormat="1" ht="15" hidden="1" customHeight="1" x14ac:dyDescent="0.25">
      <c r="A274" s="74" t="s">
        <v>692</v>
      </c>
      <c r="B274" s="74" t="s">
        <v>154</v>
      </c>
      <c r="C274" s="74" t="s">
        <v>172</v>
      </c>
      <c r="D274" s="74" t="s">
        <v>196</v>
      </c>
      <c r="E274" s="74" t="s">
        <v>309</v>
      </c>
      <c r="F274" s="74" t="s">
        <v>550</v>
      </c>
      <c r="G274" s="74" t="s">
        <v>137</v>
      </c>
      <c r="H274" s="74" t="s">
        <v>137</v>
      </c>
      <c r="I274" s="74" t="s">
        <v>66</v>
      </c>
      <c r="J274" s="74" t="s">
        <v>30</v>
      </c>
      <c r="K274" s="82" t="s">
        <v>137</v>
      </c>
      <c r="L274" s="82" t="s">
        <v>137</v>
      </c>
      <c r="M274" s="82" t="s">
        <v>137</v>
      </c>
      <c r="N274" s="82" t="s">
        <v>137</v>
      </c>
      <c r="O274" s="82" t="s">
        <v>137</v>
      </c>
      <c r="P274" s="82" t="s">
        <v>137</v>
      </c>
      <c r="Q274" s="74" t="s">
        <v>555</v>
      </c>
      <c r="R274" s="74" t="s">
        <v>554</v>
      </c>
      <c r="S274" s="74" t="s">
        <v>558</v>
      </c>
      <c r="T274" s="74" t="s">
        <v>2</v>
      </c>
      <c r="U274" s="74" t="s">
        <v>549</v>
      </c>
      <c r="V274" s="74" t="s">
        <v>549</v>
      </c>
      <c r="W274" s="74" t="s">
        <v>549</v>
      </c>
      <c r="X274" s="71" t="s">
        <v>549</v>
      </c>
      <c r="Y274" s="74" t="s">
        <v>549</v>
      </c>
      <c r="Z274" s="74" t="s">
        <v>549</v>
      </c>
      <c r="AA274" s="87">
        <v>0.05</v>
      </c>
      <c r="AB274" s="74" t="s">
        <v>549</v>
      </c>
      <c r="AC274" s="74" t="s">
        <v>549</v>
      </c>
      <c r="AD274" s="74" t="s">
        <v>549</v>
      </c>
      <c r="AE274" s="74" t="s">
        <v>549</v>
      </c>
      <c r="AF274" s="88">
        <v>0.1052</v>
      </c>
      <c r="AG274" s="81" t="s">
        <v>565</v>
      </c>
      <c r="AH274" s="74" t="s">
        <v>530</v>
      </c>
      <c r="AI274" s="78" t="s">
        <v>539</v>
      </c>
      <c r="AJ274" s="79" t="s">
        <v>539</v>
      </c>
      <c r="AK274" s="80">
        <v>46023</v>
      </c>
      <c r="AL274" s="80">
        <v>46387</v>
      </c>
      <c r="AM274" s="79"/>
      <c r="AN274" s="79"/>
      <c r="AO274" s="79"/>
      <c r="AP274" s="81" t="s">
        <v>563</v>
      </c>
      <c r="AQ274" s="80" cm="1">
        <f t="array" ref="AQ274">IFERROR(DATE(2026, _xlfn.AGGREGATE(15, 6, (COLUMN(CI274:CT274)-COLUMN(CI274)+1)/(CI274:CT274&lt;&gt;0), 1), 1),"N/A")</f>
        <v>46082</v>
      </c>
      <c r="AR274" s="80" cm="1">
        <f t="array" ref="AR274">IFERROR(EOMONTH(DATE(2026, _xlfn.AGGREGATE(14, 6, (COLUMN(CI274:CT274)-COLUMN(CI274)+1)/(CI274:CT274&lt;&gt;0), 1), 1), 0),"N/A")</f>
        <v>46387</v>
      </c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 t="s">
        <v>702</v>
      </c>
      <c r="BG274" s="79"/>
      <c r="BH274" s="79" t="s">
        <v>137</v>
      </c>
      <c r="BI274" s="74" t="s">
        <v>137</v>
      </c>
      <c r="BJ274" s="78" t="s">
        <v>137</v>
      </c>
      <c r="BK274" s="82" t="s">
        <v>549</v>
      </c>
      <c r="BL274" s="83">
        <v>0</v>
      </c>
      <c r="BM274" s="84" t="s">
        <v>549</v>
      </c>
      <c r="BN274" s="84" t="s">
        <v>549</v>
      </c>
      <c r="BO274" s="84" t="s">
        <v>549</v>
      </c>
      <c r="BP274" s="72" t="s">
        <v>549</v>
      </c>
      <c r="BQ274" s="84" t="s">
        <v>549</v>
      </c>
      <c r="BR274" s="84" t="s">
        <v>549</v>
      </c>
      <c r="BS274" s="84" t="s">
        <v>549</v>
      </c>
      <c r="BT274" s="84" t="s">
        <v>549</v>
      </c>
      <c r="BU274" s="84" t="s">
        <v>549</v>
      </c>
      <c r="BV274" s="84" t="s">
        <v>549</v>
      </c>
      <c r="BW274" s="84" t="s">
        <v>549</v>
      </c>
      <c r="BX274" s="84" t="s">
        <v>549</v>
      </c>
      <c r="BY274" s="84"/>
      <c r="BZ274" s="84"/>
      <c r="CA274" s="84"/>
      <c r="CB274" s="84"/>
      <c r="CC274" s="84"/>
      <c r="CD274" s="84"/>
      <c r="CE274" s="84"/>
      <c r="CF274" s="84"/>
      <c r="CG274" s="84"/>
      <c r="CH274" s="73">
        <f t="shared" si="8"/>
        <v>0</v>
      </c>
      <c r="CI274" s="84"/>
      <c r="CJ274" s="84"/>
      <c r="CK274" s="84" t="s">
        <v>549</v>
      </c>
      <c r="CL274" s="72" t="s">
        <v>549</v>
      </c>
      <c r="CM274" s="84" t="s">
        <v>549</v>
      </c>
      <c r="CN274" s="84" t="s">
        <v>549</v>
      </c>
      <c r="CO274" s="84" t="s">
        <v>549</v>
      </c>
      <c r="CP274" s="84" t="s">
        <v>549</v>
      </c>
      <c r="CQ274" s="84" t="s">
        <v>549</v>
      </c>
      <c r="CR274" s="84" t="s">
        <v>549</v>
      </c>
      <c r="CS274" s="84" t="s">
        <v>549</v>
      </c>
      <c r="CT274" s="84" t="s">
        <v>549</v>
      </c>
      <c r="CU274" s="84"/>
      <c r="CV274" s="84">
        <f t="shared" si="9"/>
        <v>0</v>
      </c>
      <c r="CW274" s="84"/>
      <c r="CX274" s="74"/>
      <c r="CY274" s="74"/>
      <c r="CZ274" s="74" t="s">
        <v>1286</v>
      </c>
      <c r="DA274" s="74"/>
      <c r="DB274" s="74"/>
      <c r="DC274" s="74"/>
      <c r="DD274" s="74"/>
    </row>
    <row r="275" spans="1:108" s="68" customFormat="1" ht="15" hidden="1" customHeight="1" x14ac:dyDescent="0.25">
      <c r="A275" s="85" t="s">
        <v>695</v>
      </c>
      <c r="B275" s="74" t="s">
        <v>154</v>
      </c>
      <c r="C275" s="74" t="s">
        <v>172</v>
      </c>
      <c r="D275" s="85" t="s">
        <v>196</v>
      </c>
      <c r="E275" s="74" t="s">
        <v>5</v>
      </c>
      <c r="F275" s="85" t="s">
        <v>551</v>
      </c>
      <c r="G275" s="74" t="s">
        <v>288</v>
      </c>
      <c r="H275" s="74" t="s">
        <v>552</v>
      </c>
      <c r="I275" s="74" t="s">
        <v>300</v>
      </c>
      <c r="J275" s="74" t="s">
        <v>529</v>
      </c>
      <c r="K275" s="82" t="s">
        <v>326</v>
      </c>
      <c r="L275" s="78" t="s">
        <v>559</v>
      </c>
      <c r="M275" s="78" t="s">
        <v>531</v>
      </c>
      <c r="N275" s="78" t="s">
        <v>7</v>
      </c>
      <c r="O275" s="97" t="s">
        <v>560</v>
      </c>
      <c r="P275" s="97" t="s">
        <v>561</v>
      </c>
      <c r="Q275" s="74" t="s">
        <v>766</v>
      </c>
      <c r="R275" s="74" t="s">
        <v>767</v>
      </c>
      <c r="S275" s="74" t="s">
        <v>768</v>
      </c>
      <c r="T275" s="74" t="s">
        <v>320</v>
      </c>
      <c r="U275" s="75"/>
      <c r="V275" s="75"/>
      <c r="W275" s="75">
        <v>0.05</v>
      </c>
      <c r="X275" s="75"/>
      <c r="Y275" s="75"/>
      <c r="Z275" s="75">
        <v>0.05</v>
      </c>
      <c r="AA275" s="75"/>
      <c r="AB275" s="75"/>
      <c r="AC275" s="75">
        <v>0.05</v>
      </c>
      <c r="AD275" s="75"/>
      <c r="AE275" s="75"/>
      <c r="AF275" s="75">
        <v>0.05</v>
      </c>
      <c r="AG275" s="74" t="s">
        <v>536</v>
      </c>
      <c r="AH275" s="74" t="s">
        <v>530</v>
      </c>
      <c r="AI275" s="78" t="s">
        <v>539</v>
      </c>
      <c r="AJ275" s="79" t="s">
        <v>539</v>
      </c>
      <c r="AK275" s="80">
        <v>46023</v>
      </c>
      <c r="AL275" s="80">
        <v>46387</v>
      </c>
      <c r="AM275" s="79"/>
      <c r="AN275" s="79"/>
      <c r="AO275" s="79"/>
      <c r="AP275" s="81" t="s">
        <v>545</v>
      </c>
      <c r="AQ275" s="80" t="str" cm="1">
        <f t="array" ref="AQ275">IFERROR(DATE(2026, _xlfn.AGGREGATE(15, 6, (COLUMN(CI275:CT275)-COLUMN(CI275)+1)/(CI275:CT275&lt;&gt;0), 1), 1),"N/A")</f>
        <v>N/A</v>
      </c>
      <c r="AR275" s="80" t="str" cm="1">
        <f t="array" ref="AR275">IFERROR(EOMONTH(DATE(2026, _xlfn.AGGREGATE(14, 6, (COLUMN(CI275:CT275)-COLUMN(CI275)+1)/(CI275:CT275&lt;&gt;0), 1), 1), 0),"N/A")</f>
        <v>N/A</v>
      </c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4" t="s">
        <v>680</v>
      </c>
      <c r="BG275" s="74"/>
      <c r="BH275" s="74" t="s">
        <v>949</v>
      </c>
      <c r="BI275" s="74" t="s">
        <v>1011</v>
      </c>
      <c r="BJ275" s="78">
        <v>730207</v>
      </c>
      <c r="BK275" s="82" t="s">
        <v>703</v>
      </c>
      <c r="BL275" s="83">
        <v>100000</v>
      </c>
      <c r="BM275" s="73">
        <v>0</v>
      </c>
      <c r="BN275" s="73">
        <v>0</v>
      </c>
      <c r="BO275" s="73">
        <v>0</v>
      </c>
      <c r="BP275" s="73">
        <v>0</v>
      </c>
      <c r="BQ275" s="73">
        <v>0</v>
      </c>
      <c r="BR275" s="73">
        <v>0</v>
      </c>
      <c r="BS275" s="84">
        <v>12500</v>
      </c>
      <c r="BT275" s="84">
        <v>17500</v>
      </c>
      <c r="BU275" s="84">
        <v>17500</v>
      </c>
      <c r="BV275" s="84">
        <v>17500</v>
      </c>
      <c r="BW275" s="84">
        <v>17500</v>
      </c>
      <c r="BX275" s="84">
        <v>17500</v>
      </c>
      <c r="BY275" s="84">
        <v>-100000</v>
      </c>
      <c r="BZ275" s="84"/>
      <c r="CA275" s="84"/>
      <c r="CB275" s="84"/>
      <c r="CC275" s="84"/>
      <c r="CD275" s="84"/>
      <c r="CE275" s="84"/>
      <c r="CF275" s="84"/>
      <c r="CG275" s="84"/>
      <c r="CH275" s="73">
        <f t="shared" si="8"/>
        <v>0</v>
      </c>
      <c r="CI275" s="73"/>
      <c r="CJ275" s="73"/>
      <c r="CK275" s="72"/>
      <c r="CL275" s="73"/>
      <c r="CM275" s="73"/>
      <c r="CN275" s="73"/>
      <c r="CO275" s="84"/>
      <c r="CP275" s="84"/>
      <c r="CQ275" s="84"/>
      <c r="CR275" s="84"/>
      <c r="CS275" s="84"/>
      <c r="CT275" s="84"/>
      <c r="CU275" s="84"/>
      <c r="CV275" s="84">
        <f t="shared" si="9"/>
        <v>0</v>
      </c>
      <c r="CW275" s="84"/>
      <c r="CX275" s="74"/>
      <c r="CY275" s="74"/>
      <c r="CZ275" s="74"/>
      <c r="DA275" s="74"/>
      <c r="DB275" s="74"/>
      <c r="DC275" s="74"/>
      <c r="DD275" s="74"/>
    </row>
    <row r="276" spans="1:108" s="68" customFormat="1" ht="43.15" hidden="1" customHeight="1" x14ac:dyDescent="0.25">
      <c r="A276" s="85" t="s">
        <v>695</v>
      </c>
      <c r="B276" s="74" t="s">
        <v>154</v>
      </c>
      <c r="C276" s="74" t="s">
        <v>172</v>
      </c>
      <c r="D276" s="85" t="s">
        <v>196</v>
      </c>
      <c r="E276" s="74" t="s">
        <v>5</v>
      </c>
      <c r="F276" s="85" t="s">
        <v>551</v>
      </c>
      <c r="G276" s="74" t="s">
        <v>288</v>
      </c>
      <c r="H276" s="74" t="s">
        <v>552</v>
      </c>
      <c r="I276" s="74" t="s">
        <v>300</v>
      </c>
      <c r="J276" s="74" t="s">
        <v>529</v>
      </c>
      <c r="K276" s="82" t="s">
        <v>326</v>
      </c>
      <c r="L276" s="78" t="s">
        <v>559</v>
      </c>
      <c r="M276" s="78" t="s">
        <v>531</v>
      </c>
      <c r="N276" s="78" t="s">
        <v>7</v>
      </c>
      <c r="O276" s="97" t="s">
        <v>560</v>
      </c>
      <c r="P276" s="97" t="s">
        <v>561</v>
      </c>
      <c r="Q276" s="74" t="s">
        <v>766</v>
      </c>
      <c r="R276" s="74" t="s">
        <v>767</v>
      </c>
      <c r="S276" s="74" t="s">
        <v>768</v>
      </c>
      <c r="T276" s="74" t="s">
        <v>320</v>
      </c>
      <c r="U276" s="75"/>
      <c r="V276" s="75"/>
      <c r="W276" s="75">
        <v>0.05</v>
      </c>
      <c r="X276" s="75"/>
      <c r="Y276" s="75"/>
      <c r="Z276" s="75">
        <v>0.05</v>
      </c>
      <c r="AA276" s="75"/>
      <c r="AB276" s="75"/>
      <c r="AC276" s="75">
        <v>0.05</v>
      </c>
      <c r="AD276" s="75"/>
      <c r="AE276" s="75"/>
      <c r="AF276" s="75">
        <v>0.05</v>
      </c>
      <c r="AG276" s="74" t="s">
        <v>536</v>
      </c>
      <c r="AH276" s="74" t="s">
        <v>530</v>
      </c>
      <c r="AI276" s="78" t="s">
        <v>539</v>
      </c>
      <c r="AJ276" s="79" t="s">
        <v>539</v>
      </c>
      <c r="AK276" s="80">
        <v>46023</v>
      </c>
      <c r="AL276" s="80">
        <v>46387</v>
      </c>
      <c r="AM276" s="79"/>
      <c r="AN276" s="79"/>
      <c r="AO276" s="79"/>
      <c r="AP276" s="81" t="s">
        <v>545</v>
      </c>
      <c r="AQ276" s="80" cm="1">
        <f t="array" ref="AQ276">IFERROR(DATE(2026, _xlfn.AGGREGATE(15, 6, (COLUMN(CI276:CT276)-COLUMN(CI276)+1)/(CI276:CT276&lt;&gt;0), 1), 1),"N/A")</f>
        <v>46296</v>
      </c>
      <c r="AR276" s="80" cm="1">
        <f t="array" ref="AR276">IFERROR(EOMONTH(DATE(2026, _xlfn.AGGREGATE(14, 6, (COLUMN(CI276:CT276)-COLUMN(CI276)+1)/(CI276:CT276&lt;&gt;0), 1), 1), 0),"N/A")</f>
        <v>46387</v>
      </c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85" t="s">
        <v>1220</v>
      </c>
      <c r="BG276" s="74"/>
      <c r="BH276" s="74" t="s">
        <v>1221</v>
      </c>
      <c r="BI276" s="74" t="s">
        <v>1011</v>
      </c>
      <c r="BJ276" s="78">
        <v>730207</v>
      </c>
      <c r="BK276" s="82" t="s">
        <v>703</v>
      </c>
      <c r="BL276" s="83"/>
      <c r="BM276" s="73"/>
      <c r="BN276" s="73"/>
      <c r="BO276" s="73"/>
      <c r="BP276" s="73"/>
      <c r="BQ276" s="73"/>
      <c r="BR276" s="73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>
        <v>25000</v>
      </c>
      <c r="CH276" s="73">
        <f t="shared" si="8"/>
        <v>25000</v>
      </c>
      <c r="CI276" s="73"/>
      <c r="CJ276" s="73"/>
      <c r="CK276" s="72"/>
      <c r="CL276" s="73"/>
      <c r="CM276" s="73"/>
      <c r="CN276" s="73"/>
      <c r="CO276" s="84"/>
      <c r="CP276" s="84"/>
      <c r="CQ276" s="84"/>
      <c r="CR276" s="84">
        <v>12500</v>
      </c>
      <c r="CS276" s="84"/>
      <c r="CT276" s="84">
        <v>12500</v>
      </c>
      <c r="CU276" s="84"/>
      <c r="CV276" s="84">
        <f t="shared" si="9"/>
        <v>0</v>
      </c>
      <c r="CW276" s="136"/>
      <c r="CX276" s="74"/>
      <c r="CY276" s="74"/>
      <c r="CZ276" s="74"/>
      <c r="DA276" s="74"/>
      <c r="DB276" s="85" t="s">
        <v>1270</v>
      </c>
      <c r="DC276" s="74"/>
      <c r="DD276" s="74"/>
    </row>
    <row r="277" spans="1:108" s="68" customFormat="1" ht="15" hidden="1" customHeight="1" x14ac:dyDescent="0.25">
      <c r="A277" s="74" t="s">
        <v>697</v>
      </c>
      <c r="B277" s="74" t="s">
        <v>154</v>
      </c>
      <c r="C277" s="74" t="s">
        <v>172</v>
      </c>
      <c r="D277" s="85" t="s">
        <v>196</v>
      </c>
      <c r="E277" s="74" t="s">
        <v>5</v>
      </c>
      <c r="F277" s="85" t="s">
        <v>551</v>
      </c>
      <c r="G277" s="74" t="s">
        <v>288</v>
      </c>
      <c r="H277" s="74" t="s">
        <v>552</v>
      </c>
      <c r="I277" s="74" t="s">
        <v>300</v>
      </c>
      <c r="J277" s="74" t="s">
        <v>529</v>
      </c>
      <c r="K277" s="82" t="s">
        <v>326</v>
      </c>
      <c r="L277" s="78" t="s">
        <v>559</v>
      </c>
      <c r="M277" s="78" t="s">
        <v>531</v>
      </c>
      <c r="N277" s="78" t="s">
        <v>7</v>
      </c>
      <c r="O277" s="97" t="s">
        <v>560</v>
      </c>
      <c r="P277" s="97" t="s">
        <v>561</v>
      </c>
      <c r="Q277" s="74" t="s">
        <v>766</v>
      </c>
      <c r="R277" s="74" t="s">
        <v>767</v>
      </c>
      <c r="S277" s="74" t="s">
        <v>768</v>
      </c>
      <c r="T277" s="74" t="s">
        <v>320</v>
      </c>
      <c r="U277" s="75"/>
      <c r="V277" s="75"/>
      <c r="W277" s="75">
        <v>0.05</v>
      </c>
      <c r="X277" s="75"/>
      <c r="Y277" s="75"/>
      <c r="Z277" s="75">
        <v>0.05</v>
      </c>
      <c r="AA277" s="75"/>
      <c r="AB277" s="75"/>
      <c r="AC277" s="75">
        <v>0.05</v>
      </c>
      <c r="AD277" s="75"/>
      <c r="AE277" s="75"/>
      <c r="AF277" s="75">
        <v>0.05</v>
      </c>
      <c r="AG277" s="74" t="s">
        <v>536</v>
      </c>
      <c r="AH277" s="74" t="s">
        <v>530</v>
      </c>
      <c r="AI277" s="78" t="s">
        <v>539</v>
      </c>
      <c r="AJ277" s="79" t="s">
        <v>539</v>
      </c>
      <c r="AK277" s="80">
        <v>46023</v>
      </c>
      <c r="AL277" s="80">
        <v>46387</v>
      </c>
      <c r="AM277" s="79"/>
      <c r="AN277" s="79"/>
      <c r="AO277" s="79"/>
      <c r="AP277" s="81" t="s">
        <v>545</v>
      </c>
      <c r="AQ277" s="80" t="str" cm="1">
        <f t="array" ref="AQ277">IFERROR(DATE(2026, _xlfn.AGGREGATE(15, 6, (COLUMN(CI277:CT277)-COLUMN(CI277)+1)/(CI277:CT277&lt;&gt;0), 1), 1),"N/A")</f>
        <v>N/A</v>
      </c>
      <c r="AR277" s="80" t="str" cm="1">
        <f t="array" ref="AR277">IFERROR(EOMONTH(DATE(2026, _xlfn.AGGREGATE(14, 6, (COLUMN(CI277:CT277)-COLUMN(CI277)+1)/(CI277:CT277&lt;&gt;0), 1), 1), 0),"N/A")</f>
        <v>N/A</v>
      </c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4" t="s">
        <v>680</v>
      </c>
      <c r="BG277" s="74"/>
      <c r="BH277" s="74" t="s">
        <v>950</v>
      </c>
      <c r="BI277" s="74" t="s">
        <v>1011</v>
      </c>
      <c r="BJ277" s="78">
        <v>730207</v>
      </c>
      <c r="BK277" s="82" t="s">
        <v>703</v>
      </c>
      <c r="BL277" s="76">
        <v>50000</v>
      </c>
      <c r="BM277" s="73">
        <v>0</v>
      </c>
      <c r="BN277" s="73">
        <v>0</v>
      </c>
      <c r="BO277" s="73">
        <v>0</v>
      </c>
      <c r="BP277" s="73">
        <v>0</v>
      </c>
      <c r="BQ277" s="73">
        <v>0</v>
      </c>
      <c r="BR277" s="73">
        <v>0</v>
      </c>
      <c r="BS277" s="73">
        <v>0</v>
      </c>
      <c r="BT277" s="73">
        <v>0</v>
      </c>
      <c r="BU277" s="73">
        <v>0</v>
      </c>
      <c r="BV277" s="73">
        <v>0</v>
      </c>
      <c r="BW277" s="73">
        <v>0</v>
      </c>
      <c r="BX277" s="84">
        <v>50000</v>
      </c>
      <c r="BY277" s="84">
        <v>-50000</v>
      </c>
      <c r="BZ277" s="84"/>
      <c r="CA277" s="84"/>
      <c r="CB277" s="84"/>
      <c r="CC277" s="84"/>
      <c r="CD277" s="84"/>
      <c r="CE277" s="84"/>
      <c r="CF277" s="84"/>
      <c r="CG277" s="84"/>
      <c r="CH277" s="73">
        <f t="shared" si="8"/>
        <v>0</v>
      </c>
      <c r="CI277" s="73"/>
      <c r="CJ277" s="73"/>
      <c r="CK277" s="72"/>
      <c r="CL277" s="73"/>
      <c r="CM277" s="73"/>
      <c r="CN277" s="73"/>
      <c r="CO277" s="73"/>
      <c r="CP277" s="73"/>
      <c r="CQ277" s="73"/>
      <c r="CR277" s="73"/>
      <c r="CS277" s="73"/>
      <c r="CT277" s="84"/>
      <c r="CU277" s="84"/>
      <c r="CV277" s="84">
        <f t="shared" si="9"/>
        <v>0</v>
      </c>
      <c r="CW277" s="84"/>
      <c r="CX277" s="74"/>
      <c r="CY277" s="74"/>
      <c r="CZ277" s="74"/>
      <c r="DA277" s="74"/>
      <c r="DB277" s="74"/>
      <c r="DC277" s="74"/>
      <c r="DD277" s="74"/>
    </row>
    <row r="278" spans="1:108" s="68" customFormat="1" ht="15" hidden="1" customHeight="1" x14ac:dyDescent="0.25">
      <c r="A278" s="85" t="s">
        <v>695</v>
      </c>
      <c r="B278" s="74" t="s">
        <v>154</v>
      </c>
      <c r="C278" s="74" t="s">
        <v>172</v>
      </c>
      <c r="D278" s="85" t="s">
        <v>196</v>
      </c>
      <c r="E278" s="74" t="s">
        <v>5</v>
      </c>
      <c r="F278" s="85" t="s">
        <v>551</v>
      </c>
      <c r="G278" s="74" t="s">
        <v>288</v>
      </c>
      <c r="H278" s="74" t="s">
        <v>552</v>
      </c>
      <c r="I278" s="74" t="s">
        <v>300</v>
      </c>
      <c r="J278" s="74" t="s">
        <v>529</v>
      </c>
      <c r="K278" s="82" t="s">
        <v>326</v>
      </c>
      <c r="L278" s="78" t="s">
        <v>559</v>
      </c>
      <c r="M278" s="78" t="s">
        <v>531</v>
      </c>
      <c r="N278" s="78" t="s">
        <v>7</v>
      </c>
      <c r="O278" s="97" t="s">
        <v>560</v>
      </c>
      <c r="P278" s="97" t="s">
        <v>561</v>
      </c>
      <c r="Q278" s="74" t="s">
        <v>766</v>
      </c>
      <c r="R278" s="74" t="s">
        <v>767</v>
      </c>
      <c r="S278" s="74" t="s">
        <v>768</v>
      </c>
      <c r="T278" s="74" t="s">
        <v>320</v>
      </c>
      <c r="U278" s="75"/>
      <c r="V278" s="75"/>
      <c r="W278" s="75">
        <v>0.05</v>
      </c>
      <c r="X278" s="75"/>
      <c r="Y278" s="75"/>
      <c r="Z278" s="75">
        <v>0.05</v>
      </c>
      <c r="AA278" s="75"/>
      <c r="AB278" s="75"/>
      <c r="AC278" s="75">
        <v>0.05</v>
      </c>
      <c r="AD278" s="75"/>
      <c r="AE278" s="75"/>
      <c r="AF278" s="75">
        <v>0.05</v>
      </c>
      <c r="AG278" s="74" t="s">
        <v>536</v>
      </c>
      <c r="AH278" s="74" t="s">
        <v>530</v>
      </c>
      <c r="AI278" s="78" t="s">
        <v>539</v>
      </c>
      <c r="AJ278" s="79" t="s">
        <v>539</v>
      </c>
      <c r="AK278" s="80">
        <v>46023</v>
      </c>
      <c r="AL278" s="80">
        <v>46387</v>
      </c>
      <c r="AM278" s="79"/>
      <c r="AN278" s="79"/>
      <c r="AO278" s="79"/>
      <c r="AP278" s="103" t="s">
        <v>545</v>
      </c>
      <c r="AQ278" s="80" t="str" cm="1">
        <f t="array" ref="AQ278">IFERROR(DATE(2026, _xlfn.AGGREGATE(15, 6, (COLUMN(CI278:CT278)-COLUMN(CI278)+1)/(CI278:CT278&lt;&gt;0), 1), 1),"N/A")</f>
        <v>N/A</v>
      </c>
      <c r="AR278" s="80" t="str" cm="1">
        <f t="array" ref="AR278">IFERROR(EOMONTH(DATE(2026, _xlfn.AGGREGATE(14, 6, (COLUMN(CI278:CT278)-COLUMN(CI278)+1)/(CI278:CT278&lt;&gt;0), 1), 1), 0),"N/A")</f>
        <v>N/A</v>
      </c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4" t="s">
        <v>686</v>
      </c>
      <c r="BG278" s="74"/>
      <c r="BH278" s="74" t="s">
        <v>942</v>
      </c>
      <c r="BI278" s="74" t="s">
        <v>1011</v>
      </c>
      <c r="BJ278" s="78">
        <v>730207</v>
      </c>
      <c r="BK278" s="82" t="s">
        <v>703</v>
      </c>
      <c r="BL278" s="83">
        <v>380000</v>
      </c>
      <c r="BM278" s="73">
        <v>0</v>
      </c>
      <c r="BN278" s="73">
        <v>0</v>
      </c>
      <c r="BO278" s="73">
        <v>0</v>
      </c>
      <c r="BP278" s="73">
        <v>0</v>
      </c>
      <c r="BQ278" s="73">
        <v>0</v>
      </c>
      <c r="BR278" s="73">
        <v>0</v>
      </c>
      <c r="BS278" s="84">
        <v>125000</v>
      </c>
      <c r="BT278" s="84">
        <v>125000</v>
      </c>
      <c r="BU278" s="84">
        <v>30000</v>
      </c>
      <c r="BV278" s="84">
        <v>20000</v>
      </c>
      <c r="BW278" s="84">
        <v>40000</v>
      </c>
      <c r="BX278" s="84">
        <v>40000</v>
      </c>
      <c r="BY278" s="84">
        <v>-291500</v>
      </c>
      <c r="BZ278" s="84"/>
      <c r="CA278" s="84">
        <v>-88500</v>
      </c>
      <c r="CB278" s="84"/>
      <c r="CC278" s="84"/>
      <c r="CD278" s="84"/>
      <c r="CE278" s="84"/>
      <c r="CF278" s="84"/>
      <c r="CG278" s="84"/>
      <c r="CH278" s="73">
        <f t="shared" si="8"/>
        <v>0</v>
      </c>
      <c r="CI278" s="73"/>
      <c r="CJ278" s="73"/>
      <c r="CK278" s="72">
        <v>0</v>
      </c>
      <c r="CL278" s="73">
        <v>0</v>
      </c>
      <c r="CM278" s="73">
        <v>0</v>
      </c>
      <c r="CN278" s="73"/>
      <c r="CO278" s="84"/>
      <c r="CP278" s="84"/>
      <c r="CQ278" s="84"/>
      <c r="CR278" s="84"/>
      <c r="CS278" s="84"/>
      <c r="CT278" s="84"/>
      <c r="CU278" s="84"/>
      <c r="CV278" s="84">
        <f t="shared" si="9"/>
        <v>0</v>
      </c>
      <c r="CW278" s="84"/>
      <c r="CX278" s="74"/>
      <c r="CY278" s="74"/>
      <c r="CZ278" s="74"/>
      <c r="DA278" s="74"/>
      <c r="DB278" s="74"/>
      <c r="DC278" s="74"/>
      <c r="DD278" s="74"/>
    </row>
    <row r="279" spans="1:108" s="68" customFormat="1" ht="15" hidden="1" customHeight="1" x14ac:dyDescent="0.25">
      <c r="A279" s="74" t="s">
        <v>692</v>
      </c>
      <c r="B279" s="74" t="s">
        <v>154</v>
      </c>
      <c r="C279" s="74" t="s">
        <v>172</v>
      </c>
      <c r="D279" s="85" t="s">
        <v>196</v>
      </c>
      <c r="E279" s="74" t="s">
        <v>5</v>
      </c>
      <c r="F279" s="85" t="s">
        <v>551</v>
      </c>
      <c r="G279" s="74" t="s">
        <v>288</v>
      </c>
      <c r="H279" s="74" t="s">
        <v>552</v>
      </c>
      <c r="I279" s="74" t="s">
        <v>300</v>
      </c>
      <c r="J279" s="74" t="s">
        <v>529</v>
      </c>
      <c r="K279" s="82" t="s">
        <v>326</v>
      </c>
      <c r="L279" s="78" t="s">
        <v>559</v>
      </c>
      <c r="M279" s="78" t="s">
        <v>531</v>
      </c>
      <c r="N279" s="78" t="s">
        <v>7</v>
      </c>
      <c r="O279" s="97" t="s">
        <v>560</v>
      </c>
      <c r="P279" s="97" t="s">
        <v>561</v>
      </c>
      <c r="Q279" s="74" t="s">
        <v>766</v>
      </c>
      <c r="R279" s="74" t="s">
        <v>767</v>
      </c>
      <c r="S279" s="74" t="s">
        <v>768</v>
      </c>
      <c r="T279" s="74" t="s">
        <v>320</v>
      </c>
      <c r="U279" s="75"/>
      <c r="V279" s="75"/>
      <c r="W279" s="75">
        <v>0.05</v>
      </c>
      <c r="X279" s="75"/>
      <c r="Y279" s="75"/>
      <c r="Z279" s="75">
        <v>0.05</v>
      </c>
      <c r="AA279" s="75"/>
      <c r="AB279" s="75"/>
      <c r="AC279" s="75">
        <v>0.05</v>
      </c>
      <c r="AD279" s="75"/>
      <c r="AE279" s="75"/>
      <c r="AF279" s="75">
        <v>0.05</v>
      </c>
      <c r="AG279" s="74" t="s">
        <v>536</v>
      </c>
      <c r="AH279" s="74" t="s">
        <v>530</v>
      </c>
      <c r="AI279" s="78" t="s">
        <v>539</v>
      </c>
      <c r="AJ279" s="79" t="s">
        <v>539</v>
      </c>
      <c r="AK279" s="80">
        <v>46023</v>
      </c>
      <c r="AL279" s="80">
        <v>46387</v>
      </c>
      <c r="AM279" s="79"/>
      <c r="AN279" s="79"/>
      <c r="AO279" s="79"/>
      <c r="AP279" s="103" t="s">
        <v>545</v>
      </c>
      <c r="AQ279" s="80" t="str" cm="1">
        <f t="array" ref="AQ279">IFERROR(DATE(2026, _xlfn.AGGREGATE(15, 6, (COLUMN(CI279:CT279)-COLUMN(CI279)+1)/(CI279:CT279&lt;&gt;0), 1), 1),"N/A")</f>
        <v>N/A</v>
      </c>
      <c r="AR279" s="80" t="str" cm="1">
        <f t="array" ref="AR279">IFERROR(EOMONTH(DATE(2026, _xlfn.AGGREGATE(14, 6, (COLUMN(CI279:CT279)-COLUMN(CI279)+1)/(CI279:CT279&lt;&gt;0), 1), 1), 0),"N/A")</f>
        <v>N/A</v>
      </c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4" t="s">
        <v>1001</v>
      </c>
      <c r="BG279" s="85"/>
      <c r="BH279" s="74" t="s">
        <v>1000</v>
      </c>
      <c r="BI279" s="74" t="s">
        <v>1013</v>
      </c>
      <c r="BJ279" s="78">
        <v>730606</v>
      </c>
      <c r="BK279" s="82" t="s">
        <v>703</v>
      </c>
      <c r="BL279" s="83">
        <v>0</v>
      </c>
      <c r="BM279" s="73"/>
      <c r="BN279" s="73"/>
      <c r="BO279" s="84"/>
      <c r="BP279" s="72"/>
      <c r="BQ279" s="84"/>
      <c r="BR279" s="84"/>
      <c r="BS279" s="84"/>
      <c r="BT279" s="84"/>
      <c r="BU279" s="84"/>
      <c r="BV279" s="84"/>
      <c r="BW279" s="84"/>
      <c r="BX279" s="73"/>
      <c r="BY279" s="73">
        <v>30800</v>
      </c>
      <c r="BZ279" s="73"/>
      <c r="CA279" s="73">
        <v>-30800</v>
      </c>
      <c r="CB279" s="73"/>
      <c r="CC279" s="73"/>
      <c r="CD279" s="73"/>
      <c r="CE279" s="73"/>
      <c r="CF279" s="73"/>
      <c r="CG279" s="73"/>
      <c r="CH279" s="73">
        <f t="shared" si="8"/>
        <v>0</v>
      </c>
      <c r="CI279" s="73"/>
      <c r="CJ279" s="73"/>
      <c r="CK279" s="111"/>
      <c r="CL279" s="73"/>
      <c r="CM279" s="102"/>
      <c r="CN279" s="102"/>
      <c r="CO279" s="102"/>
      <c r="CP279" s="102"/>
      <c r="CQ279" s="102"/>
      <c r="CR279" s="102"/>
      <c r="CS279" s="102"/>
      <c r="CT279" s="102"/>
      <c r="CU279" s="102"/>
      <c r="CV279" s="84">
        <f t="shared" si="9"/>
        <v>0</v>
      </c>
      <c r="CW279" s="84"/>
      <c r="CX279" s="74"/>
      <c r="CY279" s="74"/>
      <c r="CZ279" s="74" t="s">
        <v>1284</v>
      </c>
      <c r="DA279" s="74"/>
      <c r="DB279" s="74"/>
      <c r="DC279" s="74"/>
      <c r="DD279" s="74"/>
    </row>
    <row r="280" spans="1:108" s="68" customFormat="1" ht="15" customHeight="1" x14ac:dyDescent="0.25">
      <c r="A280" s="74" t="s">
        <v>691</v>
      </c>
      <c r="B280" s="74" t="s">
        <v>154</v>
      </c>
      <c r="C280" s="74" t="s">
        <v>172</v>
      </c>
      <c r="D280" s="85" t="s">
        <v>196</v>
      </c>
      <c r="E280" s="74" t="s">
        <v>5</v>
      </c>
      <c r="F280" s="85" t="s">
        <v>551</v>
      </c>
      <c r="G280" s="74" t="s">
        <v>288</v>
      </c>
      <c r="H280" s="74" t="s">
        <v>552</v>
      </c>
      <c r="I280" s="74" t="s">
        <v>300</v>
      </c>
      <c r="J280" s="74" t="s">
        <v>529</v>
      </c>
      <c r="K280" s="82" t="s">
        <v>326</v>
      </c>
      <c r="L280" s="78" t="s">
        <v>559</v>
      </c>
      <c r="M280" s="78" t="s">
        <v>531</v>
      </c>
      <c r="N280" s="78" t="s">
        <v>7</v>
      </c>
      <c r="O280" s="97" t="s">
        <v>560</v>
      </c>
      <c r="P280" s="97" t="s">
        <v>715</v>
      </c>
      <c r="Q280" s="74" t="s">
        <v>763</v>
      </c>
      <c r="R280" s="74" t="s">
        <v>764</v>
      </c>
      <c r="S280" s="74" t="s">
        <v>765</v>
      </c>
      <c r="T280" s="74" t="s">
        <v>2</v>
      </c>
      <c r="U280" s="75">
        <v>0</v>
      </c>
      <c r="V280" s="75">
        <v>0</v>
      </c>
      <c r="W280" s="75">
        <v>0.85</v>
      </c>
      <c r="X280" s="75">
        <v>0.85</v>
      </c>
      <c r="Y280" s="75">
        <v>0.85</v>
      </c>
      <c r="Z280" s="75">
        <v>0.85</v>
      </c>
      <c r="AA280" s="75">
        <v>0.85</v>
      </c>
      <c r="AB280" s="75">
        <v>0.85</v>
      </c>
      <c r="AC280" s="75">
        <v>0.85</v>
      </c>
      <c r="AD280" s="75">
        <v>0.85</v>
      </c>
      <c r="AE280" s="75">
        <v>0.85</v>
      </c>
      <c r="AF280" s="75">
        <v>0.85</v>
      </c>
      <c r="AG280" s="74" t="s">
        <v>537</v>
      </c>
      <c r="AH280" s="74" t="s">
        <v>530</v>
      </c>
      <c r="AI280" s="78" t="s">
        <v>539</v>
      </c>
      <c r="AJ280" s="79" t="s">
        <v>539</v>
      </c>
      <c r="AK280" s="80">
        <v>46296</v>
      </c>
      <c r="AL280" s="80">
        <v>46356</v>
      </c>
      <c r="AM280" s="79"/>
      <c r="AN280" s="79"/>
      <c r="AO280" s="79"/>
      <c r="AP280" s="103" t="s">
        <v>547</v>
      </c>
      <c r="AQ280" s="80" cm="1">
        <f t="array" ref="AQ280">IFERROR(DATE(2026, _xlfn.AGGREGATE(15, 6, (COLUMN(CI280:CT280)-COLUMN(CI280)+1)/(CI280:CT280&lt;&gt;0), 1), 1),"N/A")</f>
        <v>46327</v>
      </c>
      <c r="AR280" s="80" cm="1">
        <f t="array" ref="AR280">IFERROR(EOMONTH(DATE(2026, _xlfn.AGGREGATE(14, 6, (COLUMN(CI280:CT280)-COLUMN(CI280)+1)/(CI280:CT280&lt;&gt;0), 1), 1), 0),"N/A")</f>
        <v>46356</v>
      </c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4" t="s">
        <v>1141</v>
      </c>
      <c r="BG280" s="74"/>
      <c r="BH280" s="74" t="s">
        <v>1151</v>
      </c>
      <c r="BI280" s="74" t="s">
        <v>137</v>
      </c>
      <c r="BJ280" s="78">
        <v>840107</v>
      </c>
      <c r="BK280" s="82" t="s">
        <v>703</v>
      </c>
      <c r="BL280" s="83"/>
      <c r="BM280" s="73"/>
      <c r="BN280" s="73"/>
      <c r="BO280" s="73"/>
      <c r="BP280" s="73"/>
      <c r="BQ280" s="73"/>
      <c r="BR280" s="73"/>
      <c r="BS280" s="73"/>
      <c r="BT280" s="73"/>
      <c r="BU280" s="73"/>
      <c r="BV280" s="84"/>
      <c r="BW280" s="73"/>
      <c r="BX280" s="73"/>
      <c r="BY280" s="73"/>
      <c r="BZ280" s="73"/>
      <c r="CA280" s="73"/>
      <c r="CB280" s="154"/>
      <c r="CC280" s="154"/>
      <c r="CD280" s="73">
        <v>106000</v>
      </c>
      <c r="CE280" s="73"/>
      <c r="CF280" s="73"/>
      <c r="CG280" s="73"/>
      <c r="CH280" s="73">
        <f t="shared" si="8"/>
        <v>106000</v>
      </c>
      <c r="CI280" s="73"/>
      <c r="CJ280" s="73"/>
      <c r="CK280" s="72"/>
      <c r="CL280" s="73"/>
      <c r="CM280" s="73"/>
      <c r="CN280" s="73"/>
      <c r="CO280" s="73"/>
      <c r="CP280" s="73"/>
      <c r="CQ280" s="73"/>
      <c r="CR280" s="84"/>
      <c r="CS280" s="73">
        <v>106000</v>
      </c>
      <c r="CT280" s="73"/>
      <c r="CU280" s="73"/>
      <c r="CV280" s="84">
        <f t="shared" si="9"/>
        <v>0</v>
      </c>
      <c r="CW280" s="84"/>
      <c r="CX280" s="74"/>
      <c r="CY280" s="74"/>
      <c r="CZ280" s="74"/>
      <c r="DA280" s="74"/>
      <c r="DB280" s="74"/>
      <c r="DC280" s="74"/>
      <c r="DD280" s="74"/>
    </row>
    <row r="281" spans="1:108" s="68" customFormat="1" ht="15" customHeight="1" x14ac:dyDescent="0.25">
      <c r="A281" s="74" t="s">
        <v>691</v>
      </c>
      <c r="B281" s="74" t="s">
        <v>154</v>
      </c>
      <c r="C281" s="74" t="s">
        <v>172</v>
      </c>
      <c r="D281" s="85" t="s">
        <v>196</v>
      </c>
      <c r="E281" s="74" t="s">
        <v>5</v>
      </c>
      <c r="F281" s="85" t="s">
        <v>551</v>
      </c>
      <c r="G281" s="74" t="s">
        <v>288</v>
      </c>
      <c r="H281" s="74" t="s">
        <v>552</v>
      </c>
      <c r="I281" s="74" t="s">
        <v>300</v>
      </c>
      <c r="J281" s="74" t="s">
        <v>529</v>
      </c>
      <c r="K281" s="82" t="s">
        <v>326</v>
      </c>
      <c r="L281" s="78" t="s">
        <v>559</v>
      </c>
      <c r="M281" s="78" t="s">
        <v>531</v>
      </c>
      <c r="N281" s="78" t="s">
        <v>7</v>
      </c>
      <c r="O281" s="97" t="s">
        <v>560</v>
      </c>
      <c r="P281" s="97" t="s">
        <v>715</v>
      </c>
      <c r="Q281" s="74" t="s">
        <v>763</v>
      </c>
      <c r="R281" s="74" t="s">
        <v>764</v>
      </c>
      <c r="S281" s="74" t="s">
        <v>765</v>
      </c>
      <c r="T281" s="74" t="s">
        <v>2</v>
      </c>
      <c r="U281" s="75">
        <v>0</v>
      </c>
      <c r="V281" s="75">
        <v>0</v>
      </c>
      <c r="W281" s="75">
        <v>0.85</v>
      </c>
      <c r="X281" s="75">
        <v>0.85</v>
      </c>
      <c r="Y281" s="75">
        <v>0.85</v>
      </c>
      <c r="Z281" s="75">
        <v>0.85</v>
      </c>
      <c r="AA281" s="75">
        <v>0.85</v>
      </c>
      <c r="AB281" s="75">
        <v>0.85</v>
      </c>
      <c r="AC281" s="75">
        <v>0.85</v>
      </c>
      <c r="AD281" s="75">
        <v>0.85</v>
      </c>
      <c r="AE281" s="75">
        <v>0.85</v>
      </c>
      <c r="AF281" s="75">
        <v>0.85</v>
      </c>
      <c r="AG281" s="74" t="s">
        <v>537</v>
      </c>
      <c r="AH281" s="74" t="s">
        <v>530</v>
      </c>
      <c r="AI281" s="78" t="s">
        <v>539</v>
      </c>
      <c r="AJ281" s="79" t="s">
        <v>539</v>
      </c>
      <c r="AK281" s="80">
        <v>46296</v>
      </c>
      <c r="AL281" s="80">
        <v>46356</v>
      </c>
      <c r="AM281" s="79"/>
      <c r="AN281" s="79"/>
      <c r="AO281" s="79"/>
      <c r="AP281" s="103" t="s">
        <v>547</v>
      </c>
      <c r="AQ281" s="80" t="str" cm="1">
        <f t="array" ref="AQ281">IFERROR(DATE(2026, _xlfn.AGGREGATE(15, 6, (COLUMN(CI281:CT281)-COLUMN(CI281)+1)/(CI281:CT281&lt;&gt;0), 1), 1),"N/A")</f>
        <v>N/A</v>
      </c>
      <c r="AR281" s="80" t="str" cm="1">
        <f t="array" ref="AR281">IFERROR(EOMONTH(DATE(2026, _xlfn.AGGREGATE(14, 6, (COLUMN(CI281:CT281)-COLUMN(CI281)+1)/(CI281:CT281&lt;&gt;0), 1), 1), 0),"N/A")</f>
        <v>N/A</v>
      </c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4" t="s">
        <v>964</v>
      </c>
      <c r="BG281" s="74"/>
      <c r="BH281" s="74" t="s">
        <v>1095</v>
      </c>
      <c r="BI281" s="74" t="s">
        <v>137</v>
      </c>
      <c r="BJ281" s="78">
        <v>840107</v>
      </c>
      <c r="BK281" s="82" t="s">
        <v>703</v>
      </c>
      <c r="BL281" s="83">
        <v>0</v>
      </c>
      <c r="BM281" s="73"/>
      <c r="BN281" s="73"/>
      <c r="BO281" s="73"/>
      <c r="BP281" s="73"/>
      <c r="BQ281" s="73"/>
      <c r="BR281" s="73"/>
      <c r="BS281" s="73"/>
      <c r="BT281" s="73"/>
      <c r="BU281" s="73"/>
      <c r="BV281" s="84"/>
      <c r="BW281" s="73"/>
      <c r="BX281" s="73"/>
      <c r="BY281" s="73"/>
      <c r="BZ281" s="73"/>
      <c r="CA281" s="73">
        <v>3000</v>
      </c>
      <c r="CB281" s="154"/>
      <c r="CC281" s="154"/>
      <c r="CD281" s="73">
        <v>-3000</v>
      </c>
      <c r="CE281" s="73"/>
      <c r="CF281" s="73"/>
      <c r="CG281" s="73"/>
      <c r="CH281" s="73">
        <f t="shared" si="8"/>
        <v>0</v>
      </c>
      <c r="CI281" s="73"/>
      <c r="CJ281" s="73"/>
      <c r="CK281" s="72"/>
      <c r="CL281" s="73"/>
      <c r="CM281" s="73"/>
      <c r="CN281" s="73">
        <v>0</v>
      </c>
      <c r="CO281" s="73"/>
      <c r="CP281" s="73"/>
      <c r="CQ281" s="73"/>
      <c r="CR281" s="84"/>
      <c r="CS281" s="73"/>
      <c r="CT281" s="73"/>
      <c r="CU281" s="73"/>
      <c r="CV281" s="84">
        <f t="shared" si="9"/>
        <v>0</v>
      </c>
      <c r="CW281" s="84"/>
      <c r="CX281" s="74"/>
      <c r="CY281" s="74"/>
      <c r="CZ281" s="74"/>
      <c r="DA281" s="74"/>
      <c r="DB281" s="74"/>
      <c r="DC281" s="74"/>
      <c r="DD281" s="74"/>
    </row>
    <row r="282" spans="1:108" s="68" customFormat="1" ht="57.6" hidden="1" customHeight="1" x14ac:dyDescent="0.25">
      <c r="A282" s="85" t="s">
        <v>695</v>
      </c>
      <c r="B282" s="74" t="s">
        <v>154</v>
      </c>
      <c r="C282" s="74" t="s">
        <v>172</v>
      </c>
      <c r="D282" s="85" t="s">
        <v>196</v>
      </c>
      <c r="E282" s="74" t="s">
        <v>5</v>
      </c>
      <c r="F282" s="85" t="s">
        <v>551</v>
      </c>
      <c r="G282" s="74" t="s">
        <v>288</v>
      </c>
      <c r="H282" s="74" t="s">
        <v>552</v>
      </c>
      <c r="I282" s="74" t="s">
        <v>300</v>
      </c>
      <c r="J282" s="74" t="s">
        <v>529</v>
      </c>
      <c r="K282" s="82" t="s">
        <v>326</v>
      </c>
      <c r="L282" s="78" t="s">
        <v>559</v>
      </c>
      <c r="M282" s="78" t="s">
        <v>531</v>
      </c>
      <c r="N282" s="78" t="s">
        <v>7</v>
      </c>
      <c r="O282" s="97" t="s">
        <v>560</v>
      </c>
      <c r="P282" s="97" t="s">
        <v>561</v>
      </c>
      <c r="Q282" s="74" t="s">
        <v>766</v>
      </c>
      <c r="R282" s="74" t="s">
        <v>767</v>
      </c>
      <c r="S282" s="74" t="s">
        <v>768</v>
      </c>
      <c r="T282" s="74" t="s">
        <v>320</v>
      </c>
      <c r="U282" s="75"/>
      <c r="V282" s="75"/>
      <c r="W282" s="75">
        <v>0.05</v>
      </c>
      <c r="X282" s="75"/>
      <c r="Y282" s="75"/>
      <c r="Z282" s="75">
        <v>0.05</v>
      </c>
      <c r="AA282" s="75"/>
      <c r="AB282" s="75"/>
      <c r="AC282" s="75">
        <v>0.05</v>
      </c>
      <c r="AD282" s="75"/>
      <c r="AE282" s="75"/>
      <c r="AF282" s="75">
        <v>0.05</v>
      </c>
      <c r="AG282" s="74" t="s">
        <v>536</v>
      </c>
      <c r="AH282" s="74" t="s">
        <v>530</v>
      </c>
      <c r="AI282" s="78" t="s">
        <v>539</v>
      </c>
      <c r="AJ282" s="79" t="s">
        <v>539</v>
      </c>
      <c r="AK282" s="80">
        <v>46023</v>
      </c>
      <c r="AL282" s="80">
        <v>46387</v>
      </c>
      <c r="AM282" s="79"/>
      <c r="AN282" s="79"/>
      <c r="AO282" s="79"/>
      <c r="AP282" s="81" t="s">
        <v>546</v>
      </c>
      <c r="AQ282" s="80" cm="1">
        <f t="array" ref="AQ282">IFERROR(DATE(2026, _xlfn.AGGREGATE(15, 6, (COLUMN(CI282:CT282)-COLUMN(CI282)+1)/(CI282:CT282&lt;&gt;0), 1), 1),"N/A")</f>
        <v>46357</v>
      </c>
      <c r="AR282" s="80" cm="1">
        <f t="array" ref="AR282">IFERROR(EOMONTH(DATE(2026, _xlfn.AGGREGATE(14, 6, (COLUMN(CI282:CT282)-COLUMN(CI282)+1)/(CI282:CT282&lt;&gt;0), 1), 1), 0),"N/A")</f>
        <v>46387</v>
      </c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85" t="s">
        <v>1157</v>
      </c>
      <c r="BG282" s="74"/>
      <c r="BH282" s="74" t="s">
        <v>1127</v>
      </c>
      <c r="BI282" s="74" t="s">
        <v>1011</v>
      </c>
      <c r="BJ282" s="78">
        <v>730249</v>
      </c>
      <c r="BK282" s="82" t="s">
        <v>74</v>
      </c>
      <c r="BL282" s="8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84"/>
      <c r="BY282" s="84"/>
      <c r="BZ282" s="84"/>
      <c r="CA282" s="84"/>
      <c r="CB282" s="84"/>
      <c r="CC282" s="84">
        <v>100000</v>
      </c>
      <c r="CD282" s="84"/>
      <c r="CE282" s="84"/>
      <c r="CF282" s="84"/>
      <c r="CG282" s="84"/>
      <c r="CH282" s="73">
        <f t="shared" si="8"/>
        <v>100000</v>
      </c>
      <c r="CI282" s="73"/>
      <c r="CJ282" s="73"/>
      <c r="CK282" s="72"/>
      <c r="CL282" s="73"/>
      <c r="CM282" s="73"/>
      <c r="CN282" s="73"/>
      <c r="CO282" s="73"/>
      <c r="CP282" s="73"/>
      <c r="CQ282" s="73"/>
      <c r="CR282" s="73"/>
      <c r="CS282" s="73"/>
      <c r="CT282" s="84">
        <v>100000</v>
      </c>
      <c r="CU282" s="84"/>
      <c r="CV282" s="84">
        <f t="shared" si="9"/>
        <v>0</v>
      </c>
      <c r="CW282" s="135" t="s">
        <v>1228</v>
      </c>
      <c r="CX282" s="74"/>
      <c r="CY282" s="135" t="s">
        <v>1269</v>
      </c>
      <c r="CZ282" s="135" t="s">
        <v>1280</v>
      </c>
      <c r="DA282" s="85" t="s">
        <v>1376</v>
      </c>
      <c r="DB282" s="74" t="s">
        <v>1377</v>
      </c>
      <c r="DC282" s="74"/>
      <c r="DD282" s="74"/>
    </row>
    <row r="283" spans="1:108" s="68" customFormat="1" ht="15" customHeight="1" x14ac:dyDescent="0.25">
      <c r="A283" s="74" t="s">
        <v>691</v>
      </c>
      <c r="B283" s="74" t="s">
        <v>154</v>
      </c>
      <c r="C283" s="74" t="s">
        <v>172</v>
      </c>
      <c r="D283" s="85" t="s">
        <v>196</v>
      </c>
      <c r="E283" s="74" t="s">
        <v>5</v>
      </c>
      <c r="F283" s="85" t="s">
        <v>551</v>
      </c>
      <c r="G283" s="74" t="s">
        <v>288</v>
      </c>
      <c r="H283" s="74" t="s">
        <v>552</v>
      </c>
      <c r="I283" s="74" t="s">
        <v>300</v>
      </c>
      <c r="J283" s="74" t="s">
        <v>529</v>
      </c>
      <c r="K283" s="82" t="s">
        <v>326</v>
      </c>
      <c r="L283" s="78" t="s">
        <v>559</v>
      </c>
      <c r="M283" s="78" t="s">
        <v>531</v>
      </c>
      <c r="N283" s="78" t="s">
        <v>7</v>
      </c>
      <c r="O283" s="97" t="s">
        <v>560</v>
      </c>
      <c r="P283" s="97" t="s">
        <v>715</v>
      </c>
      <c r="Q283" s="74" t="s">
        <v>763</v>
      </c>
      <c r="R283" s="74" t="s">
        <v>764</v>
      </c>
      <c r="S283" s="74" t="s">
        <v>765</v>
      </c>
      <c r="T283" s="74" t="s">
        <v>2</v>
      </c>
      <c r="U283" s="75">
        <v>0</v>
      </c>
      <c r="V283" s="75">
        <v>0</v>
      </c>
      <c r="W283" s="75">
        <v>0.85</v>
      </c>
      <c r="X283" s="75">
        <v>0.85</v>
      </c>
      <c r="Y283" s="75">
        <v>0.85</v>
      </c>
      <c r="Z283" s="75">
        <v>0.85</v>
      </c>
      <c r="AA283" s="75">
        <v>0.85</v>
      </c>
      <c r="AB283" s="75">
        <v>0.85</v>
      </c>
      <c r="AC283" s="75">
        <v>0.85</v>
      </c>
      <c r="AD283" s="75">
        <v>0.85</v>
      </c>
      <c r="AE283" s="75">
        <v>0.85</v>
      </c>
      <c r="AF283" s="75">
        <v>0.85</v>
      </c>
      <c r="AG283" s="74" t="s">
        <v>537</v>
      </c>
      <c r="AH283" s="74" t="s">
        <v>530</v>
      </c>
      <c r="AI283" s="78" t="s">
        <v>539</v>
      </c>
      <c r="AJ283" s="79" t="s">
        <v>539</v>
      </c>
      <c r="AK283" s="80">
        <v>46296</v>
      </c>
      <c r="AL283" s="80">
        <v>46356</v>
      </c>
      <c r="AM283" s="79"/>
      <c r="AN283" s="79"/>
      <c r="AO283" s="79"/>
      <c r="AP283" s="103" t="s">
        <v>547</v>
      </c>
      <c r="AQ283" s="80" t="str" cm="1">
        <f t="array" ref="AQ283">IFERROR(DATE(2026, _xlfn.AGGREGATE(15, 6, (COLUMN(CI283:CT283)-COLUMN(CI283)+1)/(CI283:CT283&lt;&gt;0), 1), 1),"N/A")</f>
        <v>N/A</v>
      </c>
      <c r="AR283" s="80" t="str" cm="1">
        <f t="array" ref="AR283">IFERROR(EOMONTH(DATE(2026, _xlfn.AGGREGATE(14, 6, (COLUMN(CI283:CT283)-COLUMN(CI283)+1)/(CI283:CT283&lt;&gt;0), 1), 1), 0),"N/A")</f>
        <v>N/A</v>
      </c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4" t="s">
        <v>971</v>
      </c>
      <c r="BG283" s="74"/>
      <c r="BH283" s="74" t="s">
        <v>1093</v>
      </c>
      <c r="BI283" s="74" t="s">
        <v>137</v>
      </c>
      <c r="BJ283" s="78">
        <v>840107</v>
      </c>
      <c r="BK283" s="82" t="s">
        <v>703</v>
      </c>
      <c r="BL283" s="83">
        <v>0</v>
      </c>
      <c r="BM283" s="73"/>
      <c r="BN283" s="73"/>
      <c r="BO283" s="73"/>
      <c r="BP283" s="73"/>
      <c r="BQ283" s="73"/>
      <c r="BR283" s="73"/>
      <c r="BS283" s="73"/>
      <c r="BT283" s="73"/>
      <c r="BU283" s="73"/>
      <c r="BV283" s="84"/>
      <c r="BW283" s="73"/>
      <c r="BX283" s="73"/>
      <c r="BY283" s="73"/>
      <c r="BZ283" s="73"/>
      <c r="CA283" s="73">
        <v>106000</v>
      </c>
      <c r="CB283" s="154"/>
      <c r="CC283" s="154"/>
      <c r="CD283" s="73">
        <v>-106000</v>
      </c>
      <c r="CE283" s="73"/>
      <c r="CF283" s="73"/>
      <c r="CG283" s="73"/>
      <c r="CH283" s="73">
        <f t="shared" si="8"/>
        <v>0</v>
      </c>
      <c r="CI283" s="73"/>
      <c r="CJ283" s="73"/>
      <c r="CK283" s="72"/>
      <c r="CL283" s="73"/>
      <c r="CM283" s="73"/>
      <c r="CN283" s="73"/>
      <c r="CO283" s="73"/>
      <c r="CP283" s="73"/>
      <c r="CQ283" s="73">
        <v>0</v>
      </c>
      <c r="CR283" s="84"/>
      <c r="CS283" s="73"/>
      <c r="CT283" s="73"/>
      <c r="CU283" s="73"/>
      <c r="CV283" s="84">
        <f t="shared" si="9"/>
        <v>0</v>
      </c>
      <c r="CW283" s="84"/>
      <c r="CX283" s="74"/>
      <c r="CY283" s="74"/>
      <c r="CZ283" s="74"/>
      <c r="DA283" s="74"/>
      <c r="DB283" s="74"/>
      <c r="DC283" s="74"/>
      <c r="DD283" s="74"/>
    </row>
    <row r="284" spans="1:108" s="68" customFormat="1" ht="15" customHeight="1" x14ac:dyDescent="0.25">
      <c r="A284" s="74" t="s">
        <v>691</v>
      </c>
      <c r="B284" s="74" t="s">
        <v>154</v>
      </c>
      <c r="C284" s="74" t="s">
        <v>172</v>
      </c>
      <c r="D284" s="85" t="s">
        <v>196</v>
      </c>
      <c r="E284" s="74" t="s">
        <v>5</v>
      </c>
      <c r="F284" s="85" t="s">
        <v>551</v>
      </c>
      <c r="G284" s="74" t="s">
        <v>288</v>
      </c>
      <c r="H284" s="74" t="s">
        <v>552</v>
      </c>
      <c r="I284" s="74" t="s">
        <v>300</v>
      </c>
      <c r="J284" s="74" t="s">
        <v>529</v>
      </c>
      <c r="K284" s="82" t="s">
        <v>326</v>
      </c>
      <c r="L284" s="78" t="s">
        <v>559</v>
      </c>
      <c r="M284" s="78" t="s">
        <v>531</v>
      </c>
      <c r="N284" s="78" t="s">
        <v>7</v>
      </c>
      <c r="O284" s="97" t="s">
        <v>560</v>
      </c>
      <c r="P284" s="97" t="s">
        <v>715</v>
      </c>
      <c r="Q284" s="74" t="s">
        <v>763</v>
      </c>
      <c r="R284" s="74" t="s">
        <v>764</v>
      </c>
      <c r="S284" s="74" t="s">
        <v>765</v>
      </c>
      <c r="T284" s="74" t="s">
        <v>2</v>
      </c>
      <c r="U284" s="75">
        <v>0</v>
      </c>
      <c r="V284" s="75">
        <v>0</v>
      </c>
      <c r="W284" s="75">
        <v>0.85</v>
      </c>
      <c r="X284" s="75">
        <v>0.85</v>
      </c>
      <c r="Y284" s="75">
        <v>0.85</v>
      </c>
      <c r="Z284" s="75">
        <v>0.85</v>
      </c>
      <c r="AA284" s="75">
        <v>0.85</v>
      </c>
      <c r="AB284" s="75">
        <v>0.85</v>
      </c>
      <c r="AC284" s="75">
        <v>0.85</v>
      </c>
      <c r="AD284" s="75">
        <v>0.85</v>
      </c>
      <c r="AE284" s="75">
        <v>0.85</v>
      </c>
      <c r="AF284" s="75">
        <v>0.85</v>
      </c>
      <c r="AG284" s="74" t="s">
        <v>537</v>
      </c>
      <c r="AH284" s="74" t="s">
        <v>530</v>
      </c>
      <c r="AI284" s="78" t="s">
        <v>539</v>
      </c>
      <c r="AJ284" s="79" t="s">
        <v>539</v>
      </c>
      <c r="AK284" s="80">
        <v>46296</v>
      </c>
      <c r="AL284" s="80">
        <v>46356</v>
      </c>
      <c r="AM284" s="79"/>
      <c r="AN284" s="79"/>
      <c r="AO284" s="79"/>
      <c r="AP284" s="103" t="s">
        <v>547</v>
      </c>
      <c r="AQ284" s="80" t="str" cm="1">
        <f t="array" ref="AQ284">IFERROR(DATE(2026, _xlfn.AGGREGATE(15, 6, (COLUMN(CI284:CT284)-COLUMN(CI284)+1)/(CI284:CT284&lt;&gt;0), 1), 1),"N/A")</f>
        <v>N/A</v>
      </c>
      <c r="AR284" s="80" t="str" cm="1">
        <f t="array" ref="AR284">IFERROR(EOMONTH(DATE(2026, _xlfn.AGGREGATE(14, 6, (COLUMN(CI284:CT284)-COLUMN(CI284)+1)/(CI284:CT284&lt;&gt;0), 1), 1), 0),"N/A")</f>
        <v>N/A</v>
      </c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4" t="s">
        <v>1094</v>
      </c>
      <c r="BG284" s="74"/>
      <c r="BH284" s="74" t="s">
        <v>1096</v>
      </c>
      <c r="BI284" s="74" t="s">
        <v>137</v>
      </c>
      <c r="BJ284" s="78">
        <v>840107</v>
      </c>
      <c r="BK284" s="82" t="s">
        <v>703</v>
      </c>
      <c r="BL284" s="83">
        <v>0</v>
      </c>
      <c r="BM284" s="73"/>
      <c r="BN284" s="73"/>
      <c r="BO284" s="73"/>
      <c r="BP284" s="73"/>
      <c r="BQ284" s="73"/>
      <c r="BR284" s="73"/>
      <c r="BS284" s="73"/>
      <c r="BT284" s="73"/>
      <c r="BU284" s="73"/>
      <c r="BV284" s="84"/>
      <c r="BW284" s="73"/>
      <c r="BX284" s="73"/>
      <c r="BY284" s="73"/>
      <c r="BZ284" s="73"/>
      <c r="CA284" s="73">
        <v>17000</v>
      </c>
      <c r="CB284" s="154"/>
      <c r="CC284" s="154"/>
      <c r="CD284" s="73">
        <v>-17000</v>
      </c>
      <c r="CE284" s="73"/>
      <c r="CF284" s="73"/>
      <c r="CG284" s="73"/>
      <c r="CH284" s="73">
        <f t="shared" si="8"/>
        <v>0</v>
      </c>
      <c r="CI284" s="73"/>
      <c r="CJ284" s="73"/>
      <c r="CK284" s="72"/>
      <c r="CL284" s="73"/>
      <c r="CM284" s="73"/>
      <c r="CN284" s="73"/>
      <c r="CO284" s="73">
        <v>0</v>
      </c>
      <c r="CP284" s="73"/>
      <c r="CQ284" s="73"/>
      <c r="CR284" s="84"/>
      <c r="CS284" s="73"/>
      <c r="CT284" s="73"/>
      <c r="CU284" s="73"/>
      <c r="CV284" s="84">
        <f t="shared" si="9"/>
        <v>0</v>
      </c>
      <c r="CW284" s="84"/>
      <c r="CX284" s="74"/>
      <c r="CY284" s="74"/>
      <c r="CZ284" s="74"/>
      <c r="DA284" s="74"/>
      <c r="DB284" s="74"/>
      <c r="DC284" s="74"/>
      <c r="DD284" s="74"/>
    </row>
    <row r="285" spans="1:108" s="68" customFormat="1" ht="15" hidden="1" customHeight="1" x14ac:dyDescent="0.25">
      <c r="A285" s="74" t="s">
        <v>699</v>
      </c>
      <c r="B285" s="74" t="s">
        <v>154</v>
      </c>
      <c r="C285" s="74" t="s">
        <v>172</v>
      </c>
      <c r="D285" s="85" t="s">
        <v>196</v>
      </c>
      <c r="E285" s="74" t="s">
        <v>5</v>
      </c>
      <c r="F285" s="85" t="s">
        <v>551</v>
      </c>
      <c r="G285" s="74" t="s">
        <v>288</v>
      </c>
      <c r="H285" s="74" t="s">
        <v>552</v>
      </c>
      <c r="I285" s="74" t="s">
        <v>300</v>
      </c>
      <c r="J285" s="74" t="s">
        <v>529</v>
      </c>
      <c r="K285" s="82" t="s">
        <v>326</v>
      </c>
      <c r="L285" s="78" t="s">
        <v>559</v>
      </c>
      <c r="M285" s="78" t="s">
        <v>531</v>
      </c>
      <c r="N285" s="78" t="s">
        <v>7</v>
      </c>
      <c r="O285" s="97" t="s">
        <v>560</v>
      </c>
      <c r="P285" s="97" t="s">
        <v>715</v>
      </c>
      <c r="Q285" s="74" t="s">
        <v>763</v>
      </c>
      <c r="R285" s="74" t="s">
        <v>764</v>
      </c>
      <c r="S285" s="74" t="s">
        <v>765</v>
      </c>
      <c r="T285" s="74" t="s">
        <v>2</v>
      </c>
      <c r="U285" s="75">
        <v>0</v>
      </c>
      <c r="V285" s="75">
        <v>0</v>
      </c>
      <c r="W285" s="75">
        <v>0.85</v>
      </c>
      <c r="X285" s="75">
        <v>0.85</v>
      </c>
      <c r="Y285" s="75">
        <v>0.85</v>
      </c>
      <c r="Z285" s="75">
        <v>0.85</v>
      </c>
      <c r="AA285" s="75">
        <v>0.85</v>
      </c>
      <c r="AB285" s="75">
        <v>0.85</v>
      </c>
      <c r="AC285" s="75">
        <v>0.85</v>
      </c>
      <c r="AD285" s="75">
        <v>0.85</v>
      </c>
      <c r="AE285" s="75">
        <v>0.85</v>
      </c>
      <c r="AF285" s="75">
        <v>0.85</v>
      </c>
      <c r="AG285" s="74" t="s">
        <v>537</v>
      </c>
      <c r="AH285" s="74" t="s">
        <v>530</v>
      </c>
      <c r="AI285" s="78" t="s">
        <v>539</v>
      </c>
      <c r="AJ285" s="79" t="s">
        <v>539</v>
      </c>
      <c r="AK285" s="80">
        <v>46296</v>
      </c>
      <c r="AL285" s="80">
        <v>46356</v>
      </c>
      <c r="AM285" s="79"/>
      <c r="AN285" s="79"/>
      <c r="AO285" s="79"/>
      <c r="AP285" s="103" t="s">
        <v>547</v>
      </c>
      <c r="AQ285" s="80" t="str" cm="1">
        <f t="array" ref="AQ285">IFERROR(DATE(2026, _xlfn.AGGREGATE(15, 6, (COLUMN(CI285:CT285)-COLUMN(CI285)+1)/(CI285:CT285&lt;&gt;0), 1), 1),"N/A")</f>
        <v>N/A</v>
      </c>
      <c r="AR285" s="80" t="str" cm="1">
        <f t="array" ref="AR285">IFERROR(EOMONTH(DATE(2026, _xlfn.AGGREGATE(14, 6, (COLUMN(CI285:CT285)-COLUMN(CI285)+1)/(CI285:CT285&lt;&gt;0), 1), 1), 0),"N/A")</f>
        <v>N/A</v>
      </c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4" t="s">
        <v>1089</v>
      </c>
      <c r="BG285" s="74"/>
      <c r="BH285" s="74" t="s">
        <v>1090</v>
      </c>
      <c r="BI285" s="74" t="s">
        <v>1013</v>
      </c>
      <c r="BJ285" s="78">
        <v>730402</v>
      </c>
      <c r="BK285" s="82" t="s">
        <v>703</v>
      </c>
      <c r="BL285" s="83">
        <v>0</v>
      </c>
      <c r="BM285" s="73"/>
      <c r="BN285" s="73"/>
      <c r="BO285" s="73"/>
      <c r="BP285" s="73"/>
      <c r="BQ285" s="73"/>
      <c r="BR285" s="73"/>
      <c r="BS285" s="73"/>
      <c r="BT285" s="73"/>
      <c r="BU285" s="73"/>
      <c r="BV285" s="84"/>
      <c r="BW285" s="73"/>
      <c r="BX285" s="73"/>
      <c r="BY285" s="73"/>
      <c r="BZ285" s="73"/>
      <c r="CA285" s="73">
        <v>873356.17</v>
      </c>
      <c r="CB285" s="154">
        <v>-276504.40999999997</v>
      </c>
      <c r="CC285" s="154"/>
      <c r="CD285" s="73">
        <v>-596851.76</v>
      </c>
      <c r="CE285" s="73"/>
      <c r="CF285" s="73"/>
      <c r="CG285" s="73"/>
      <c r="CH285" s="73">
        <f t="shared" si="8"/>
        <v>0</v>
      </c>
      <c r="CI285" s="73"/>
      <c r="CJ285" s="73"/>
      <c r="CK285" s="72"/>
      <c r="CL285" s="73"/>
      <c r="CM285" s="73"/>
      <c r="CN285" s="73"/>
      <c r="CO285" s="73"/>
      <c r="CP285" s="73"/>
      <c r="CQ285" s="73"/>
      <c r="CR285" s="84"/>
      <c r="CS285" s="73"/>
      <c r="CT285" s="73"/>
      <c r="CU285" s="73"/>
      <c r="CV285" s="84">
        <f t="shared" si="9"/>
        <v>0</v>
      </c>
      <c r="CW285" s="84"/>
      <c r="CX285" s="74"/>
      <c r="CY285" s="74"/>
      <c r="CZ285" s="74"/>
      <c r="DA285" s="74"/>
      <c r="DB285" s="74"/>
      <c r="DC285" s="74"/>
      <c r="DD285" s="74"/>
    </row>
    <row r="286" spans="1:108" s="68" customFormat="1" ht="15" hidden="1" customHeight="1" x14ac:dyDescent="0.25">
      <c r="A286" s="74" t="s">
        <v>699</v>
      </c>
      <c r="B286" s="74" t="s">
        <v>154</v>
      </c>
      <c r="C286" s="74" t="s">
        <v>172</v>
      </c>
      <c r="D286" s="85" t="s">
        <v>196</v>
      </c>
      <c r="E286" s="74" t="s">
        <v>5</v>
      </c>
      <c r="F286" s="85" t="s">
        <v>551</v>
      </c>
      <c r="G286" s="74" t="s">
        <v>288</v>
      </c>
      <c r="H286" s="74" t="s">
        <v>552</v>
      </c>
      <c r="I286" s="74" t="s">
        <v>300</v>
      </c>
      <c r="J286" s="74" t="s">
        <v>529</v>
      </c>
      <c r="K286" s="82" t="s">
        <v>326</v>
      </c>
      <c r="L286" s="78" t="s">
        <v>559</v>
      </c>
      <c r="M286" s="78" t="s">
        <v>531</v>
      </c>
      <c r="N286" s="78" t="s">
        <v>7</v>
      </c>
      <c r="O286" s="97" t="s">
        <v>560</v>
      </c>
      <c r="P286" s="97" t="s">
        <v>715</v>
      </c>
      <c r="Q286" s="74" t="s">
        <v>763</v>
      </c>
      <c r="R286" s="74" t="s">
        <v>764</v>
      </c>
      <c r="S286" s="74" t="s">
        <v>765</v>
      </c>
      <c r="T286" s="74" t="s">
        <v>2</v>
      </c>
      <c r="U286" s="75">
        <v>0</v>
      </c>
      <c r="V286" s="75">
        <v>0</v>
      </c>
      <c r="W286" s="75">
        <v>0.85</v>
      </c>
      <c r="X286" s="75">
        <v>0.85</v>
      </c>
      <c r="Y286" s="75">
        <v>0.85</v>
      </c>
      <c r="Z286" s="75">
        <v>0.85</v>
      </c>
      <c r="AA286" s="75">
        <v>0.85</v>
      </c>
      <c r="AB286" s="75">
        <v>0.85</v>
      </c>
      <c r="AC286" s="75">
        <v>0.85</v>
      </c>
      <c r="AD286" s="75">
        <v>0.85</v>
      </c>
      <c r="AE286" s="75">
        <v>0.85</v>
      </c>
      <c r="AF286" s="75">
        <v>0.85</v>
      </c>
      <c r="AG286" s="74" t="s">
        <v>537</v>
      </c>
      <c r="AH286" s="74" t="s">
        <v>530</v>
      </c>
      <c r="AI286" s="78" t="s">
        <v>539</v>
      </c>
      <c r="AJ286" s="79" t="s">
        <v>539</v>
      </c>
      <c r="AK286" s="80">
        <v>46296</v>
      </c>
      <c r="AL286" s="80">
        <v>46356</v>
      </c>
      <c r="AM286" s="79"/>
      <c r="AN286" s="79"/>
      <c r="AO286" s="79"/>
      <c r="AP286" s="103" t="s">
        <v>547</v>
      </c>
      <c r="AQ286" s="80" t="str" cm="1">
        <f t="array" ref="AQ286">IFERROR(DATE(2026, _xlfn.AGGREGATE(15, 6, (COLUMN(CI286:CT286)-COLUMN(CI286)+1)/(CI286:CT286&lt;&gt;0), 1), 1),"N/A")</f>
        <v>N/A</v>
      </c>
      <c r="AR286" s="80" t="str" cm="1">
        <f t="array" ref="AR286">IFERROR(EOMONTH(DATE(2026, _xlfn.AGGREGATE(14, 6, (COLUMN(CI286:CT286)-COLUMN(CI286)+1)/(CI286:CT286&lt;&gt;0), 1), 1), 0),"N/A")</f>
        <v>N/A</v>
      </c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4" t="s">
        <v>1091</v>
      </c>
      <c r="BG286" s="74"/>
      <c r="BH286" s="74" t="s">
        <v>1092</v>
      </c>
      <c r="BI286" s="74" t="s">
        <v>1013</v>
      </c>
      <c r="BJ286" s="78">
        <v>730604</v>
      </c>
      <c r="BK286" s="82" t="s">
        <v>703</v>
      </c>
      <c r="BL286" s="83">
        <v>0</v>
      </c>
      <c r="BM286" s="73"/>
      <c r="BN286" s="73"/>
      <c r="BO286" s="73"/>
      <c r="BP286" s="73"/>
      <c r="BQ286" s="73"/>
      <c r="BR286" s="73"/>
      <c r="BS286" s="73"/>
      <c r="BT286" s="73"/>
      <c r="BU286" s="73"/>
      <c r="BV286" s="84"/>
      <c r="BW286" s="73"/>
      <c r="BX286" s="73"/>
      <c r="BY286" s="73"/>
      <c r="BZ286" s="73"/>
      <c r="CA286" s="73">
        <v>43667.81</v>
      </c>
      <c r="CB286" s="154"/>
      <c r="CC286" s="154"/>
      <c r="CD286" s="73">
        <v>-43667.81</v>
      </c>
      <c r="CE286" s="73"/>
      <c r="CF286" s="73"/>
      <c r="CG286" s="73"/>
      <c r="CH286" s="73">
        <f t="shared" si="8"/>
        <v>0</v>
      </c>
      <c r="CI286" s="73"/>
      <c r="CJ286" s="73"/>
      <c r="CK286" s="72"/>
      <c r="CL286" s="73"/>
      <c r="CM286" s="73"/>
      <c r="CN286" s="73"/>
      <c r="CO286" s="73"/>
      <c r="CP286" s="73"/>
      <c r="CQ286" s="73"/>
      <c r="CR286" s="84"/>
      <c r="CS286" s="73"/>
      <c r="CT286" s="73"/>
      <c r="CU286" s="73"/>
      <c r="CV286" s="84">
        <f t="shared" si="9"/>
        <v>0</v>
      </c>
      <c r="CW286" s="84"/>
      <c r="CX286" s="74"/>
      <c r="CY286" s="74"/>
      <c r="CZ286" s="74"/>
      <c r="DA286" s="74"/>
      <c r="DB286" s="74"/>
      <c r="DC286" s="74"/>
      <c r="DD286" s="74"/>
    </row>
    <row r="287" spans="1:108" s="68" customFormat="1" ht="15" hidden="1" customHeight="1" x14ac:dyDescent="0.25">
      <c r="A287" s="74" t="s">
        <v>1140</v>
      </c>
      <c r="B287" s="74" t="s">
        <v>154</v>
      </c>
      <c r="C287" s="74" t="s">
        <v>172</v>
      </c>
      <c r="D287" s="85" t="s">
        <v>196</v>
      </c>
      <c r="E287" s="74" t="s">
        <v>5</v>
      </c>
      <c r="F287" s="85" t="s">
        <v>551</v>
      </c>
      <c r="G287" s="74" t="s">
        <v>288</v>
      </c>
      <c r="H287" s="74" t="s">
        <v>552</v>
      </c>
      <c r="I287" s="74" t="s">
        <v>300</v>
      </c>
      <c r="J287" s="74" t="s">
        <v>529</v>
      </c>
      <c r="K287" s="82" t="s">
        <v>326</v>
      </c>
      <c r="L287" s="78" t="s">
        <v>559</v>
      </c>
      <c r="M287" s="78" t="s">
        <v>531</v>
      </c>
      <c r="N287" s="78" t="s">
        <v>7</v>
      </c>
      <c r="O287" s="97" t="s">
        <v>560</v>
      </c>
      <c r="P287" s="97" t="s">
        <v>715</v>
      </c>
      <c r="Q287" s="74" t="s">
        <v>763</v>
      </c>
      <c r="R287" s="74" t="s">
        <v>764</v>
      </c>
      <c r="S287" s="74" t="s">
        <v>765</v>
      </c>
      <c r="T287" s="74" t="s">
        <v>2</v>
      </c>
      <c r="U287" s="75">
        <v>0</v>
      </c>
      <c r="V287" s="75">
        <v>0</v>
      </c>
      <c r="W287" s="75">
        <v>0.85</v>
      </c>
      <c r="X287" s="75">
        <v>0.85</v>
      </c>
      <c r="Y287" s="75">
        <v>0.85</v>
      </c>
      <c r="Z287" s="75">
        <v>0.85</v>
      </c>
      <c r="AA287" s="75">
        <v>0.85</v>
      </c>
      <c r="AB287" s="75">
        <v>0.85</v>
      </c>
      <c r="AC287" s="75">
        <v>0.85</v>
      </c>
      <c r="AD287" s="75">
        <v>0.85</v>
      </c>
      <c r="AE287" s="75">
        <v>0.85</v>
      </c>
      <c r="AF287" s="75">
        <v>0.85</v>
      </c>
      <c r="AG287" s="74" t="s">
        <v>537</v>
      </c>
      <c r="AH287" s="74" t="s">
        <v>530</v>
      </c>
      <c r="AI287" s="78" t="s">
        <v>539</v>
      </c>
      <c r="AJ287" s="79" t="s">
        <v>539</v>
      </c>
      <c r="AK287" s="80">
        <v>46296</v>
      </c>
      <c r="AL287" s="80">
        <v>46356</v>
      </c>
      <c r="AM287" s="79"/>
      <c r="AN287" s="79"/>
      <c r="AO287" s="79"/>
      <c r="AP287" s="103" t="s">
        <v>547</v>
      </c>
      <c r="AQ287" s="80" t="str" cm="1">
        <f t="array" ref="AQ287">IFERROR(DATE(2026, _xlfn.AGGREGATE(15, 6, (COLUMN(CI287:CT287)-COLUMN(CI287)+1)/(CI287:CT287&lt;&gt;0), 1), 1),"N/A")</f>
        <v>N/A</v>
      </c>
      <c r="AR287" s="80" t="str" cm="1">
        <f t="array" ref="AR287">IFERROR(EOMONTH(DATE(2026, _xlfn.AGGREGATE(14, 6, (COLUMN(CI287:CT287)-COLUMN(CI287)+1)/(CI287:CT287&lt;&gt;0), 1), 1), 0),"N/A")</f>
        <v>N/A</v>
      </c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4" t="s">
        <v>684</v>
      </c>
      <c r="BG287" s="74"/>
      <c r="BH287" s="74" t="s">
        <v>944</v>
      </c>
      <c r="BI287" s="74" t="s">
        <v>137</v>
      </c>
      <c r="BJ287" s="78">
        <v>730702</v>
      </c>
      <c r="BK287" s="82" t="s">
        <v>703</v>
      </c>
      <c r="BL287" s="83">
        <v>148771</v>
      </c>
      <c r="BM287" s="73">
        <v>0</v>
      </c>
      <c r="BN287" s="73">
        <v>0</v>
      </c>
      <c r="BO287" s="73">
        <v>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84">
        <v>148771</v>
      </c>
      <c r="BW287" s="73">
        <v>0</v>
      </c>
      <c r="BX287" s="73">
        <v>0</v>
      </c>
      <c r="BY287" s="73">
        <v>-109524.49</v>
      </c>
      <c r="BZ287" s="73"/>
      <c r="CA287" s="73">
        <v>-39246.51</v>
      </c>
      <c r="CB287" s="73"/>
      <c r="CC287" s="73"/>
      <c r="CD287" s="73"/>
      <c r="CE287" s="73"/>
      <c r="CF287" s="73"/>
      <c r="CG287" s="73"/>
      <c r="CH287" s="73">
        <f t="shared" si="8"/>
        <v>-7.2759576141834259E-12</v>
      </c>
      <c r="CI287" s="73"/>
      <c r="CJ287" s="73"/>
      <c r="CK287" s="72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84"/>
      <c r="CS287" s="73">
        <v>0</v>
      </c>
      <c r="CT287" s="73">
        <v>0</v>
      </c>
      <c r="CU287" s="73"/>
      <c r="CV287" s="84">
        <f t="shared" si="9"/>
        <v>-7.2759576141834259E-12</v>
      </c>
      <c r="CW287" s="84"/>
      <c r="CX287" s="74"/>
      <c r="CY287" s="74"/>
      <c r="CZ287" s="74"/>
      <c r="DA287" s="74"/>
      <c r="DB287" s="74"/>
      <c r="DC287" s="74"/>
      <c r="DD287" s="74"/>
    </row>
    <row r="288" spans="1:108" s="68" customFormat="1" ht="244.9" hidden="1" customHeight="1" x14ac:dyDescent="0.25">
      <c r="A288" s="74" t="s">
        <v>692</v>
      </c>
      <c r="B288" s="74" t="s">
        <v>154</v>
      </c>
      <c r="C288" s="74" t="s">
        <v>172</v>
      </c>
      <c r="D288" s="85" t="s">
        <v>196</v>
      </c>
      <c r="E288" s="74" t="s">
        <v>5</v>
      </c>
      <c r="F288" s="85" t="s">
        <v>551</v>
      </c>
      <c r="G288" s="74" t="s">
        <v>288</v>
      </c>
      <c r="H288" s="74" t="s">
        <v>552</v>
      </c>
      <c r="I288" s="74" t="s">
        <v>300</v>
      </c>
      <c r="J288" s="74" t="s">
        <v>529</v>
      </c>
      <c r="K288" s="82" t="s">
        <v>326</v>
      </c>
      <c r="L288" s="78" t="s">
        <v>559</v>
      </c>
      <c r="M288" s="78" t="s">
        <v>531</v>
      </c>
      <c r="N288" s="78" t="s">
        <v>7</v>
      </c>
      <c r="O288" s="97" t="s">
        <v>560</v>
      </c>
      <c r="P288" s="78" t="s">
        <v>562</v>
      </c>
      <c r="Q288" s="74" t="s">
        <v>769</v>
      </c>
      <c r="R288" s="74" t="s">
        <v>770</v>
      </c>
      <c r="S288" s="74" t="s">
        <v>771</v>
      </c>
      <c r="T288" s="74" t="s">
        <v>2</v>
      </c>
      <c r="U288" s="75">
        <v>0</v>
      </c>
      <c r="V288" s="75">
        <v>0</v>
      </c>
      <c r="W288" s="75">
        <v>0.2</v>
      </c>
      <c r="X288" s="75">
        <v>0.2</v>
      </c>
      <c r="Y288" s="75">
        <v>0.2</v>
      </c>
      <c r="Z288" s="75">
        <v>0.4</v>
      </c>
      <c r="AA288" s="75">
        <v>0.4</v>
      </c>
      <c r="AB288" s="75">
        <v>0.4</v>
      </c>
      <c r="AC288" s="75">
        <v>0.7</v>
      </c>
      <c r="AD288" s="75">
        <v>0.7</v>
      </c>
      <c r="AE288" s="75">
        <v>0.7</v>
      </c>
      <c r="AF288" s="75">
        <v>1</v>
      </c>
      <c r="AG288" s="74" t="s">
        <v>538</v>
      </c>
      <c r="AH288" s="74" t="s">
        <v>530</v>
      </c>
      <c r="AI288" s="78" t="s">
        <v>539</v>
      </c>
      <c r="AJ288" s="79" t="s">
        <v>539</v>
      </c>
      <c r="AK288" s="80">
        <v>46174</v>
      </c>
      <c r="AL288" s="80">
        <v>46326</v>
      </c>
      <c r="AM288" s="79"/>
      <c r="AN288" s="79"/>
      <c r="AO288" s="79"/>
      <c r="AP288" s="103" t="s">
        <v>548</v>
      </c>
      <c r="AQ288" s="80" cm="1">
        <f t="array" ref="AQ288">IFERROR(DATE(2026, _xlfn.AGGREGATE(15, 6, (COLUMN(CI288:CT288)-COLUMN(CI288)+1)/(CI288:CT288&lt;&gt;0), 1), 1),"N/A")</f>
        <v>46266</v>
      </c>
      <c r="AR288" s="80" cm="1">
        <f t="array" ref="AR288">IFERROR(EOMONTH(DATE(2026, _xlfn.AGGREGATE(14, 6, (COLUMN(CI288:CT288)-COLUMN(CI288)+1)/(CI288:CT288&lt;&gt;0), 1), 1), 0),"N/A")</f>
        <v>46295</v>
      </c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85" t="s">
        <v>1163</v>
      </c>
      <c r="BG288" s="74"/>
      <c r="BH288" s="74" t="s">
        <v>1164</v>
      </c>
      <c r="BI288" s="74" t="s">
        <v>1013</v>
      </c>
      <c r="BJ288" s="78">
        <v>840107</v>
      </c>
      <c r="BK288" s="82" t="s">
        <v>703</v>
      </c>
      <c r="BL288" s="83"/>
      <c r="BM288" s="73"/>
      <c r="BN288" s="73"/>
      <c r="BO288" s="73"/>
      <c r="BP288" s="73"/>
      <c r="BQ288" s="73"/>
      <c r="BR288" s="84"/>
      <c r="BS288" s="84"/>
      <c r="BT288" s="84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>
        <v>80000</v>
      </c>
      <c r="CF288" s="73"/>
      <c r="CG288" s="73"/>
      <c r="CH288" s="73">
        <f t="shared" si="8"/>
        <v>80000</v>
      </c>
      <c r="CI288" s="73"/>
      <c r="CJ288" s="73"/>
      <c r="CK288" s="72"/>
      <c r="CL288" s="73"/>
      <c r="CM288" s="73"/>
      <c r="CN288" s="84"/>
      <c r="CO288" s="84"/>
      <c r="CP288" s="84"/>
      <c r="CQ288" s="73">
        <v>80000</v>
      </c>
      <c r="CR288" s="73"/>
      <c r="CS288" s="73"/>
      <c r="CT288" s="73"/>
      <c r="CU288" s="73"/>
      <c r="CV288" s="84">
        <f t="shared" si="9"/>
        <v>0</v>
      </c>
      <c r="CW288" s="137" t="s">
        <v>1248</v>
      </c>
      <c r="CX288" s="137" t="s">
        <v>1249</v>
      </c>
      <c r="CY288" s="137"/>
      <c r="CZ288" s="137" t="s">
        <v>1287</v>
      </c>
      <c r="DA288" s="137" t="s">
        <v>1332</v>
      </c>
      <c r="DB288" s="85" t="s">
        <v>1333</v>
      </c>
      <c r="DC288" s="85" t="s">
        <v>1334</v>
      </c>
      <c r="DD288" s="74"/>
    </row>
    <row r="289" spans="1:108" s="68" customFormat="1" ht="163.15" hidden="1" customHeight="1" x14ac:dyDescent="0.25">
      <c r="A289" s="74" t="s">
        <v>697</v>
      </c>
      <c r="B289" s="74" t="s">
        <v>154</v>
      </c>
      <c r="C289" s="74" t="s">
        <v>172</v>
      </c>
      <c r="D289" s="85" t="s">
        <v>196</v>
      </c>
      <c r="E289" s="74" t="s">
        <v>5</v>
      </c>
      <c r="F289" s="85" t="s">
        <v>551</v>
      </c>
      <c r="G289" s="74" t="s">
        <v>288</v>
      </c>
      <c r="H289" s="74" t="s">
        <v>552</v>
      </c>
      <c r="I289" s="74" t="s">
        <v>300</v>
      </c>
      <c r="J289" s="74" t="s">
        <v>529</v>
      </c>
      <c r="K289" s="82" t="s">
        <v>326</v>
      </c>
      <c r="L289" s="78" t="s">
        <v>559</v>
      </c>
      <c r="M289" s="78" t="s">
        <v>531</v>
      </c>
      <c r="N289" s="78" t="s">
        <v>7</v>
      </c>
      <c r="O289" s="97" t="s">
        <v>560</v>
      </c>
      <c r="P289" s="97" t="s">
        <v>561</v>
      </c>
      <c r="Q289" s="74" t="s">
        <v>766</v>
      </c>
      <c r="R289" s="74" t="s">
        <v>767</v>
      </c>
      <c r="S289" s="74" t="s">
        <v>768</v>
      </c>
      <c r="T289" s="74" t="s">
        <v>320</v>
      </c>
      <c r="U289" s="75"/>
      <c r="V289" s="75"/>
      <c r="W289" s="75">
        <v>0.05</v>
      </c>
      <c r="X289" s="75"/>
      <c r="Y289" s="75"/>
      <c r="Z289" s="75">
        <v>0.05</v>
      </c>
      <c r="AA289" s="75"/>
      <c r="AB289" s="75"/>
      <c r="AC289" s="75">
        <v>0.05</v>
      </c>
      <c r="AD289" s="75"/>
      <c r="AE289" s="75"/>
      <c r="AF289" s="75">
        <v>0.05</v>
      </c>
      <c r="AG289" s="74" t="s">
        <v>536</v>
      </c>
      <c r="AH289" s="74" t="s">
        <v>530</v>
      </c>
      <c r="AI289" s="78" t="s">
        <v>539</v>
      </c>
      <c r="AJ289" s="79" t="s">
        <v>539</v>
      </c>
      <c r="AK289" s="80">
        <v>46023</v>
      </c>
      <c r="AL289" s="80">
        <v>46387</v>
      </c>
      <c r="AM289" s="79"/>
      <c r="AN289" s="79"/>
      <c r="AO289" s="79"/>
      <c r="AP289" s="81" t="s">
        <v>546</v>
      </c>
      <c r="AQ289" s="80" cm="1">
        <f t="array" ref="AQ289">IFERROR(DATE(2026, _xlfn.AGGREGATE(15, 6, (COLUMN(CI289:CT289)-COLUMN(CI289)+1)/(CI289:CT289&lt;&gt;0), 1), 1),"N/A")</f>
        <v>46296</v>
      </c>
      <c r="AR289" s="80" cm="1">
        <f t="array" ref="AR289">IFERROR(EOMONTH(DATE(2026, _xlfn.AGGREGATE(14, 6, (COLUMN(CI289:CT289)-COLUMN(CI289)+1)/(CI289:CT289&lt;&gt;0), 1), 1), 0),"N/A")</f>
        <v>46387</v>
      </c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85" t="s">
        <v>1157</v>
      </c>
      <c r="BG289" s="74"/>
      <c r="BH289" s="74" t="s">
        <v>1130</v>
      </c>
      <c r="BI289" s="74" t="s">
        <v>1011</v>
      </c>
      <c r="BJ289" s="78">
        <v>730249</v>
      </c>
      <c r="BK289" s="82" t="s">
        <v>74</v>
      </c>
      <c r="BL289" s="8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84"/>
      <c r="BY289" s="84"/>
      <c r="BZ289" s="84"/>
      <c r="CA289" s="84"/>
      <c r="CB289" s="84"/>
      <c r="CC289" s="84">
        <v>70000</v>
      </c>
      <c r="CD289" s="84"/>
      <c r="CE289" s="84"/>
      <c r="CF289" s="84"/>
      <c r="CG289" s="84"/>
      <c r="CH289" s="73">
        <f t="shared" si="8"/>
        <v>70000</v>
      </c>
      <c r="CI289" s="73"/>
      <c r="CJ289" s="73"/>
      <c r="CK289" s="72"/>
      <c r="CL289" s="73"/>
      <c r="CM289" s="73"/>
      <c r="CN289" s="73"/>
      <c r="CO289" s="73"/>
      <c r="CP289" s="73"/>
      <c r="CQ289" s="73"/>
      <c r="CR289" s="73">
        <v>35000</v>
      </c>
      <c r="CS289" s="73"/>
      <c r="CT289" s="84">
        <v>35000</v>
      </c>
      <c r="CU289" s="84"/>
      <c r="CV289" s="84">
        <f t="shared" si="9"/>
        <v>0</v>
      </c>
      <c r="CW289" s="135" t="s">
        <v>1228</v>
      </c>
      <c r="CX289" s="135"/>
      <c r="CY289" s="135" t="s">
        <v>1228</v>
      </c>
      <c r="CZ289" s="135" t="s">
        <v>1273</v>
      </c>
      <c r="DA289" s="85" t="s">
        <v>1376</v>
      </c>
      <c r="DB289" s="74" t="s">
        <v>1377</v>
      </c>
      <c r="DC289" s="85" t="s">
        <v>1330</v>
      </c>
      <c r="DD289" s="85" t="s">
        <v>1326</v>
      </c>
    </row>
    <row r="290" spans="1:108" s="68" customFormat="1" ht="49.9" hidden="1" customHeight="1" x14ac:dyDescent="0.25">
      <c r="A290" s="85" t="s">
        <v>695</v>
      </c>
      <c r="B290" s="74" t="s">
        <v>154</v>
      </c>
      <c r="C290" s="74" t="s">
        <v>172</v>
      </c>
      <c r="D290" s="85" t="s">
        <v>196</v>
      </c>
      <c r="E290" s="74" t="s">
        <v>5</v>
      </c>
      <c r="F290" s="85" t="s">
        <v>551</v>
      </c>
      <c r="G290" s="74" t="s">
        <v>288</v>
      </c>
      <c r="H290" s="74" t="s">
        <v>552</v>
      </c>
      <c r="I290" s="74" t="s">
        <v>300</v>
      </c>
      <c r="J290" s="74" t="s">
        <v>529</v>
      </c>
      <c r="K290" s="82" t="s">
        <v>326</v>
      </c>
      <c r="L290" s="78" t="s">
        <v>559</v>
      </c>
      <c r="M290" s="78" t="s">
        <v>531</v>
      </c>
      <c r="N290" s="78" t="s">
        <v>7</v>
      </c>
      <c r="O290" s="97" t="s">
        <v>560</v>
      </c>
      <c r="P290" s="97" t="s">
        <v>561</v>
      </c>
      <c r="Q290" s="74" t="s">
        <v>766</v>
      </c>
      <c r="R290" s="74" t="s">
        <v>767</v>
      </c>
      <c r="S290" s="74" t="s">
        <v>768</v>
      </c>
      <c r="T290" s="74" t="s">
        <v>320</v>
      </c>
      <c r="U290" s="75"/>
      <c r="V290" s="75"/>
      <c r="W290" s="75">
        <v>0.05</v>
      </c>
      <c r="X290" s="75"/>
      <c r="Y290" s="75"/>
      <c r="Z290" s="75">
        <v>0.05</v>
      </c>
      <c r="AA290" s="75"/>
      <c r="AB290" s="75"/>
      <c r="AC290" s="75">
        <v>0.05</v>
      </c>
      <c r="AD290" s="75"/>
      <c r="AE290" s="75"/>
      <c r="AF290" s="75">
        <v>0.05</v>
      </c>
      <c r="AG290" s="74" t="s">
        <v>774</v>
      </c>
      <c r="AH290" s="74" t="s">
        <v>531</v>
      </c>
      <c r="AI290" s="78" t="s">
        <v>539</v>
      </c>
      <c r="AJ290" s="79" t="s">
        <v>539</v>
      </c>
      <c r="AK290" s="80">
        <v>46023</v>
      </c>
      <c r="AL290" s="80">
        <v>46387</v>
      </c>
      <c r="AM290" s="79"/>
      <c r="AN290" s="79"/>
      <c r="AO290" s="79"/>
      <c r="AP290" s="81" t="s">
        <v>775</v>
      </c>
      <c r="AQ290" s="80" cm="1">
        <f t="array" ref="AQ290">IFERROR(DATE(2026, _xlfn.AGGREGATE(15, 6, (COLUMN(CI290:CT290)-COLUMN(CI290)+1)/(CI290:CT290&lt;&gt;0), 1), 1),"N/A")</f>
        <v>46174</v>
      </c>
      <c r="AR290" s="80" cm="1">
        <f t="array" ref="AR290">IFERROR(EOMONTH(DATE(2026, _xlfn.AGGREGATE(14, 6, (COLUMN(CI290:CT290)-COLUMN(CI290)+1)/(CI290:CT290&lt;&gt;0), 1), 1), 0),"N/A")</f>
        <v>46387</v>
      </c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85" t="s">
        <v>655</v>
      </c>
      <c r="BG290" s="74"/>
      <c r="BH290" s="74" t="s">
        <v>940</v>
      </c>
      <c r="BI290" s="74" t="s">
        <v>1011</v>
      </c>
      <c r="BJ290" s="78">
        <v>730207</v>
      </c>
      <c r="BK290" s="82" t="s">
        <v>703</v>
      </c>
      <c r="BL290" s="76">
        <v>188000</v>
      </c>
      <c r="BM290" s="73">
        <v>0</v>
      </c>
      <c r="BN290" s="84">
        <v>19000</v>
      </c>
      <c r="BO290" s="84">
        <v>19000</v>
      </c>
      <c r="BP290" s="72">
        <v>19655</v>
      </c>
      <c r="BQ290" s="84">
        <v>19655</v>
      </c>
      <c r="BR290" s="84">
        <v>19655</v>
      </c>
      <c r="BS290" s="84">
        <v>19655</v>
      </c>
      <c r="BT290" s="84">
        <v>19655</v>
      </c>
      <c r="BU290" s="84">
        <v>19655</v>
      </c>
      <c r="BV290" s="84">
        <v>19655</v>
      </c>
      <c r="BW290" s="84">
        <v>12415</v>
      </c>
      <c r="BX290" s="73">
        <v>0</v>
      </c>
      <c r="BY290" s="73">
        <v>-130345</v>
      </c>
      <c r="BZ290" s="73"/>
      <c r="CA290" s="73"/>
      <c r="CB290" s="156"/>
      <c r="CC290" s="156"/>
      <c r="CD290" s="73"/>
      <c r="CE290" s="73"/>
      <c r="CF290" s="73"/>
      <c r="CG290" s="73"/>
      <c r="CH290" s="73">
        <f t="shared" si="8"/>
        <v>57655</v>
      </c>
      <c r="CI290" s="73"/>
      <c r="CJ290" s="84"/>
      <c r="CK290" s="84">
        <v>0</v>
      </c>
      <c r="CL290" s="84">
        <v>0</v>
      </c>
      <c r="CM290" s="122">
        <v>0</v>
      </c>
      <c r="CN290" s="84">
        <v>29150.15</v>
      </c>
      <c r="CO290" s="84">
        <v>21886.9</v>
      </c>
      <c r="CP290" s="84"/>
      <c r="CQ290" s="84"/>
      <c r="CR290" s="84"/>
      <c r="CS290" s="84"/>
      <c r="CT290" s="73">
        <v>6617.95</v>
      </c>
      <c r="CU290" s="73"/>
      <c r="CV290" s="84">
        <f t="shared" si="9"/>
        <v>0</v>
      </c>
      <c r="CW290" s="136" t="s">
        <v>1231</v>
      </c>
      <c r="CX290" s="137"/>
      <c r="CY290" s="137"/>
      <c r="CZ290" s="137" t="s">
        <v>1311</v>
      </c>
      <c r="DA290" s="137"/>
      <c r="DB290" s="74"/>
      <c r="DC290" s="74"/>
      <c r="DD290" s="74"/>
    </row>
    <row r="291" spans="1:108" s="68" customFormat="1" ht="183" hidden="1" customHeight="1" x14ac:dyDescent="0.25">
      <c r="A291" s="161" t="s">
        <v>693</v>
      </c>
      <c r="B291" s="74" t="s">
        <v>154</v>
      </c>
      <c r="C291" s="74" t="s">
        <v>172</v>
      </c>
      <c r="D291" s="85" t="s">
        <v>196</v>
      </c>
      <c r="E291" s="74" t="s">
        <v>5</v>
      </c>
      <c r="F291" s="85" t="s">
        <v>551</v>
      </c>
      <c r="G291" s="74" t="s">
        <v>288</v>
      </c>
      <c r="H291" s="74" t="s">
        <v>552</v>
      </c>
      <c r="I291" s="74" t="s">
        <v>300</v>
      </c>
      <c r="J291" s="74" t="s">
        <v>529</v>
      </c>
      <c r="K291" s="82" t="s">
        <v>326</v>
      </c>
      <c r="L291" s="78" t="s">
        <v>559</v>
      </c>
      <c r="M291" s="78" t="s">
        <v>531</v>
      </c>
      <c r="N291" s="78" t="s">
        <v>7</v>
      </c>
      <c r="O291" s="97" t="s">
        <v>560</v>
      </c>
      <c r="P291" s="97" t="s">
        <v>561</v>
      </c>
      <c r="Q291" s="74" t="s">
        <v>766</v>
      </c>
      <c r="R291" s="74" t="s">
        <v>767</v>
      </c>
      <c r="S291" s="74" t="s">
        <v>768</v>
      </c>
      <c r="T291" s="74" t="s">
        <v>320</v>
      </c>
      <c r="U291" s="75"/>
      <c r="V291" s="75"/>
      <c r="W291" s="75">
        <v>0.05</v>
      </c>
      <c r="X291" s="75"/>
      <c r="Y291" s="75"/>
      <c r="Z291" s="75">
        <v>0.05</v>
      </c>
      <c r="AA291" s="75"/>
      <c r="AB291" s="75"/>
      <c r="AC291" s="75">
        <v>0.05</v>
      </c>
      <c r="AD291" s="75"/>
      <c r="AE291" s="75"/>
      <c r="AF291" s="75">
        <v>0.05</v>
      </c>
      <c r="AG291" s="74" t="s">
        <v>536</v>
      </c>
      <c r="AH291" s="74" t="s">
        <v>530</v>
      </c>
      <c r="AI291" s="78" t="s">
        <v>539</v>
      </c>
      <c r="AJ291" s="79" t="s">
        <v>539</v>
      </c>
      <c r="AK291" s="80">
        <v>46023</v>
      </c>
      <c r="AL291" s="80">
        <v>46387</v>
      </c>
      <c r="AM291" s="79"/>
      <c r="AN291" s="79"/>
      <c r="AO291" s="79"/>
      <c r="AP291" s="81" t="s">
        <v>546</v>
      </c>
      <c r="AQ291" s="80" cm="1">
        <f t="array" ref="AQ291">IFERROR(DATE(2026, _xlfn.AGGREGATE(15, 6, (COLUMN(CI291:CT291)-COLUMN(CI291)+1)/(CI291:CT291&lt;&gt;0), 1), 1),"N/A")</f>
        <v>46296</v>
      </c>
      <c r="AR291" s="80" cm="1">
        <f t="array" ref="AR291">IFERROR(EOMONTH(DATE(2026, _xlfn.AGGREGATE(14, 6, (COLUMN(CI291:CT291)-COLUMN(CI291)+1)/(CI291:CT291&lt;&gt;0), 1), 1), 0),"N/A")</f>
        <v>46387</v>
      </c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4" t="s">
        <v>1157</v>
      </c>
      <c r="BG291" s="74"/>
      <c r="BH291" s="74" t="s">
        <v>1129</v>
      </c>
      <c r="BI291" s="74" t="s">
        <v>1011</v>
      </c>
      <c r="BJ291" s="78">
        <v>730249</v>
      </c>
      <c r="BK291" s="82" t="s">
        <v>74</v>
      </c>
      <c r="BL291" s="8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84"/>
      <c r="BY291" s="84"/>
      <c r="BZ291" s="84"/>
      <c r="CA291" s="84"/>
      <c r="CB291" s="84"/>
      <c r="CC291" s="84">
        <v>50000</v>
      </c>
      <c r="CD291" s="84"/>
      <c r="CE291" s="84"/>
      <c r="CF291" s="84"/>
      <c r="CG291" s="84"/>
      <c r="CH291" s="73">
        <f t="shared" si="8"/>
        <v>50000</v>
      </c>
      <c r="CI291" s="73"/>
      <c r="CJ291" s="73"/>
      <c r="CK291" s="72"/>
      <c r="CL291" s="73"/>
      <c r="CM291" s="73"/>
      <c r="CN291" s="73"/>
      <c r="CO291" s="73"/>
      <c r="CP291" s="73"/>
      <c r="CQ291" s="73"/>
      <c r="CR291" s="73">
        <v>10000</v>
      </c>
      <c r="CS291" s="73">
        <v>15000</v>
      </c>
      <c r="CT291" s="84">
        <v>25000</v>
      </c>
      <c r="CU291" s="84"/>
      <c r="CV291" s="84">
        <f t="shared" si="9"/>
        <v>0</v>
      </c>
      <c r="CW291" s="135" t="s">
        <v>1228</v>
      </c>
      <c r="CX291" s="137"/>
      <c r="CY291" s="135" t="s">
        <v>1260</v>
      </c>
      <c r="CZ291" s="135" t="s">
        <v>1281</v>
      </c>
      <c r="DA291" s="85" t="s">
        <v>1376</v>
      </c>
      <c r="DB291" s="74" t="s">
        <v>1377</v>
      </c>
      <c r="DC291" s="74"/>
      <c r="DD291" s="74"/>
    </row>
    <row r="292" spans="1:108" s="68" customFormat="1" ht="73.150000000000006" hidden="1" customHeight="1" x14ac:dyDescent="0.25">
      <c r="A292" s="74" t="s">
        <v>693</v>
      </c>
      <c r="B292" s="74" t="s">
        <v>154</v>
      </c>
      <c r="C292" s="74" t="s">
        <v>172</v>
      </c>
      <c r="D292" s="85" t="s">
        <v>196</v>
      </c>
      <c r="E292" s="74" t="s">
        <v>5</v>
      </c>
      <c r="F292" s="85" t="s">
        <v>551</v>
      </c>
      <c r="G292" s="74" t="s">
        <v>288</v>
      </c>
      <c r="H292" s="74" t="s">
        <v>552</v>
      </c>
      <c r="I292" s="74" t="s">
        <v>300</v>
      </c>
      <c r="J292" s="74" t="s">
        <v>529</v>
      </c>
      <c r="K292" s="82" t="s">
        <v>326</v>
      </c>
      <c r="L292" s="78" t="s">
        <v>559</v>
      </c>
      <c r="M292" s="78" t="s">
        <v>531</v>
      </c>
      <c r="N292" s="78" t="s">
        <v>7</v>
      </c>
      <c r="O292" s="97" t="s">
        <v>560</v>
      </c>
      <c r="P292" s="97" t="s">
        <v>561</v>
      </c>
      <c r="Q292" s="74" t="s">
        <v>766</v>
      </c>
      <c r="R292" s="74" t="s">
        <v>767</v>
      </c>
      <c r="S292" s="74" t="s">
        <v>768</v>
      </c>
      <c r="T292" s="74" t="s">
        <v>320</v>
      </c>
      <c r="U292" s="75"/>
      <c r="V292" s="75"/>
      <c r="W292" s="75">
        <v>0.05</v>
      </c>
      <c r="X292" s="75"/>
      <c r="Y292" s="75"/>
      <c r="Z292" s="75">
        <v>0.05</v>
      </c>
      <c r="AA292" s="75"/>
      <c r="AB292" s="75"/>
      <c r="AC292" s="75">
        <v>0.05</v>
      </c>
      <c r="AD292" s="75"/>
      <c r="AE292" s="75"/>
      <c r="AF292" s="75">
        <v>0.05</v>
      </c>
      <c r="AG292" s="74" t="s">
        <v>774</v>
      </c>
      <c r="AH292" s="74" t="s">
        <v>531</v>
      </c>
      <c r="AI292" s="78" t="s">
        <v>539</v>
      </c>
      <c r="AJ292" s="79" t="s">
        <v>539</v>
      </c>
      <c r="AK292" s="80">
        <v>46023</v>
      </c>
      <c r="AL292" s="80">
        <v>46387</v>
      </c>
      <c r="AM292" s="79"/>
      <c r="AN292" s="79"/>
      <c r="AO292" s="79"/>
      <c r="AP292" s="103" t="s">
        <v>775</v>
      </c>
      <c r="AQ292" s="80" cm="1">
        <f t="array" ref="AQ292">IFERROR(DATE(2026, _xlfn.AGGREGATE(15, 6, (COLUMN(CI292:CT292)-COLUMN(CI292)+1)/(CI292:CT292&lt;&gt;0), 1), 1),"N/A")</f>
        <v>46054</v>
      </c>
      <c r="AR292" s="80" cm="1">
        <f t="array" ref="AR292">IFERROR(EOMONTH(DATE(2026, _xlfn.AGGREGATE(14, 6, (COLUMN(CI292:CT292)-COLUMN(CI292)+1)/(CI292:CT292&lt;&gt;0), 1), 1), 0),"N/A")</f>
        <v>46234</v>
      </c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4" t="s">
        <v>655</v>
      </c>
      <c r="BG292" s="74"/>
      <c r="BH292" s="74" t="s">
        <v>729</v>
      </c>
      <c r="BI292" s="74" t="s">
        <v>1011</v>
      </c>
      <c r="BJ292" s="78">
        <v>730207</v>
      </c>
      <c r="BK292" s="82" t="s">
        <v>703</v>
      </c>
      <c r="BL292" s="83">
        <v>18000</v>
      </c>
      <c r="BM292" s="73">
        <v>0</v>
      </c>
      <c r="BN292" s="73">
        <v>0</v>
      </c>
      <c r="BO292" s="84">
        <v>2000</v>
      </c>
      <c r="BP292" s="72">
        <v>2000</v>
      </c>
      <c r="BQ292" s="84">
        <v>2000</v>
      </c>
      <c r="BR292" s="84">
        <v>2000</v>
      </c>
      <c r="BS292" s="84">
        <v>2000</v>
      </c>
      <c r="BT292" s="84">
        <v>2000</v>
      </c>
      <c r="BU292" s="84">
        <v>2000</v>
      </c>
      <c r="BV292" s="84">
        <v>2000</v>
      </c>
      <c r="BW292" s="84">
        <v>2000</v>
      </c>
      <c r="BX292" s="73">
        <v>0</v>
      </c>
      <c r="BY292" s="73">
        <v>30977.5</v>
      </c>
      <c r="BZ292" s="73"/>
      <c r="CA292" s="73"/>
      <c r="CB292" s="156"/>
      <c r="CC292" s="156"/>
      <c r="CD292" s="73"/>
      <c r="CE292" s="73"/>
      <c r="CF292" s="73"/>
      <c r="CG292" s="73"/>
      <c r="CH292" s="73">
        <f t="shared" si="8"/>
        <v>48977.5</v>
      </c>
      <c r="CI292" s="73"/>
      <c r="CJ292" s="73">
        <v>8162.91</v>
      </c>
      <c r="CK292" s="111">
        <v>8162.91</v>
      </c>
      <c r="CL292" s="73">
        <v>8162.92</v>
      </c>
      <c r="CM292" s="121">
        <v>8162.92</v>
      </c>
      <c r="CN292" s="102">
        <v>8162.92</v>
      </c>
      <c r="CO292" s="102">
        <v>8162.92</v>
      </c>
      <c r="CP292" s="84"/>
      <c r="CQ292" s="84"/>
      <c r="CR292" s="84"/>
      <c r="CS292" s="84"/>
      <c r="CT292" s="73"/>
      <c r="CU292" s="73"/>
      <c r="CV292" s="84">
        <f t="shared" si="9"/>
        <v>0</v>
      </c>
      <c r="CW292" s="84" t="s">
        <v>1231</v>
      </c>
      <c r="CX292" s="137"/>
      <c r="CY292" s="137" t="s">
        <v>1263</v>
      </c>
      <c r="CZ292" s="137" t="s">
        <v>1263</v>
      </c>
      <c r="DA292" s="137"/>
      <c r="DB292" s="74"/>
      <c r="DC292" s="74"/>
      <c r="DD292" s="74"/>
    </row>
    <row r="293" spans="1:108" s="68" customFormat="1" ht="300" hidden="1" x14ac:dyDescent="0.25">
      <c r="A293" s="74" t="s">
        <v>692</v>
      </c>
      <c r="B293" s="74" t="s">
        <v>154</v>
      </c>
      <c r="C293" s="74" t="s">
        <v>172</v>
      </c>
      <c r="D293" s="85" t="s">
        <v>196</v>
      </c>
      <c r="E293" s="74" t="s">
        <v>5</v>
      </c>
      <c r="F293" s="85" t="s">
        <v>551</v>
      </c>
      <c r="G293" s="74" t="s">
        <v>288</v>
      </c>
      <c r="H293" s="74" t="s">
        <v>552</v>
      </c>
      <c r="I293" s="74" t="s">
        <v>300</v>
      </c>
      <c r="J293" s="74" t="s">
        <v>529</v>
      </c>
      <c r="K293" s="82" t="s">
        <v>326</v>
      </c>
      <c r="L293" s="78" t="s">
        <v>559</v>
      </c>
      <c r="M293" s="78" t="s">
        <v>531</v>
      </c>
      <c r="N293" s="78" t="s">
        <v>7</v>
      </c>
      <c r="O293" s="97" t="s">
        <v>560</v>
      </c>
      <c r="P293" s="78" t="s">
        <v>562</v>
      </c>
      <c r="Q293" s="74" t="s">
        <v>769</v>
      </c>
      <c r="R293" s="74" t="s">
        <v>770</v>
      </c>
      <c r="S293" s="74" t="s">
        <v>771</v>
      </c>
      <c r="T293" s="74" t="s">
        <v>2</v>
      </c>
      <c r="U293" s="75">
        <v>0</v>
      </c>
      <c r="V293" s="75">
        <v>0</v>
      </c>
      <c r="W293" s="75">
        <v>0.2</v>
      </c>
      <c r="X293" s="75">
        <v>0.2</v>
      </c>
      <c r="Y293" s="75">
        <v>0.2</v>
      </c>
      <c r="Z293" s="75">
        <v>0.4</v>
      </c>
      <c r="AA293" s="75">
        <v>0.4</v>
      </c>
      <c r="AB293" s="75">
        <v>0.4</v>
      </c>
      <c r="AC293" s="75">
        <v>0.7</v>
      </c>
      <c r="AD293" s="75">
        <v>0.7</v>
      </c>
      <c r="AE293" s="75">
        <v>0.7</v>
      </c>
      <c r="AF293" s="75">
        <v>1</v>
      </c>
      <c r="AG293" s="74" t="s">
        <v>538</v>
      </c>
      <c r="AH293" s="74" t="s">
        <v>530</v>
      </c>
      <c r="AI293" s="78" t="s">
        <v>539</v>
      </c>
      <c r="AJ293" s="79" t="s">
        <v>539</v>
      </c>
      <c r="AK293" s="80">
        <v>46174</v>
      </c>
      <c r="AL293" s="80">
        <v>46326</v>
      </c>
      <c r="AM293" s="79"/>
      <c r="AN293" s="79"/>
      <c r="AO293" s="79"/>
      <c r="AP293" s="103" t="s">
        <v>548</v>
      </c>
      <c r="AQ293" s="80" cm="1">
        <f t="array" ref="AQ293">IFERROR(DATE(2026, _xlfn.AGGREGATE(15, 6, (COLUMN(CI293:CT293)-COLUMN(CI293)+1)/(CI293:CT293&lt;&gt;0), 1), 1),"N/A")</f>
        <v>46296</v>
      </c>
      <c r="AR293" s="80" cm="1">
        <f t="array" ref="AR293">IFERROR(EOMONTH(DATE(2026, _xlfn.AGGREGATE(14, 6, (COLUMN(CI293:CT293)-COLUMN(CI293)+1)/(CI293:CT293&lt;&gt;0), 1), 1), 0),"N/A")</f>
        <v>46356</v>
      </c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85" t="s">
        <v>1163</v>
      </c>
      <c r="BG293" s="74"/>
      <c r="BH293" s="74" t="s">
        <v>1166</v>
      </c>
      <c r="BI293" s="74" t="s">
        <v>1013</v>
      </c>
      <c r="BJ293" s="78">
        <v>840103</v>
      </c>
      <c r="BK293" s="82" t="s">
        <v>703</v>
      </c>
      <c r="BL293" s="83"/>
      <c r="BM293" s="73"/>
      <c r="BN293" s="73"/>
      <c r="BO293" s="73"/>
      <c r="BP293" s="73"/>
      <c r="BQ293" s="73"/>
      <c r="BR293" s="84"/>
      <c r="BS293" s="84"/>
      <c r="BT293" s="84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>
        <v>40000</v>
      </c>
      <c r="CF293" s="73"/>
      <c r="CG293" s="73"/>
      <c r="CH293" s="73">
        <f t="shared" si="8"/>
        <v>40000</v>
      </c>
      <c r="CI293" s="73"/>
      <c r="CJ293" s="73"/>
      <c r="CK293" s="72"/>
      <c r="CL293" s="73"/>
      <c r="CM293" s="73"/>
      <c r="CN293" s="84"/>
      <c r="CO293" s="84"/>
      <c r="CP293" s="84"/>
      <c r="CQ293" s="73"/>
      <c r="CR293" s="73">
        <v>20000</v>
      </c>
      <c r="CS293" s="73">
        <v>20000</v>
      </c>
      <c r="CT293" s="73"/>
      <c r="CU293" s="73"/>
      <c r="CV293" s="84">
        <f t="shared" si="9"/>
        <v>0</v>
      </c>
      <c r="CW293" s="137" t="s">
        <v>1244</v>
      </c>
      <c r="CX293" s="137" t="s">
        <v>1249</v>
      </c>
      <c r="CY293" s="137" t="s">
        <v>1249</v>
      </c>
      <c r="CZ293" s="137" t="s">
        <v>1288</v>
      </c>
      <c r="DA293" s="137" t="s">
        <v>1332</v>
      </c>
      <c r="DB293" s="85" t="s">
        <v>1333</v>
      </c>
      <c r="DC293" s="85" t="s">
        <v>1334</v>
      </c>
      <c r="DD293" s="74"/>
    </row>
    <row r="294" spans="1:108" s="68" customFormat="1" ht="15" hidden="1" customHeight="1" x14ac:dyDescent="0.25">
      <c r="A294" s="74" t="s">
        <v>689</v>
      </c>
      <c r="B294" s="74" t="s">
        <v>154</v>
      </c>
      <c r="C294" s="74" t="s">
        <v>172</v>
      </c>
      <c r="D294" s="85" t="s">
        <v>196</v>
      </c>
      <c r="E294" s="74" t="s">
        <v>5</v>
      </c>
      <c r="F294" s="85" t="s">
        <v>551</v>
      </c>
      <c r="G294" s="74" t="s">
        <v>288</v>
      </c>
      <c r="H294" s="74" t="s">
        <v>552</v>
      </c>
      <c r="I294" s="74" t="s">
        <v>300</v>
      </c>
      <c r="J294" s="74" t="s">
        <v>529</v>
      </c>
      <c r="K294" s="82" t="s">
        <v>326</v>
      </c>
      <c r="L294" s="78" t="s">
        <v>559</v>
      </c>
      <c r="M294" s="78" t="s">
        <v>531</v>
      </c>
      <c r="N294" s="78" t="s">
        <v>7</v>
      </c>
      <c r="O294" s="97" t="s">
        <v>560</v>
      </c>
      <c r="P294" s="97" t="s">
        <v>561</v>
      </c>
      <c r="Q294" s="74" t="s">
        <v>766</v>
      </c>
      <c r="R294" s="74" t="s">
        <v>767</v>
      </c>
      <c r="S294" s="74" t="s">
        <v>768</v>
      </c>
      <c r="T294" s="74" t="s">
        <v>320</v>
      </c>
      <c r="U294" s="75"/>
      <c r="V294" s="75"/>
      <c r="W294" s="75">
        <v>0.05</v>
      </c>
      <c r="X294" s="75"/>
      <c r="Y294" s="75"/>
      <c r="Z294" s="75">
        <v>0.05</v>
      </c>
      <c r="AA294" s="75"/>
      <c r="AB294" s="75"/>
      <c r="AC294" s="75">
        <v>0.05</v>
      </c>
      <c r="AD294" s="75"/>
      <c r="AE294" s="75"/>
      <c r="AF294" s="75">
        <v>0.05</v>
      </c>
      <c r="AG294" s="74" t="s">
        <v>536</v>
      </c>
      <c r="AH294" s="74" t="s">
        <v>530</v>
      </c>
      <c r="AI294" s="78" t="s">
        <v>539</v>
      </c>
      <c r="AJ294" s="79" t="s">
        <v>539</v>
      </c>
      <c r="AK294" s="80">
        <v>46023</v>
      </c>
      <c r="AL294" s="80">
        <v>46387</v>
      </c>
      <c r="AM294" s="79"/>
      <c r="AN294" s="79"/>
      <c r="AO294" s="79"/>
      <c r="AP294" s="81" t="s">
        <v>544</v>
      </c>
      <c r="AQ294" s="80" cm="1">
        <f t="array" ref="AQ294">IFERROR(DATE(2026, _xlfn.AGGREGATE(15, 6, (COLUMN(CI294:CT294)-COLUMN(CI294)+1)/(CI294:CT294&lt;&gt;0), 1), 1),"N/A")</f>
        <v>46023</v>
      </c>
      <c r="AR294" s="80" cm="1">
        <f t="array" ref="AR294">IFERROR(EOMONTH(DATE(2026, _xlfn.AGGREGATE(14, 6, (COLUMN(CI294:CT294)-COLUMN(CI294)+1)/(CI294:CT294&lt;&gt;0), 1), 1), 0),"N/A")</f>
        <v>46387</v>
      </c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4" t="s">
        <v>681</v>
      </c>
      <c r="BG294" s="74"/>
      <c r="BH294" s="74" t="s">
        <v>938</v>
      </c>
      <c r="BI294" s="74" t="s">
        <v>137</v>
      </c>
      <c r="BJ294" s="78">
        <v>710510</v>
      </c>
      <c r="BK294" s="82" t="s">
        <v>703</v>
      </c>
      <c r="BL294" s="83">
        <v>114600</v>
      </c>
      <c r="BM294" s="84">
        <v>9550</v>
      </c>
      <c r="BN294" s="84">
        <v>9550</v>
      </c>
      <c r="BO294" s="84">
        <v>9550</v>
      </c>
      <c r="BP294" s="72">
        <v>9550</v>
      </c>
      <c r="BQ294" s="84">
        <v>9550</v>
      </c>
      <c r="BR294" s="84">
        <v>9550</v>
      </c>
      <c r="BS294" s="84">
        <v>9550</v>
      </c>
      <c r="BT294" s="84">
        <v>9550</v>
      </c>
      <c r="BU294" s="84">
        <v>9550</v>
      </c>
      <c r="BV294" s="84">
        <v>9550</v>
      </c>
      <c r="BW294" s="84">
        <v>9550</v>
      </c>
      <c r="BX294" s="84">
        <v>9550</v>
      </c>
      <c r="BY294" s="84"/>
      <c r="BZ294" s="84">
        <v>977.98</v>
      </c>
      <c r="CA294" s="84">
        <v>-89081.07</v>
      </c>
      <c r="CB294" s="157"/>
      <c r="CC294" s="157"/>
      <c r="CD294" s="84">
        <v>8877.8700000000008</v>
      </c>
      <c r="CE294" s="84"/>
      <c r="CF294" s="84"/>
      <c r="CG294" s="84"/>
      <c r="CH294" s="73">
        <f t="shared" si="8"/>
        <v>35374.779999999992</v>
      </c>
      <c r="CI294" s="84">
        <v>8994.91</v>
      </c>
      <c r="CJ294" s="84">
        <v>8751</v>
      </c>
      <c r="CK294" s="84">
        <v>8751</v>
      </c>
      <c r="CL294" s="84"/>
      <c r="CM294" s="84"/>
      <c r="CN294" s="84">
        <v>1005.87</v>
      </c>
      <c r="CO294" s="84">
        <v>1312</v>
      </c>
      <c r="CP294" s="84">
        <v>1312</v>
      </c>
      <c r="CQ294" s="84">
        <v>1312</v>
      </c>
      <c r="CR294" s="84">
        <v>1312</v>
      </c>
      <c r="CS294" s="84">
        <v>1312</v>
      </c>
      <c r="CT294" s="84">
        <v>1312</v>
      </c>
      <c r="CU294" s="84"/>
      <c r="CV294" s="84">
        <f t="shared" si="9"/>
        <v>0</v>
      </c>
      <c r="CW294" s="84"/>
      <c r="CX294" s="137"/>
      <c r="CY294" s="137"/>
      <c r="CZ294" s="137"/>
      <c r="DA294" s="137"/>
      <c r="DB294" s="74"/>
      <c r="DC294" s="74"/>
      <c r="DD294" s="74"/>
    </row>
    <row r="295" spans="1:108" s="68" customFormat="1" ht="15" hidden="1" customHeight="1" x14ac:dyDescent="0.25">
      <c r="A295" s="74" t="s">
        <v>690</v>
      </c>
      <c r="B295" s="74" t="s">
        <v>154</v>
      </c>
      <c r="C295" s="74" t="s">
        <v>172</v>
      </c>
      <c r="D295" s="85" t="s">
        <v>196</v>
      </c>
      <c r="E295" s="74" t="s">
        <v>5</v>
      </c>
      <c r="F295" s="85" t="s">
        <v>551</v>
      </c>
      <c r="G295" s="74" t="s">
        <v>288</v>
      </c>
      <c r="H295" s="74" t="s">
        <v>552</v>
      </c>
      <c r="I295" s="74" t="s">
        <v>300</v>
      </c>
      <c r="J295" s="74" t="s">
        <v>529</v>
      </c>
      <c r="K295" s="82" t="s">
        <v>326</v>
      </c>
      <c r="L295" s="78" t="s">
        <v>559</v>
      </c>
      <c r="M295" s="78" t="s">
        <v>531</v>
      </c>
      <c r="N295" s="78" t="s">
        <v>7</v>
      </c>
      <c r="O295" s="97" t="s">
        <v>560</v>
      </c>
      <c r="P295" s="78" t="s">
        <v>562</v>
      </c>
      <c r="Q295" s="74" t="s">
        <v>769</v>
      </c>
      <c r="R295" s="74" t="s">
        <v>770</v>
      </c>
      <c r="S295" s="74" t="s">
        <v>771</v>
      </c>
      <c r="T295" s="74" t="s">
        <v>2</v>
      </c>
      <c r="U295" s="75">
        <v>0</v>
      </c>
      <c r="V295" s="75">
        <v>0</v>
      </c>
      <c r="W295" s="75">
        <v>0.2</v>
      </c>
      <c r="X295" s="75">
        <v>0.2</v>
      </c>
      <c r="Y295" s="75">
        <v>0.2</v>
      </c>
      <c r="Z295" s="75">
        <v>0.4</v>
      </c>
      <c r="AA295" s="75">
        <v>0.4</v>
      </c>
      <c r="AB295" s="75">
        <v>0.4</v>
      </c>
      <c r="AC295" s="75">
        <v>0.7</v>
      </c>
      <c r="AD295" s="75">
        <v>0.7</v>
      </c>
      <c r="AE295" s="75">
        <v>0.7</v>
      </c>
      <c r="AF295" s="75">
        <v>1</v>
      </c>
      <c r="AG295" s="74" t="s">
        <v>538</v>
      </c>
      <c r="AH295" s="74" t="s">
        <v>530</v>
      </c>
      <c r="AI295" s="78" t="s">
        <v>539</v>
      </c>
      <c r="AJ295" s="79" t="s">
        <v>539</v>
      </c>
      <c r="AK295" s="80">
        <v>46174</v>
      </c>
      <c r="AL295" s="80">
        <v>46326</v>
      </c>
      <c r="AM295" s="79"/>
      <c r="AN295" s="79"/>
      <c r="AO295" s="79"/>
      <c r="AP295" s="103" t="s">
        <v>548</v>
      </c>
      <c r="AQ295" s="80" t="str" cm="1">
        <f t="array" ref="AQ295">IFERROR(DATE(2026, _xlfn.AGGREGATE(15, 6, (COLUMN(CI295:CT295)-COLUMN(CI295)+1)/(CI295:CT295&lt;&gt;0), 1), 1),"N/A")</f>
        <v>N/A</v>
      </c>
      <c r="AR295" s="80" t="str" cm="1">
        <f t="array" ref="AR295">IFERROR(EOMONTH(DATE(2026, _xlfn.AGGREGATE(14, 6, (COLUMN(CI295:CT295)-COLUMN(CI295)+1)/(CI295:CT295&lt;&gt;0), 1), 1), 0),"N/A")</f>
        <v>N/A</v>
      </c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4" t="s">
        <v>1086</v>
      </c>
      <c r="BG295" s="74"/>
      <c r="BH295" s="74" t="s">
        <v>1087</v>
      </c>
      <c r="BI295" s="74" t="s">
        <v>137</v>
      </c>
      <c r="BJ295" s="78">
        <v>840103</v>
      </c>
      <c r="BK295" s="82" t="s">
        <v>703</v>
      </c>
      <c r="BL295" s="83">
        <v>0</v>
      </c>
      <c r="BM295" s="73"/>
      <c r="BN295" s="73"/>
      <c r="BO295" s="73"/>
      <c r="BP295" s="73"/>
      <c r="BQ295" s="73"/>
      <c r="BR295" s="84"/>
      <c r="BS295" s="84"/>
      <c r="BT295" s="84"/>
      <c r="BU295" s="73"/>
      <c r="BV295" s="73"/>
      <c r="BW295" s="73"/>
      <c r="BX295" s="73"/>
      <c r="BY295" s="73"/>
      <c r="BZ295" s="73"/>
      <c r="CA295" s="73">
        <v>18000</v>
      </c>
      <c r="CB295" s="154"/>
      <c r="CC295" s="154"/>
      <c r="CD295" s="73">
        <v>-18000</v>
      </c>
      <c r="CE295" s="73"/>
      <c r="CF295" s="73"/>
      <c r="CG295" s="73"/>
      <c r="CH295" s="73">
        <f t="shared" si="8"/>
        <v>0</v>
      </c>
      <c r="CI295" s="73"/>
      <c r="CJ295" s="73"/>
      <c r="CK295" s="72"/>
      <c r="CL295" s="73"/>
      <c r="CM295" s="73"/>
      <c r="CN295" s="84"/>
      <c r="CO295" s="84"/>
      <c r="CP295" s="84"/>
      <c r="CQ295" s="73"/>
      <c r="CR295" s="73"/>
      <c r="CS295" s="73"/>
      <c r="CT295" s="73"/>
      <c r="CU295" s="73"/>
      <c r="CV295" s="84">
        <f t="shared" si="9"/>
        <v>0</v>
      </c>
      <c r="CW295" s="84"/>
      <c r="CX295" s="137"/>
      <c r="CY295" s="137"/>
      <c r="CZ295" s="137"/>
      <c r="DA295" s="137"/>
      <c r="DB295" s="74"/>
      <c r="DC295" s="74"/>
      <c r="DD295" s="74"/>
    </row>
    <row r="296" spans="1:108" s="68" customFormat="1" ht="15" hidden="1" customHeight="1" x14ac:dyDescent="0.25">
      <c r="A296" s="74" t="s">
        <v>692</v>
      </c>
      <c r="B296" s="74" t="s">
        <v>154</v>
      </c>
      <c r="C296" s="74" t="s">
        <v>172</v>
      </c>
      <c r="D296" s="85" t="s">
        <v>196</v>
      </c>
      <c r="E296" s="74" t="s">
        <v>5</v>
      </c>
      <c r="F296" s="85" t="s">
        <v>551</v>
      </c>
      <c r="G296" s="74" t="s">
        <v>288</v>
      </c>
      <c r="H296" s="74" t="s">
        <v>552</v>
      </c>
      <c r="I296" s="74" t="s">
        <v>300</v>
      </c>
      <c r="J296" s="74" t="s">
        <v>529</v>
      </c>
      <c r="K296" s="82" t="s">
        <v>326</v>
      </c>
      <c r="L296" s="78" t="s">
        <v>559</v>
      </c>
      <c r="M296" s="78" t="s">
        <v>531</v>
      </c>
      <c r="N296" s="78" t="s">
        <v>7</v>
      </c>
      <c r="O296" s="97" t="s">
        <v>560</v>
      </c>
      <c r="P296" s="78" t="s">
        <v>562</v>
      </c>
      <c r="Q296" s="74" t="s">
        <v>769</v>
      </c>
      <c r="R296" s="74" t="s">
        <v>770</v>
      </c>
      <c r="S296" s="74" t="s">
        <v>771</v>
      </c>
      <c r="T296" s="74" t="s">
        <v>2</v>
      </c>
      <c r="U296" s="75">
        <v>0</v>
      </c>
      <c r="V296" s="75">
        <v>0</v>
      </c>
      <c r="W296" s="75">
        <v>0.2</v>
      </c>
      <c r="X296" s="75">
        <v>0.2</v>
      </c>
      <c r="Y296" s="75">
        <v>0.2</v>
      </c>
      <c r="Z296" s="75">
        <v>0.4</v>
      </c>
      <c r="AA296" s="75">
        <v>0.4</v>
      </c>
      <c r="AB296" s="75">
        <v>0.4</v>
      </c>
      <c r="AC296" s="75">
        <v>0.7</v>
      </c>
      <c r="AD296" s="75">
        <v>0.7</v>
      </c>
      <c r="AE296" s="75">
        <v>0.7</v>
      </c>
      <c r="AF296" s="75">
        <v>1</v>
      </c>
      <c r="AG296" s="74" t="s">
        <v>538</v>
      </c>
      <c r="AH296" s="74" t="s">
        <v>530</v>
      </c>
      <c r="AI296" s="78" t="s">
        <v>539</v>
      </c>
      <c r="AJ296" s="79" t="s">
        <v>539</v>
      </c>
      <c r="AK296" s="80">
        <v>46174</v>
      </c>
      <c r="AL296" s="80">
        <v>46326</v>
      </c>
      <c r="AM296" s="79"/>
      <c r="AN296" s="79"/>
      <c r="AO296" s="79"/>
      <c r="AP296" s="103" t="s">
        <v>548</v>
      </c>
      <c r="AQ296" s="80" t="str" cm="1">
        <f t="array" ref="AQ296">IFERROR(DATE(2026, _xlfn.AGGREGATE(15, 6, (COLUMN(CI296:CT296)-COLUMN(CI296)+1)/(CI296:CT296&lt;&gt;0), 1), 1),"N/A")</f>
        <v>N/A</v>
      </c>
      <c r="AR296" s="80" t="str" cm="1">
        <f t="array" ref="AR296">IFERROR(EOMONTH(DATE(2026, _xlfn.AGGREGATE(14, 6, (COLUMN(CI296:CT296)-COLUMN(CI296)+1)/(CI296:CT296&lt;&gt;0), 1), 1), 0),"N/A")</f>
        <v>N/A</v>
      </c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4" t="s">
        <v>1082</v>
      </c>
      <c r="BG296" s="74"/>
      <c r="BH296" s="74" t="s">
        <v>1083</v>
      </c>
      <c r="BI296" s="74" t="s">
        <v>1013</v>
      </c>
      <c r="BJ296" s="78">
        <v>730425</v>
      </c>
      <c r="BK296" s="82" t="s">
        <v>703</v>
      </c>
      <c r="BL296" s="83">
        <v>0</v>
      </c>
      <c r="BM296" s="73"/>
      <c r="BN296" s="73"/>
      <c r="BO296" s="73"/>
      <c r="BP296" s="73"/>
      <c r="BQ296" s="73"/>
      <c r="BR296" s="84"/>
      <c r="BS296" s="84"/>
      <c r="BT296" s="84"/>
      <c r="BU296" s="73"/>
      <c r="BV296" s="73"/>
      <c r="BW296" s="73"/>
      <c r="BX296" s="73"/>
      <c r="BY296" s="73"/>
      <c r="BZ296" s="73"/>
      <c r="CA296" s="73">
        <v>200000</v>
      </c>
      <c r="CB296" s="154"/>
      <c r="CC296" s="154"/>
      <c r="CD296" s="73">
        <v>-200000</v>
      </c>
      <c r="CE296" s="73"/>
      <c r="CF296" s="73"/>
      <c r="CG296" s="73"/>
      <c r="CH296" s="73">
        <f t="shared" si="8"/>
        <v>0</v>
      </c>
      <c r="CI296" s="73"/>
      <c r="CJ296" s="73"/>
      <c r="CK296" s="72"/>
      <c r="CL296" s="73"/>
      <c r="CM296" s="73"/>
      <c r="CN296" s="84"/>
      <c r="CO296" s="84"/>
      <c r="CP296" s="84"/>
      <c r="CQ296" s="73"/>
      <c r="CR296" s="73"/>
      <c r="CS296" s="73"/>
      <c r="CT296" s="73"/>
      <c r="CU296" s="73"/>
      <c r="CV296" s="84">
        <f t="shared" si="9"/>
        <v>0</v>
      </c>
      <c r="CW296" s="84"/>
      <c r="CX296" s="137"/>
      <c r="CY296" s="137"/>
      <c r="CZ296" s="137"/>
      <c r="DA296" s="137"/>
      <c r="DB296" s="74"/>
      <c r="DC296" s="74"/>
      <c r="DD296" s="74"/>
    </row>
    <row r="297" spans="1:108" s="68" customFormat="1" ht="88.9" hidden="1" customHeight="1" x14ac:dyDescent="0.25">
      <c r="A297" s="74" t="s">
        <v>692</v>
      </c>
      <c r="B297" s="74" t="s">
        <v>154</v>
      </c>
      <c r="C297" s="74" t="s">
        <v>172</v>
      </c>
      <c r="D297" s="85" t="s">
        <v>196</v>
      </c>
      <c r="E297" s="74" t="s">
        <v>5</v>
      </c>
      <c r="F297" s="85" t="s">
        <v>551</v>
      </c>
      <c r="G297" s="74" t="s">
        <v>288</v>
      </c>
      <c r="H297" s="74" t="s">
        <v>552</v>
      </c>
      <c r="I297" s="74" t="s">
        <v>300</v>
      </c>
      <c r="J297" s="74" t="s">
        <v>529</v>
      </c>
      <c r="K297" s="82" t="s">
        <v>326</v>
      </c>
      <c r="L297" s="78" t="s">
        <v>559</v>
      </c>
      <c r="M297" s="78" t="s">
        <v>531</v>
      </c>
      <c r="N297" s="78" t="s">
        <v>7</v>
      </c>
      <c r="O297" s="97" t="s">
        <v>560</v>
      </c>
      <c r="P297" s="78" t="s">
        <v>562</v>
      </c>
      <c r="Q297" s="74" t="s">
        <v>769</v>
      </c>
      <c r="R297" s="74" t="s">
        <v>770</v>
      </c>
      <c r="S297" s="74" t="s">
        <v>771</v>
      </c>
      <c r="T297" s="74" t="s">
        <v>2</v>
      </c>
      <c r="U297" s="75">
        <v>0</v>
      </c>
      <c r="V297" s="75">
        <v>0</v>
      </c>
      <c r="W297" s="75">
        <v>0.2</v>
      </c>
      <c r="X297" s="75">
        <v>0.2</v>
      </c>
      <c r="Y297" s="75">
        <v>0.2</v>
      </c>
      <c r="Z297" s="75">
        <v>0.4</v>
      </c>
      <c r="AA297" s="75">
        <v>0.4</v>
      </c>
      <c r="AB297" s="75">
        <v>0.4</v>
      </c>
      <c r="AC297" s="75">
        <v>0.7</v>
      </c>
      <c r="AD297" s="75">
        <v>0.7</v>
      </c>
      <c r="AE297" s="75">
        <v>0.7</v>
      </c>
      <c r="AF297" s="75">
        <v>1</v>
      </c>
      <c r="AG297" s="74" t="s">
        <v>538</v>
      </c>
      <c r="AH297" s="74" t="s">
        <v>530</v>
      </c>
      <c r="AI297" s="78" t="s">
        <v>539</v>
      </c>
      <c r="AJ297" s="79" t="s">
        <v>539</v>
      </c>
      <c r="AK297" s="80">
        <v>46174</v>
      </c>
      <c r="AL297" s="80">
        <v>46326</v>
      </c>
      <c r="AM297" s="79"/>
      <c r="AN297" s="79"/>
      <c r="AO297" s="79"/>
      <c r="AP297" s="103" t="s">
        <v>548</v>
      </c>
      <c r="AQ297" s="80" t="str" cm="1">
        <f t="array" ref="AQ297">IFERROR(DATE(2026, _xlfn.AGGREGATE(15, 6, (COLUMN(CI297:CT297)-COLUMN(CI297)+1)/(CI297:CT297&lt;&gt;0), 1), 1),"N/A")</f>
        <v>N/A</v>
      </c>
      <c r="AR297" s="80" t="str" cm="1">
        <f t="array" ref="AR297">IFERROR(EOMONTH(DATE(2026, _xlfn.AGGREGATE(14, 6, (COLUMN(CI297:CT297)-COLUMN(CI297)+1)/(CI297:CT297&lt;&gt;0), 1), 1), 0),"N/A")</f>
        <v>N/A</v>
      </c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4" t="s">
        <v>1084</v>
      </c>
      <c r="BG297" s="74"/>
      <c r="BH297" s="74" t="s">
        <v>1085</v>
      </c>
      <c r="BI297" s="74" t="s">
        <v>1013</v>
      </c>
      <c r="BJ297" s="78">
        <v>730425</v>
      </c>
      <c r="BK297" s="82" t="s">
        <v>703</v>
      </c>
      <c r="BL297" s="83">
        <v>0</v>
      </c>
      <c r="BM297" s="73"/>
      <c r="BN297" s="73"/>
      <c r="BO297" s="73"/>
      <c r="BP297" s="73"/>
      <c r="BQ297" s="73"/>
      <c r="BR297" s="84"/>
      <c r="BS297" s="84"/>
      <c r="BT297" s="84"/>
      <c r="BU297" s="73"/>
      <c r="BV297" s="73"/>
      <c r="BW297" s="73"/>
      <c r="BX297" s="73"/>
      <c r="BY297" s="73"/>
      <c r="BZ297" s="73"/>
      <c r="CA297" s="73">
        <v>100000</v>
      </c>
      <c r="CB297" s="154"/>
      <c r="CC297" s="154"/>
      <c r="CD297" s="73">
        <v>-100000</v>
      </c>
      <c r="CE297" s="73"/>
      <c r="CF297" s="73"/>
      <c r="CG297" s="73"/>
      <c r="CH297" s="73">
        <f t="shared" si="8"/>
        <v>0</v>
      </c>
      <c r="CI297" s="73"/>
      <c r="CJ297" s="73"/>
      <c r="CK297" s="72"/>
      <c r="CL297" s="73"/>
      <c r="CM297" s="73"/>
      <c r="CN297" s="84"/>
      <c r="CO297" s="84"/>
      <c r="CP297" s="84"/>
      <c r="CQ297" s="73"/>
      <c r="CR297" s="73"/>
      <c r="CS297" s="73"/>
      <c r="CT297" s="73"/>
      <c r="CU297" s="73"/>
      <c r="CV297" s="84">
        <f t="shared" si="9"/>
        <v>0</v>
      </c>
      <c r="CW297" s="84"/>
      <c r="CX297" s="137" t="s">
        <v>1250</v>
      </c>
      <c r="CY297" s="137" t="s">
        <v>1258</v>
      </c>
      <c r="CZ297" s="137" t="s">
        <v>1289</v>
      </c>
      <c r="DA297" s="137"/>
      <c r="DB297" s="85" t="s">
        <v>1251</v>
      </c>
      <c r="DC297" s="74"/>
      <c r="DD297" s="74"/>
    </row>
    <row r="298" spans="1:108" s="68" customFormat="1" ht="15" hidden="1" customHeight="1" x14ac:dyDescent="0.25">
      <c r="A298" s="74" t="s">
        <v>692</v>
      </c>
      <c r="B298" s="74" t="s">
        <v>154</v>
      </c>
      <c r="C298" s="74" t="s">
        <v>172</v>
      </c>
      <c r="D298" s="85" t="s">
        <v>196</v>
      </c>
      <c r="E298" s="74" t="s">
        <v>5</v>
      </c>
      <c r="F298" s="85" t="s">
        <v>551</v>
      </c>
      <c r="G298" s="74" t="s">
        <v>288</v>
      </c>
      <c r="H298" s="74" t="s">
        <v>552</v>
      </c>
      <c r="I298" s="74" t="s">
        <v>300</v>
      </c>
      <c r="J298" s="74" t="s">
        <v>529</v>
      </c>
      <c r="K298" s="82" t="s">
        <v>326</v>
      </c>
      <c r="L298" s="78" t="s">
        <v>559</v>
      </c>
      <c r="M298" s="78" t="s">
        <v>531</v>
      </c>
      <c r="N298" s="78" t="s">
        <v>7</v>
      </c>
      <c r="O298" s="97" t="s">
        <v>560</v>
      </c>
      <c r="P298" s="78" t="s">
        <v>562</v>
      </c>
      <c r="Q298" s="74" t="s">
        <v>769</v>
      </c>
      <c r="R298" s="74" t="s">
        <v>770</v>
      </c>
      <c r="S298" s="74" t="s">
        <v>771</v>
      </c>
      <c r="T298" s="74" t="s">
        <v>2</v>
      </c>
      <c r="U298" s="75">
        <v>0</v>
      </c>
      <c r="V298" s="75">
        <v>0</v>
      </c>
      <c r="W298" s="75">
        <v>0.2</v>
      </c>
      <c r="X298" s="75">
        <v>0.2</v>
      </c>
      <c r="Y298" s="75">
        <v>0.2</v>
      </c>
      <c r="Z298" s="75">
        <v>0.4</v>
      </c>
      <c r="AA298" s="75">
        <v>0.4</v>
      </c>
      <c r="AB298" s="75">
        <v>0.4</v>
      </c>
      <c r="AC298" s="75">
        <v>0.7</v>
      </c>
      <c r="AD298" s="75">
        <v>0.7</v>
      </c>
      <c r="AE298" s="75">
        <v>0.7</v>
      </c>
      <c r="AF298" s="75">
        <v>1</v>
      </c>
      <c r="AG298" s="74" t="s">
        <v>538</v>
      </c>
      <c r="AH298" s="74" t="s">
        <v>530</v>
      </c>
      <c r="AI298" s="78" t="s">
        <v>539</v>
      </c>
      <c r="AJ298" s="79" t="s">
        <v>539</v>
      </c>
      <c r="AK298" s="80">
        <v>46174</v>
      </c>
      <c r="AL298" s="80">
        <v>46326</v>
      </c>
      <c r="AM298" s="79"/>
      <c r="AN298" s="79"/>
      <c r="AO298" s="79"/>
      <c r="AP298" s="103" t="s">
        <v>548</v>
      </c>
      <c r="AQ298" s="80" t="str" cm="1">
        <f t="array" ref="AQ298">IFERROR(DATE(2026, _xlfn.AGGREGATE(15, 6, (COLUMN(CI298:CT298)-COLUMN(CI298)+1)/(CI298:CT298&lt;&gt;0), 1), 1),"N/A")</f>
        <v>N/A</v>
      </c>
      <c r="AR298" s="80" t="str" cm="1">
        <f t="array" ref="AR298">IFERROR(EOMONTH(DATE(2026, _xlfn.AGGREGATE(14, 6, (COLUMN(CI298:CT298)-COLUMN(CI298)+1)/(CI298:CT298&lt;&gt;0), 1), 1), 0),"N/A")</f>
        <v>N/A</v>
      </c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4" t="s">
        <v>1076</v>
      </c>
      <c r="BG298" s="74"/>
      <c r="BH298" s="74" t="s">
        <v>1077</v>
      </c>
      <c r="BI298" s="74" t="s">
        <v>1013</v>
      </c>
      <c r="BJ298" s="78">
        <v>730425</v>
      </c>
      <c r="BK298" s="82" t="s">
        <v>703</v>
      </c>
      <c r="BL298" s="83">
        <v>0</v>
      </c>
      <c r="BM298" s="73"/>
      <c r="BN298" s="73"/>
      <c r="BO298" s="73"/>
      <c r="BP298" s="73"/>
      <c r="BQ298" s="73"/>
      <c r="BR298" s="84"/>
      <c r="BS298" s="84"/>
      <c r="BT298" s="84"/>
      <c r="BU298" s="73"/>
      <c r="BV298" s="73"/>
      <c r="BW298" s="73"/>
      <c r="BX298" s="73"/>
      <c r="BY298" s="73"/>
      <c r="BZ298" s="73"/>
      <c r="CA298" s="73">
        <v>216395.59</v>
      </c>
      <c r="CB298" s="73">
        <v>-216395.59</v>
      </c>
      <c r="CC298" s="73"/>
      <c r="CD298" s="73"/>
      <c r="CE298" s="73"/>
      <c r="CF298" s="73"/>
      <c r="CG298" s="73"/>
      <c r="CH298" s="73">
        <f t="shared" si="8"/>
        <v>0</v>
      </c>
      <c r="CI298" s="73"/>
      <c r="CJ298" s="73"/>
      <c r="CK298" s="72"/>
      <c r="CL298" s="73"/>
      <c r="CM298" s="73"/>
      <c r="CN298" s="84"/>
      <c r="CO298" s="84"/>
      <c r="CP298" s="84"/>
      <c r="CQ298" s="73"/>
      <c r="CR298" s="73"/>
      <c r="CS298" s="73"/>
      <c r="CT298" s="73"/>
      <c r="CU298" s="73"/>
      <c r="CV298" s="84">
        <f t="shared" si="9"/>
        <v>0</v>
      </c>
      <c r="CW298" s="84"/>
      <c r="CX298" s="137"/>
      <c r="CY298" s="137"/>
      <c r="CZ298" s="137" t="s">
        <v>1290</v>
      </c>
      <c r="DA298" s="137"/>
      <c r="DB298" s="74"/>
      <c r="DC298" s="74"/>
      <c r="DD298" s="74"/>
    </row>
    <row r="299" spans="1:108" s="68" customFormat="1" ht="15" customHeight="1" x14ac:dyDescent="0.25">
      <c r="A299" s="74" t="s">
        <v>691</v>
      </c>
      <c r="B299" s="74" t="s">
        <v>154</v>
      </c>
      <c r="C299" s="74" t="s">
        <v>172</v>
      </c>
      <c r="D299" s="85" t="s">
        <v>196</v>
      </c>
      <c r="E299" s="74" t="s">
        <v>5</v>
      </c>
      <c r="F299" s="85" t="s">
        <v>551</v>
      </c>
      <c r="G299" s="74" t="s">
        <v>288</v>
      </c>
      <c r="H299" s="74" t="s">
        <v>552</v>
      </c>
      <c r="I299" s="74" t="s">
        <v>300</v>
      </c>
      <c r="J299" s="74" t="s">
        <v>529</v>
      </c>
      <c r="K299" s="82" t="s">
        <v>326</v>
      </c>
      <c r="L299" s="78" t="s">
        <v>559</v>
      </c>
      <c r="M299" s="78" t="s">
        <v>531</v>
      </c>
      <c r="N299" s="78" t="s">
        <v>7</v>
      </c>
      <c r="O299" s="97" t="s">
        <v>560</v>
      </c>
      <c r="P299" s="97" t="s">
        <v>715</v>
      </c>
      <c r="Q299" s="74" t="s">
        <v>763</v>
      </c>
      <c r="R299" s="74" t="s">
        <v>764</v>
      </c>
      <c r="S299" s="74" t="s">
        <v>765</v>
      </c>
      <c r="T299" s="74" t="s">
        <v>2</v>
      </c>
      <c r="U299" s="75">
        <v>0</v>
      </c>
      <c r="V299" s="75">
        <v>0</v>
      </c>
      <c r="W299" s="75">
        <v>0.85</v>
      </c>
      <c r="X299" s="75">
        <v>0.85</v>
      </c>
      <c r="Y299" s="75">
        <v>0.85</v>
      </c>
      <c r="Z299" s="75">
        <v>0.85</v>
      </c>
      <c r="AA299" s="75">
        <v>0.85</v>
      </c>
      <c r="AB299" s="75">
        <v>0.85</v>
      </c>
      <c r="AC299" s="75">
        <v>0.85</v>
      </c>
      <c r="AD299" s="75">
        <v>0.85</v>
      </c>
      <c r="AE299" s="75">
        <v>0.85</v>
      </c>
      <c r="AF299" s="75">
        <v>0.85</v>
      </c>
      <c r="AG299" s="74" t="s">
        <v>537</v>
      </c>
      <c r="AH299" s="74" t="s">
        <v>530</v>
      </c>
      <c r="AI299" s="78" t="s">
        <v>539</v>
      </c>
      <c r="AJ299" s="79" t="s">
        <v>539</v>
      </c>
      <c r="AK299" s="80">
        <v>46296</v>
      </c>
      <c r="AL299" s="80">
        <v>46356</v>
      </c>
      <c r="AM299" s="79"/>
      <c r="AN299" s="79"/>
      <c r="AO299" s="79"/>
      <c r="AP299" s="81" t="s">
        <v>547</v>
      </c>
      <c r="AQ299" s="80" cm="1">
        <f t="array" ref="AQ299">IFERROR(DATE(2026, _xlfn.AGGREGATE(15, 6, (COLUMN(CI299:CT299)-COLUMN(CI299)+1)/(CI299:CT299&lt;&gt;0), 1), 1),"N/A")</f>
        <v>46296</v>
      </c>
      <c r="AR299" s="80" cm="1">
        <f t="array" ref="AR299">IFERROR(EOMONTH(DATE(2026, _xlfn.AGGREGATE(14, 6, (COLUMN(CI299:CT299)-COLUMN(CI299)+1)/(CI299:CT299&lt;&gt;0), 1), 1), 0),"N/A")</f>
        <v>46326</v>
      </c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4" t="s">
        <v>1059</v>
      </c>
      <c r="BG299" s="74"/>
      <c r="BH299" s="74" t="s">
        <v>1148</v>
      </c>
      <c r="BI299" s="74" t="s">
        <v>137</v>
      </c>
      <c r="BJ299" s="78">
        <v>730702</v>
      </c>
      <c r="BK299" s="82" t="s">
        <v>703</v>
      </c>
      <c r="BL299" s="83"/>
      <c r="BM299" s="73"/>
      <c r="BN299" s="73"/>
      <c r="BO299" s="73"/>
      <c r="BP299" s="73"/>
      <c r="BQ299" s="73"/>
      <c r="BR299" s="73"/>
      <c r="BS299" s="73"/>
      <c r="BT299" s="73"/>
      <c r="BU299" s="84"/>
      <c r="BV299" s="73"/>
      <c r="BW299" s="73"/>
      <c r="BX299" s="73"/>
      <c r="BY299" s="73"/>
      <c r="BZ299" s="73"/>
      <c r="CA299" s="73"/>
      <c r="CB299" s="73"/>
      <c r="CC299" s="73"/>
      <c r="CD299" s="73">
        <v>32200</v>
      </c>
      <c r="CE299" s="73"/>
      <c r="CF299" s="73"/>
      <c r="CG299" s="73">
        <v>17800</v>
      </c>
      <c r="CH299" s="73">
        <f t="shared" si="8"/>
        <v>50000</v>
      </c>
      <c r="CI299" s="73"/>
      <c r="CJ299" s="73"/>
      <c r="CK299" s="72"/>
      <c r="CL299" s="73"/>
      <c r="CM299" s="73"/>
      <c r="CN299" s="73"/>
      <c r="CO299" s="73"/>
      <c r="CP299" s="73"/>
      <c r="CQ299" s="84"/>
      <c r="CR299" s="73">
        <v>50000</v>
      </c>
      <c r="CS299" s="73"/>
      <c r="CT299" s="73"/>
      <c r="CU299" s="73"/>
      <c r="CV299" s="84">
        <f t="shared" si="9"/>
        <v>0</v>
      </c>
      <c r="CW299" s="84"/>
      <c r="CX299" s="137"/>
      <c r="CY299" s="137"/>
      <c r="CZ299" s="137"/>
      <c r="DA299" s="137"/>
      <c r="DB299" s="74"/>
      <c r="DC299" s="74"/>
      <c r="DD299" s="74"/>
    </row>
    <row r="300" spans="1:108" s="68" customFormat="1" ht="309.60000000000002" hidden="1" customHeight="1" x14ac:dyDescent="0.25">
      <c r="A300" s="74" t="s">
        <v>692</v>
      </c>
      <c r="B300" s="74" t="s">
        <v>154</v>
      </c>
      <c r="C300" s="74" t="s">
        <v>172</v>
      </c>
      <c r="D300" s="85" t="s">
        <v>196</v>
      </c>
      <c r="E300" s="74" t="s">
        <v>5</v>
      </c>
      <c r="F300" s="85" t="s">
        <v>551</v>
      </c>
      <c r="G300" s="74" t="s">
        <v>288</v>
      </c>
      <c r="H300" s="74" t="s">
        <v>552</v>
      </c>
      <c r="I300" s="74" t="s">
        <v>300</v>
      </c>
      <c r="J300" s="74" t="s">
        <v>529</v>
      </c>
      <c r="K300" s="82" t="s">
        <v>326</v>
      </c>
      <c r="L300" s="78" t="s">
        <v>559</v>
      </c>
      <c r="M300" s="78" t="s">
        <v>531</v>
      </c>
      <c r="N300" s="78" t="s">
        <v>7</v>
      </c>
      <c r="O300" s="97" t="s">
        <v>560</v>
      </c>
      <c r="P300" s="78" t="s">
        <v>562</v>
      </c>
      <c r="Q300" s="74" t="s">
        <v>769</v>
      </c>
      <c r="R300" s="74" t="s">
        <v>770</v>
      </c>
      <c r="S300" s="74" t="s">
        <v>771</v>
      </c>
      <c r="T300" s="74" t="s">
        <v>2</v>
      </c>
      <c r="U300" s="75">
        <v>0</v>
      </c>
      <c r="V300" s="75">
        <v>0</v>
      </c>
      <c r="W300" s="75">
        <v>0.2</v>
      </c>
      <c r="X300" s="75">
        <v>0.2</v>
      </c>
      <c r="Y300" s="75">
        <v>0.2</v>
      </c>
      <c r="Z300" s="75">
        <v>0.4</v>
      </c>
      <c r="AA300" s="75">
        <v>0.4</v>
      </c>
      <c r="AB300" s="75">
        <v>0.4</v>
      </c>
      <c r="AC300" s="75">
        <v>0.7</v>
      </c>
      <c r="AD300" s="75">
        <v>0.7</v>
      </c>
      <c r="AE300" s="75">
        <v>0.7</v>
      </c>
      <c r="AF300" s="75">
        <v>1</v>
      </c>
      <c r="AG300" s="74" t="s">
        <v>538</v>
      </c>
      <c r="AH300" s="74" t="s">
        <v>530</v>
      </c>
      <c r="AI300" s="78" t="s">
        <v>539</v>
      </c>
      <c r="AJ300" s="79" t="s">
        <v>539</v>
      </c>
      <c r="AK300" s="80">
        <v>46174</v>
      </c>
      <c r="AL300" s="80">
        <v>46326</v>
      </c>
      <c r="AM300" s="79"/>
      <c r="AN300" s="79"/>
      <c r="AO300" s="79"/>
      <c r="AP300" s="103" t="s">
        <v>548</v>
      </c>
      <c r="AQ300" s="80" cm="1">
        <f t="array" ref="AQ300">IFERROR(DATE(2026, _xlfn.AGGREGATE(15, 6, (COLUMN(CI300:CT300)-COLUMN(CI300)+1)/(CI300:CT300&lt;&gt;0), 1), 1),"N/A")</f>
        <v>46296</v>
      </c>
      <c r="AR300" s="80" cm="1">
        <f t="array" ref="AR300">IFERROR(EOMONTH(DATE(2026, _xlfn.AGGREGATE(14, 6, (COLUMN(CI300:CT300)-COLUMN(CI300)+1)/(CI300:CT300&lt;&gt;0), 1), 1), 0),"N/A")</f>
        <v>46326</v>
      </c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85" t="s">
        <v>1163</v>
      </c>
      <c r="BG300" s="74"/>
      <c r="BH300" s="74" t="s">
        <v>1165</v>
      </c>
      <c r="BI300" s="74" t="s">
        <v>1013</v>
      </c>
      <c r="BJ300" s="78">
        <v>730404</v>
      </c>
      <c r="BK300" s="82" t="s">
        <v>703</v>
      </c>
      <c r="BL300" s="83"/>
      <c r="BM300" s="73"/>
      <c r="BN300" s="73"/>
      <c r="BO300" s="73"/>
      <c r="BP300" s="73"/>
      <c r="BQ300" s="73"/>
      <c r="BR300" s="84"/>
      <c r="BS300" s="84"/>
      <c r="BT300" s="84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>
        <v>26000</v>
      </c>
      <c r="CF300" s="73"/>
      <c r="CG300" s="73"/>
      <c r="CH300" s="73">
        <f t="shared" si="8"/>
        <v>26000</v>
      </c>
      <c r="CI300" s="73"/>
      <c r="CJ300" s="73"/>
      <c r="CK300" s="72"/>
      <c r="CL300" s="73"/>
      <c r="CM300" s="73"/>
      <c r="CN300" s="84"/>
      <c r="CO300" s="84"/>
      <c r="CP300" s="84"/>
      <c r="CQ300" s="73"/>
      <c r="CR300" s="73">
        <v>26000</v>
      </c>
      <c r="CS300" s="73"/>
      <c r="CT300" s="73"/>
      <c r="CU300" s="73"/>
      <c r="CV300" s="84">
        <f t="shared" si="9"/>
        <v>0</v>
      </c>
      <c r="CW300" s="137" t="s">
        <v>1244</v>
      </c>
      <c r="CX300" s="74" t="s">
        <v>1282</v>
      </c>
      <c r="CY300" s="74"/>
      <c r="CZ300" s="137" t="s">
        <v>1289</v>
      </c>
      <c r="DA300" s="137" t="s">
        <v>1332</v>
      </c>
      <c r="DB300" s="85" t="s">
        <v>1333</v>
      </c>
      <c r="DC300" s="85" t="s">
        <v>1334</v>
      </c>
      <c r="DD300" s="74"/>
    </row>
    <row r="301" spans="1:108" s="68" customFormat="1" ht="15" customHeight="1" x14ac:dyDescent="0.25">
      <c r="A301" s="74" t="s">
        <v>691</v>
      </c>
      <c r="B301" s="74" t="s">
        <v>154</v>
      </c>
      <c r="C301" s="74" t="s">
        <v>172</v>
      </c>
      <c r="D301" s="85" t="s">
        <v>196</v>
      </c>
      <c r="E301" s="74" t="s">
        <v>5</v>
      </c>
      <c r="F301" s="85" t="s">
        <v>551</v>
      </c>
      <c r="G301" s="74" t="s">
        <v>288</v>
      </c>
      <c r="H301" s="74" t="s">
        <v>552</v>
      </c>
      <c r="I301" s="74" t="s">
        <v>300</v>
      </c>
      <c r="J301" s="74" t="s">
        <v>529</v>
      </c>
      <c r="K301" s="82" t="s">
        <v>326</v>
      </c>
      <c r="L301" s="78" t="s">
        <v>559</v>
      </c>
      <c r="M301" s="78" t="s">
        <v>531</v>
      </c>
      <c r="N301" s="78" t="s">
        <v>7</v>
      </c>
      <c r="O301" s="97" t="s">
        <v>560</v>
      </c>
      <c r="P301" s="97" t="s">
        <v>715</v>
      </c>
      <c r="Q301" s="74" t="s">
        <v>763</v>
      </c>
      <c r="R301" s="74" t="s">
        <v>764</v>
      </c>
      <c r="S301" s="74" t="s">
        <v>765</v>
      </c>
      <c r="T301" s="74" t="s">
        <v>2</v>
      </c>
      <c r="U301" s="75">
        <v>0</v>
      </c>
      <c r="V301" s="75">
        <v>0</v>
      </c>
      <c r="W301" s="75">
        <v>0.85</v>
      </c>
      <c r="X301" s="75">
        <v>0.85</v>
      </c>
      <c r="Y301" s="75">
        <v>0.85</v>
      </c>
      <c r="Z301" s="75">
        <v>0.85</v>
      </c>
      <c r="AA301" s="75">
        <v>0.85</v>
      </c>
      <c r="AB301" s="75">
        <v>0.85</v>
      </c>
      <c r="AC301" s="75">
        <v>0.85</v>
      </c>
      <c r="AD301" s="75">
        <v>0.85</v>
      </c>
      <c r="AE301" s="75">
        <v>0.85</v>
      </c>
      <c r="AF301" s="75">
        <v>0.85</v>
      </c>
      <c r="AG301" s="74" t="s">
        <v>537</v>
      </c>
      <c r="AH301" s="74" t="s">
        <v>530</v>
      </c>
      <c r="AI301" s="78" t="s">
        <v>539</v>
      </c>
      <c r="AJ301" s="79" t="s">
        <v>539</v>
      </c>
      <c r="AK301" s="80">
        <v>46296</v>
      </c>
      <c r="AL301" s="80">
        <v>46356</v>
      </c>
      <c r="AM301" s="79"/>
      <c r="AN301" s="79"/>
      <c r="AO301" s="79"/>
      <c r="AP301" s="81" t="s">
        <v>547</v>
      </c>
      <c r="AQ301" s="80" t="str" cm="1">
        <f t="array" ref="AQ301">IFERROR(DATE(2026, _xlfn.AGGREGATE(15, 6, (COLUMN(CI301:CT301)-COLUMN(CI301)+1)/(CI301:CT301&lt;&gt;0), 1), 1),"N/A")</f>
        <v>N/A</v>
      </c>
      <c r="AR301" s="80" t="str" cm="1">
        <f t="array" ref="AR301">IFERROR(EOMONTH(DATE(2026, _xlfn.AGGREGATE(14, 6, (COLUMN(CI301:CT301)-COLUMN(CI301)+1)/(CI301:CT301&lt;&gt;0), 1), 1), 0),"N/A")</f>
        <v>N/A</v>
      </c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4" t="s">
        <v>1059</v>
      </c>
      <c r="BG301" s="74"/>
      <c r="BH301" s="74" t="s">
        <v>1149</v>
      </c>
      <c r="BI301" s="74" t="s">
        <v>137</v>
      </c>
      <c r="BJ301" s="78">
        <v>730701</v>
      </c>
      <c r="BK301" s="82" t="s">
        <v>703</v>
      </c>
      <c r="BL301" s="83"/>
      <c r="BM301" s="73"/>
      <c r="BN301" s="73"/>
      <c r="BO301" s="73"/>
      <c r="BP301" s="73"/>
      <c r="BQ301" s="73"/>
      <c r="BR301" s="73"/>
      <c r="BS301" s="73"/>
      <c r="BT301" s="73"/>
      <c r="BU301" s="84"/>
      <c r="BV301" s="73"/>
      <c r="BW301" s="73"/>
      <c r="BX301" s="73"/>
      <c r="BY301" s="73"/>
      <c r="BZ301" s="73"/>
      <c r="CA301" s="73"/>
      <c r="CB301" s="73"/>
      <c r="CC301" s="73"/>
      <c r="CD301" s="73">
        <v>17800</v>
      </c>
      <c r="CE301" s="73"/>
      <c r="CF301" s="73"/>
      <c r="CG301" s="73">
        <v>-17800</v>
      </c>
      <c r="CH301" s="73">
        <f t="shared" si="8"/>
        <v>0</v>
      </c>
      <c r="CI301" s="73"/>
      <c r="CJ301" s="73"/>
      <c r="CK301" s="72"/>
      <c r="CL301" s="73"/>
      <c r="CM301" s="73"/>
      <c r="CN301" s="73"/>
      <c r="CO301" s="73"/>
      <c r="CP301" s="73"/>
      <c r="CQ301" s="84"/>
      <c r="CR301" s="73"/>
      <c r="CS301" s="73"/>
      <c r="CT301" s="73"/>
      <c r="CU301" s="73"/>
      <c r="CV301" s="84">
        <f t="shared" si="9"/>
        <v>0</v>
      </c>
      <c r="CW301" s="84"/>
      <c r="CX301" s="74"/>
      <c r="CY301" s="74"/>
      <c r="CZ301" s="74"/>
      <c r="DA301" s="74"/>
      <c r="DB301" s="74"/>
      <c r="DC301" s="74"/>
      <c r="DD301" s="74"/>
    </row>
    <row r="302" spans="1:108" s="68" customFormat="1" ht="15" hidden="1" customHeight="1" x14ac:dyDescent="0.25">
      <c r="A302" s="161" t="s">
        <v>692</v>
      </c>
      <c r="B302" s="74" t="s">
        <v>154</v>
      </c>
      <c r="C302" s="74" t="s">
        <v>172</v>
      </c>
      <c r="D302" s="85" t="s">
        <v>196</v>
      </c>
      <c r="E302" s="74" t="s">
        <v>5</v>
      </c>
      <c r="F302" s="85" t="s">
        <v>551</v>
      </c>
      <c r="G302" s="74" t="s">
        <v>288</v>
      </c>
      <c r="H302" s="74" t="s">
        <v>552</v>
      </c>
      <c r="I302" s="74" t="s">
        <v>300</v>
      </c>
      <c r="J302" s="74" t="s">
        <v>529</v>
      </c>
      <c r="K302" s="82" t="s">
        <v>326</v>
      </c>
      <c r="L302" s="78" t="s">
        <v>559</v>
      </c>
      <c r="M302" s="78" t="s">
        <v>531</v>
      </c>
      <c r="N302" s="78" t="s">
        <v>7</v>
      </c>
      <c r="O302" s="97" t="s">
        <v>560</v>
      </c>
      <c r="P302" s="78" t="s">
        <v>562</v>
      </c>
      <c r="Q302" s="74" t="s">
        <v>769</v>
      </c>
      <c r="R302" s="74" t="s">
        <v>770</v>
      </c>
      <c r="S302" s="74" t="s">
        <v>771</v>
      </c>
      <c r="T302" s="74" t="s">
        <v>2</v>
      </c>
      <c r="U302" s="75">
        <v>0</v>
      </c>
      <c r="V302" s="75">
        <v>0</v>
      </c>
      <c r="W302" s="75">
        <v>0.2</v>
      </c>
      <c r="X302" s="75">
        <v>0.2</v>
      </c>
      <c r="Y302" s="75">
        <v>0.2</v>
      </c>
      <c r="Z302" s="75">
        <v>0.4</v>
      </c>
      <c r="AA302" s="75">
        <v>0.4</v>
      </c>
      <c r="AB302" s="75">
        <v>0.4</v>
      </c>
      <c r="AC302" s="75">
        <v>0.7</v>
      </c>
      <c r="AD302" s="75">
        <v>0.7</v>
      </c>
      <c r="AE302" s="75">
        <v>0.7</v>
      </c>
      <c r="AF302" s="75">
        <v>1</v>
      </c>
      <c r="AG302" s="74" t="s">
        <v>538</v>
      </c>
      <c r="AH302" s="74" t="s">
        <v>530</v>
      </c>
      <c r="AI302" s="78" t="s">
        <v>539</v>
      </c>
      <c r="AJ302" s="79" t="s">
        <v>539</v>
      </c>
      <c r="AK302" s="80">
        <v>46174</v>
      </c>
      <c r="AL302" s="80">
        <v>46326</v>
      </c>
      <c r="AM302" s="79"/>
      <c r="AN302" s="79"/>
      <c r="AO302" s="79"/>
      <c r="AP302" s="103" t="s">
        <v>548</v>
      </c>
      <c r="AQ302" s="80" t="str" cm="1">
        <f t="array" ref="AQ302">IFERROR(DATE(2026, _xlfn.AGGREGATE(15, 6, (COLUMN(CI302:CT302)-COLUMN(CI302)+1)/(CI302:CT302&lt;&gt;0), 1), 1),"N/A")</f>
        <v>N/A</v>
      </c>
      <c r="AR302" s="80" t="str" cm="1">
        <f t="array" ref="AR302">IFERROR(EOMONTH(DATE(2026, _xlfn.AGGREGATE(14, 6, (COLUMN(CI302:CT302)-COLUMN(CI302)+1)/(CI302:CT302&lt;&gt;0), 1), 1), 0),"N/A")</f>
        <v>N/A</v>
      </c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4" t="s">
        <v>1106</v>
      </c>
      <c r="BG302" s="74"/>
      <c r="BH302" s="74" t="s">
        <v>1119</v>
      </c>
      <c r="BI302" s="74" t="s">
        <v>1013</v>
      </c>
      <c r="BJ302" s="78">
        <v>730425</v>
      </c>
      <c r="BK302" s="82" t="s">
        <v>703</v>
      </c>
      <c r="BL302" s="83"/>
      <c r="BM302" s="73"/>
      <c r="BN302" s="73"/>
      <c r="BO302" s="73"/>
      <c r="BP302" s="73"/>
      <c r="BQ302" s="73"/>
      <c r="BR302" s="84"/>
      <c r="BS302" s="84"/>
      <c r="BT302" s="84"/>
      <c r="BU302" s="73"/>
      <c r="BV302" s="73"/>
      <c r="BW302" s="73"/>
      <c r="BX302" s="73"/>
      <c r="BY302" s="73"/>
      <c r="BZ302" s="73"/>
      <c r="CA302" s="73"/>
      <c r="CB302" s="154">
        <v>146000</v>
      </c>
      <c r="CC302" s="154"/>
      <c r="CD302" s="73"/>
      <c r="CE302" s="73">
        <v>-146000</v>
      </c>
      <c r="CF302" s="73"/>
      <c r="CG302" s="73"/>
      <c r="CH302" s="73">
        <f t="shared" si="8"/>
        <v>0</v>
      </c>
      <c r="CI302" s="73"/>
      <c r="CJ302" s="73"/>
      <c r="CK302" s="72"/>
      <c r="CL302" s="73"/>
      <c r="CM302" s="73"/>
      <c r="CN302" s="84"/>
      <c r="CO302" s="84"/>
      <c r="CP302" s="84"/>
      <c r="CQ302" s="73"/>
      <c r="CR302" s="73"/>
      <c r="CS302" s="73"/>
      <c r="CT302" s="73"/>
      <c r="CU302" s="73"/>
      <c r="CV302" s="84">
        <f t="shared" si="9"/>
        <v>0</v>
      </c>
      <c r="CW302" s="84"/>
      <c r="CX302" s="74"/>
      <c r="CY302" s="74"/>
      <c r="CZ302" s="74" t="s">
        <v>1290</v>
      </c>
      <c r="DA302" s="74"/>
      <c r="DB302" s="74"/>
      <c r="DC302" s="74"/>
      <c r="DD302" s="74"/>
    </row>
    <row r="303" spans="1:108" s="68" customFormat="1" ht="15" hidden="1" customHeight="1" x14ac:dyDescent="0.25">
      <c r="A303" s="161" t="s">
        <v>692</v>
      </c>
      <c r="B303" s="74" t="s">
        <v>154</v>
      </c>
      <c r="C303" s="74" t="s">
        <v>172</v>
      </c>
      <c r="D303" s="85" t="s">
        <v>196</v>
      </c>
      <c r="E303" s="74" t="s">
        <v>5</v>
      </c>
      <c r="F303" s="85" t="s">
        <v>551</v>
      </c>
      <c r="G303" s="74" t="s">
        <v>288</v>
      </c>
      <c r="H303" s="74" t="s">
        <v>552</v>
      </c>
      <c r="I303" s="74" t="s">
        <v>300</v>
      </c>
      <c r="J303" s="74" t="s">
        <v>529</v>
      </c>
      <c r="K303" s="82" t="s">
        <v>326</v>
      </c>
      <c r="L303" s="78" t="s">
        <v>559</v>
      </c>
      <c r="M303" s="78" t="s">
        <v>531</v>
      </c>
      <c r="N303" s="78" t="s">
        <v>7</v>
      </c>
      <c r="O303" s="97" t="s">
        <v>560</v>
      </c>
      <c r="P303" s="78" t="s">
        <v>562</v>
      </c>
      <c r="Q303" s="74" t="s">
        <v>769</v>
      </c>
      <c r="R303" s="74" t="s">
        <v>770</v>
      </c>
      <c r="S303" s="74" t="s">
        <v>771</v>
      </c>
      <c r="T303" s="74" t="s">
        <v>2</v>
      </c>
      <c r="U303" s="75">
        <v>0</v>
      </c>
      <c r="V303" s="75">
        <v>0</v>
      </c>
      <c r="W303" s="75">
        <v>0.2</v>
      </c>
      <c r="X303" s="75">
        <v>0.2</v>
      </c>
      <c r="Y303" s="75">
        <v>0.2</v>
      </c>
      <c r="Z303" s="75">
        <v>0.4</v>
      </c>
      <c r="AA303" s="75">
        <v>0.4</v>
      </c>
      <c r="AB303" s="75">
        <v>0.4</v>
      </c>
      <c r="AC303" s="75">
        <v>0.7</v>
      </c>
      <c r="AD303" s="75">
        <v>0.7</v>
      </c>
      <c r="AE303" s="75">
        <v>0.7</v>
      </c>
      <c r="AF303" s="75">
        <v>1</v>
      </c>
      <c r="AG303" s="74" t="s">
        <v>538</v>
      </c>
      <c r="AH303" s="74" t="s">
        <v>530</v>
      </c>
      <c r="AI303" s="78" t="s">
        <v>539</v>
      </c>
      <c r="AJ303" s="79" t="s">
        <v>539</v>
      </c>
      <c r="AK303" s="80">
        <v>46174</v>
      </c>
      <c r="AL303" s="80">
        <v>46326</v>
      </c>
      <c r="AM303" s="79"/>
      <c r="AN303" s="79"/>
      <c r="AO303" s="79"/>
      <c r="AP303" s="103" t="s">
        <v>548</v>
      </c>
      <c r="AQ303" s="80" t="str" cm="1">
        <f t="array" ref="AQ303">IFERROR(DATE(2026, _xlfn.AGGREGATE(15, 6, (COLUMN(CI303:CT303)-COLUMN(CI303)+1)/(CI303:CT303&lt;&gt;0), 1), 1),"N/A")</f>
        <v>N/A</v>
      </c>
      <c r="AR303" s="80" t="str" cm="1">
        <f t="array" ref="AR303">IFERROR(EOMONTH(DATE(2026, _xlfn.AGGREGATE(14, 6, (COLUMN(CI303:CT303)-COLUMN(CI303)+1)/(CI303:CT303&lt;&gt;0), 1), 1), 0),"N/A")</f>
        <v>N/A</v>
      </c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4" t="s">
        <v>1107</v>
      </c>
      <c r="BG303" s="74"/>
      <c r="BH303" s="74" t="s">
        <v>1120</v>
      </c>
      <c r="BI303" s="74" t="s">
        <v>1013</v>
      </c>
      <c r="BJ303" s="78">
        <v>730605</v>
      </c>
      <c r="BK303" s="82" t="s">
        <v>703</v>
      </c>
      <c r="BL303" s="83"/>
      <c r="BM303" s="73"/>
      <c r="BN303" s="73"/>
      <c r="BO303" s="73"/>
      <c r="BP303" s="73"/>
      <c r="BQ303" s="73"/>
      <c r="BR303" s="84"/>
      <c r="BS303" s="84"/>
      <c r="BT303" s="84"/>
      <c r="BU303" s="73"/>
      <c r="BV303" s="73"/>
      <c r="BW303" s="73"/>
      <c r="BX303" s="73"/>
      <c r="BY303" s="73"/>
      <c r="BZ303" s="73"/>
      <c r="CA303" s="73"/>
      <c r="CB303" s="154">
        <v>10000</v>
      </c>
      <c r="CC303" s="154"/>
      <c r="CD303" s="73">
        <v>-10000</v>
      </c>
      <c r="CE303" s="73"/>
      <c r="CF303" s="73"/>
      <c r="CG303" s="73"/>
      <c r="CH303" s="73">
        <f t="shared" si="8"/>
        <v>0</v>
      </c>
      <c r="CI303" s="73"/>
      <c r="CJ303" s="73"/>
      <c r="CK303" s="72"/>
      <c r="CL303" s="73"/>
      <c r="CM303" s="73"/>
      <c r="CN303" s="84"/>
      <c r="CO303" s="84"/>
      <c r="CP303" s="84"/>
      <c r="CQ303" s="73"/>
      <c r="CR303" s="73"/>
      <c r="CS303" s="73"/>
      <c r="CT303" s="73"/>
      <c r="CU303" s="73"/>
      <c r="CV303" s="84">
        <f t="shared" si="9"/>
        <v>0</v>
      </c>
      <c r="CW303" s="84"/>
      <c r="CX303" s="74"/>
      <c r="CY303" s="74"/>
      <c r="CZ303" s="74" t="s">
        <v>1290</v>
      </c>
      <c r="DA303" s="74"/>
      <c r="DB303" s="74"/>
      <c r="DC303" s="74"/>
      <c r="DD303" s="74"/>
    </row>
    <row r="304" spans="1:108" s="68" customFormat="1" ht="15" hidden="1" customHeight="1" x14ac:dyDescent="0.25">
      <c r="A304" s="161" t="s">
        <v>692</v>
      </c>
      <c r="B304" s="74" t="s">
        <v>154</v>
      </c>
      <c r="C304" s="74" t="s">
        <v>172</v>
      </c>
      <c r="D304" s="85" t="s">
        <v>196</v>
      </c>
      <c r="E304" s="74" t="s">
        <v>5</v>
      </c>
      <c r="F304" s="85" t="s">
        <v>551</v>
      </c>
      <c r="G304" s="74" t="s">
        <v>288</v>
      </c>
      <c r="H304" s="74" t="s">
        <v>552</v>
      </c>
      <c r="I304" s="74" t="s">
        <v>300</v>
      </c>
      <c r="J304" s="74" t="s">
        <v>529</v>
      </c>
      <c r="K304" s="82" t="s">
        <v>326</v>
      </c>
      <c r="L304" s="78" t="s">
        <v>559</v>
      </c>
      <c r="M304" s="78" t="s">
        <v>531</v>
      </c>
      <c r="N304" s="78" t="s">
        <v>7</v>
      </c>
      <c r="O304" s="97" t="s">
        <v>560</v>
      </c>
      <c r="P304" s="78" t="s">
        <v>562</v>
      </c>
      <c r="Q304" s="74" t="s">
        <v>769</v>
      </c>
      <c r="R304" s="74" t="s">
        <v>770</v>
      </c>
      <c r="S304" s="74" t="s">
        <v>771</v>
      </c>
      <c r="T304" s="74" t="s">
        <v>2</v>
      </c>
      <c r="U304" s="75">
        <v>0</v>
      </c>
      <c r="V304" s="75">
        <v>0</v>
      </c>
      <c r="W304" s="75">
        <v>0.2</v>
      </c>
      <c r="X304" s="75">
        <v>0.2</v>
      </c>
      <c r="Y304" s="75">
        <v>0.2</v>
      </c>
      <c r="Z304" s="75">
        <v>0.4</v>
      </c>
      <c r="AA304" s="75">
        <v>0.4</v>
      </c>
      <c r="AB304" s="75">
        <v>0.4</v>
      </c>
      <c r="AC304" s="75">
        <v>0.7</v>
      </c>
      <c r="AD304" s="75">
        <v>0.7</v>
      </c>
      <c r="AE304" s="75">
        <v>0.7</v>
      </c>
      <c r="AF304" s="75">
        <v>1</v>
      </c>
      <c r="AG304" s="74" t="s">
        <v>538</v>
      </c>
      <c r="AH304" s="74" t="s">
        <v>530</v>
      </c>
      <c r="AI304" s="78" t="s">
        <v>539</v>
      </c>
      <c r="AJ304" s="79" t="s">
        <v>539</v>
      </c>
      <c r="AK304" s="80">
        <v>46174</v>
      </c>
      <c r="AL304" s="80">
        <v>46326</v>
      </c>
      <c r="AM304" s="79"/>
      <c r="AN304" s="79"/>
      <c r="AO304" s="79"/>
      <c r="AP304" s="103" t="s">
        <v>548</v>
      </c>
      <c r="AQ304" s="80" t="str" cm="1">
        <f t="array" ref="AQ304">IFERROR(DATE(2026, _xlfn.AGGREGATE(15, 6, (COLUMN(CI304:CT304)-COLUMN(CI304)+1)/(CI304:CT304&lt;&gt;0), 1), 1),"N/A")</f>
        <v>N/A</v>
      </c>
      <c r="AR304" s="80" t="str" cm="1">
        <f t="array" ref="AR304">IFERROR(EOMONTH(DATE(2026, _xlfn.AGGREGATE(14, 6, (COLUMN(CI304:CT304)-COLUMN(CI304)+1)/(CI304:CT304&lt;&gt;0), 1), 1), 0),"N/A")</f>
        <v>N/A</v>
      </c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4" t="s">
        <v>1108</v>
      </c>
      <c r="BG304" s="74"/>
      <c r="BH304" s="74" t="s">
        <v>1121</v>
      </c>
      <c r="BI304" s="74" t="s">
        <v>1013</v>
      </c>
      <c r="BJ304" s="78">
        <v>730605</v>
      </c>
      <c r="BK304" s="82" t="s">
        <v>703</v>
      </c>
      <c r="BL304" s="83"/>
      <c r="BM304" s="73"/>
      <c r="BN304" s="73"/>
      <c r="BO304" s="73"/>
      <c r="BP304" s="73"/>
      <c r="BQ304" s="73"/>
      <c r="BR304" s="84"/>
      <c r="BS304" s="84"/>
      <c r="BT304" s="84"/>
      <c r="BU304" s="73"/>
      <c r="BV304" s="73"/>
      <c r="BW304" s="73"/>
      <c r="BX304" s="73"/>
      <c r="BY304" s="73"/>
      <c r="BZ304" s="73"/>
      <c r="CA304" s="73"/>
      <c r="CB304" s="154">
        <v>10000</v>
      </c>
      <c r="CC304" s="154"/>
      <c r="CD304" s="73">
        <v>-10000</v>
      </c>
      <c r="CE304" s="73"/>
      <c r="CF304" s="73"/>
      <c r="CG304" s="73"/>
      <c r="CH304" s="73">
        <f t="shared" si="8"/>
        <v>0</v>
      </c>
      <c r="CI304" s="73"/>
      <c r="CJ304" s="73"/>
      <c r="CK304" s="72"/>
      <c r="CL304" s="73"/>
      <c r="CM304" s="73"/>
      <c r="CN304" s="84"/>
      <c r="CO304" s="84"/>
      <c r="CP304" s="84"/>
      <c r="CQ304" s="73"/>
      <c r="CR304" s="73"/>
      <c r="CS304" s="73"/>
      <c r="CT304" s="73"/>
      <c r="CU304" s="73"/>
      <c r="CV304" s="84">
        <f t="shared" si="9"/>
        <v>0</v>
      </c>
      <c r="CW304" s="84"/>
      <c r="CX304" s="74"/>
      <c r="CY304" s="74"/>
      <c r="CZ304" s="74" t="s">
        <v>1290</v>
      </c>
      <c r="DA304" s="74"/>
      <c r="DB304" s="74"/>
      <c r="DC304" s="74"/>
      <c r="DD304" s="74"/>
    </row>
    <row r="305" spans="1:108" s="68" customFormat="1" ht="15" hidden="1" customHeight="1" x14ac:dyDescent="0.25">
      <c r="A305" s="161" t="s">
        <v>692</v>
      </c>
      <c r="B305" s="74" t="s">
        <v>154</v>
      </c>
      <c r="C305" s="74" t="s">
        <v>172</v>
      </c>
      <c r="D305" s="85" t="s">
        <v>196</v>
      </c>
      <c r="E305" s="74" t="s">
        <v>5</v>
      </c>
      <c r="F305" s="85" t="s">
        <v>551</v>
      </c>
      <c r="G305" s="74" t="s">
        <v>288</v>
      </c>
      <c r="H305" s="74" t="s">
        <v>552</v>
      </c>
      <c r="I305" s="74" t="s">
        <v>300</v>
      </c>
      <c r="J305" s="74" t="s">
        <v>529</v>
      </c>
      <c r="K305" s="82" t="s">
        <v>326</v>
      </c>
      <c r="L305" s="78" t="s">
        <v>559</v>
      </c>
      <c r="M305" s="78" t="s">
        <v>531</v>
      </c>
      <c r="N305" s="78" t="s">
        <v>7</v>
      </c>
      <c r="O305" s="97" t="s">
        <v>560</v>
      </c>
      <c r="P305" s="78" t="s">
        <v>562</v>
      </c>
      <c r="Q305" s="74" t="s">
        <v>769</v>
      </c>
      <c r="R305" s="74" t="s">
        <v>770</v>
      </c>
      <c r="S305" s="74" t="s">
        <v>771</v>
      </c>
      <c r="T305" s="74" t="s">
        <v>2</v>
      </c>
      <c r="U305" s="75">
        <v>0</v>
      </c>
      <c r="V305" s="75">
        <v>0</v>
      </c>
      <c r="W305" s="75">
        <v>0.2</v>
      </c>
      <c r="X305" s="75">
        <v>0.2</v>
      </c>
      <c r="Y305" s="75">
        <v>0.2</v>
      </c>
      <c r="Z305" s="75">
        <v>0.4</v>
      </c>
      <c r="AA305" s="75">
        <v>0.4</v>
      </c>
      <c r="AB305" s="75">
        <v>0.4</v>
      </c>
      <c r="AC305" s="75">
        <v>0.7</v>
      </c>
      <c r="AD305" s="75">
        <v>0.7</v>
      </c>
      <c r="AE305" s="75">
        <v>0.7</v>
      </c>
      <c r="AF305" s="75">
        <v>1</v>
      </c>
      <c r="AG305" s="74" t="s">
        <v>538</v>
      </c>
      <c r="AH305" s="74" t="s">
        <v>530</v>
      </c>
      <c r="AI305" s="78" t="s">
        <v>539</v>
      </c>
      <c r="AJ305" s="79" t="s">
        <v>539</v>
      </c>
      <c r="AK305" s="80">
        <v>46174</v>
      </c>
      <c r="AL305" s="80">
        <v>46326</v>
      </c>
      <c r="AM305" s="79"/>
      <c r="AN305" s="79"/>
      <c r="AO305" s="79"/>
      <c r="AP305" s="103" t="s">
        <v>548</v>
      </c>
      <c r="AQ305" s="80" t="str" cm="1">
        <f t="array" ref="AQ305">IFERROR(DATE(2026, _xlfn.AGGREGATE(15, 6, (COLUMN(CI305:CT305)-COLUMN(CI305)+1)/(CI305:CT305&lt;&gt;0), 1), 1),"N/A")</f>
        <v>N/A</v>
      </c>
      <c r="AR305" s="80" t="str" cm="1">
        <f t="array" ref="AR305">IFERROR(EOMONTH(DATE(2026, _xlfn.AGGREGATE(14, 6, (COLUMN(CI305:CT305)-COLUMN(CI305)+1)/(CI305:CT305&lt;&gt;0), 1), 1), 0),"N/A")</f>
        <v>N/A</v>
      </c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4" t="s">
        <v>1078</v>
      </c>
      <c r="BG305" s="74"/>
      <c r="BH305" s="74" t="s">
        <v>1079</v>
      </c>
      <c r="BI305" s="74" t="s">
        <v>1013</v>
      </c>
      <c r="BJ305" s="78">
        <v>730425</v>
      </c>
      <c r="BK305" s="82" t="s">
        <v>703</v>
      </c>
      <c r="BL305" s="83">
        <v>0</v>
      </c>
      <c r="BM305" s="73"/>
      <c r="BN305" s="73"/>
      <c r="BO305" s="73"/>
      <c r="BP305" s="73"/>
      <c r="BQ305" s="73"/>
      <c r="BR305" s="84"/>
      <c r="BS305" s="84"/>
      <c r="BT305" s="84"/>
      <c r="BU305" s="73"/>
      <c r="BV305" s="73"/>
      <c r="BW305" s="73"/>
      <c r="BX305" s="73"/>
      <c r="BY305" s="73"/>
      <c r="BZ305" s="73"/>
      <c r="CA305" s="73">
        <v>50000</v>
      </c>
      <c r="CB305" s="154"/>
      <c r="CC305" s="154"/>
      <c r="CD305" s="73">
        <v>-50000</v>
      </c>
      <c r="CE305" s="73"/>
      <c r="CF305" s="73"/>
      <c r="CG305" s="73"/>
      <c r="CH305" s="73">
        <f t="shared" si="8"/>
        <v>0</v>
      </c>
      <c r="CI305" s="73"/>
      <c r="CJ305" s="73"/>
      <c r="CK305" s="72"/>
      <c r="CL305" s="73"/>
      <c r="CM305" s="73"/>
      <c r="CN305" s="84"/>
      <c r="CO305" s="84"/>
      <c r="CP305" s="84"/>
      <c r="CQ305" s="73"/>
      <c r="CR305" s="73"/>
      <c r="CS305" s="73"/>
      <c r="CT305" s="73"/>
      <c r="CU305" s="73"/>
      <c r="CV305" s="84">
        <f t="shared" si="9"/>
        <v>0</v>
      </c>
      <c r="CW305" s="84"/>
      <c r="CX305" s="74"/>
      <c r="CY305" s="74"/>
      <c r="CZ305" s="74" t="s">
        <v>1290</v>
      </c>
      <c r="DA305" s="74"/>
      <c r="DB305" s="74"/>
      <c r="DC305" s="74"/>
      <c r="DD305" s="74"/>
    </row>
    <row r="306" spans="1:108" s="68" customFormat="1" ht="15" hidden="1" customHeight="1" x14ac:dyDescent="0.25">
      <c r="A306" s="161" t="s">
        <v>692</v>
      </c>
      <c r="B306" s="74" t="s">
        <v>154</v>
      </c>
      <c r="C306" s="74" t="s">
        <v>172</v>
      </c>
      <c r="D306" s="85" t="s">
        <v>196</v>
      </c>
      <c r="E306" s="74" t="s">
        <v>5</v>
      </c>
      <c r="F306" s="85" t="s">
        <v>551</v>
      </c>
      <c r="G306" s="74" t="s">
        <v>288</v>
      </c>
      <c r="H306" s="74" t="s">
        <v>552</v>
      </c>
      <c r="I306" s="74" t="s">
        <v>300</v>
      </c>
      <c r="J306" s="74" t="s">
        <v>529</v>
      </c>
      <c r="K306" s="82" t="s">
        <v>326</v>
      </c>
      <c r="L306" s="78" t="s">
        <v>559</v>
      </c>
      <c r="M306" s="78" t="s">
        <v>531</v>
      </c>
      <c r="N306" s="78" t="s">
        <v>7</v>
      </c>
      <c r="O306" s="97" t="s">
        <v>560</v>
      </c>
      <c r="P306" s="78" t="s">
        <v>562</v>
      </c>
      <c r="Q306" s="74" t="s">
        <v>769</v>
      </c>
      <c r="R306" s="74" t="s">
        <v>770</v>
      </c>
      <c r="S306" s="74" t="s">
        <v>771</v>
      </c>
      <c r="T306" s="74" t="s">
        <v>2</v>
      </c>
      <c r="U306" s="75">
        <v>0</v>
      </c>
      <c r="V306" s="75">
        <v>0</v>
      </c>
      <c r="W306" s="75">
        <v>0.2</v>
      </c>
      <c r="X306" s="75">
        <v>0.2</v>
      </c>
      <c r="Y306" s="75">
        <v>0.2</v>
      </c>
      <c r="Z306" s="75">
        <v>0.4</v>
      </c>
      <c r="AA306" s="75">
        <v>0.4</v>
      </c>
      <c r="AB306" s="75">
        <v>0.4</v>
      </c>
      <c r="AC306" s="75">
        <v>0.7</v>
      </c>
      <c r="AD306" s="75">
        <v>0.7</v>
      </c>
      <c r="AE306" s="75">
        <v>0.7</v>
      </c>
      <c r="AF306" s="75">
        <v>1</v>
      </c>
      <c r="AG306" s="74" t="s">
        <v>538</v>
      </c>
      <c r="AH306" s="74" t="s">
        <v>530</v>
      </c>
      <c r="AI306" s="78" t="s">
        <v>539</v>
      </c>
      <c r="AJ306" s="79" t="s">
        <v>539</v>
      </c>
      <c r="AK306" s="80">
        <v>46174</v>
      </c>
      <c r="AL306" s="80">
        <v>46326</v>
      </c>
      <c r="AM306" s="79"/>
      <c r="AN306" s="79"/>
      <c r="AO306" s="79"/>
      <c r="AP306" s="103" t="s">
        <v>548</v>
      </c>
      <c r="AQ306" s="80" t="str" cm="1">
        <f t="array" ref="AQ306">IFERROR(DATE(2026, _xlfn.AGGREGATE(15, 6, (COLUMN(CI306:CT306)-COLUMN(CI306)+1)/(CI306:CT306&lt;&gt;0), 1), 1),"N/A")</f>
        <v>N/A</v>
      </c>
      <c r="AR306" s="80" t="str" cm="1">
        <f t="array" ref="AR306">IFERROR(EOMONTH(DATE(2026, _xlfn.AGGREGATE(14, 6, (COLUMN(CI306:CT306)-COLUMN(CI306)+1)/(CI306:CT306&lt;&gt;0), 1), 1), 0),"N/A")</f>
        <v>N/A</v>
      </c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4" t="s">
        <v>1080</v>
      </c>
      <c r="BG306" s="74"/>
      <c r="BH306" s="74" t="s">
        <v>1081</v>
      </c>
      <c r="BI306" s="74" t="s">
        <v>1013</v>
      </c>
      <c r="BJ306" s="78">
        <v>730425</v>
      </c>
      <c r="BK306" s="82" t="s">
        <v>703</v>
      </c>
      <c r="BL306" s="83">
        <v>0</v>
      </c>
      <c r="BM306" s="73"/>
      <c r="BN306" s="73"/>
      <c r="BO306" s="73"/>
      <c r="BP306" s="73"/>
      <c r="BQ306" s="73"/>
      <c r="BR306" s="84"/>
      <c r="BS306" s="84"/>
      <c r="BT306" s="84"/>
      <c r="BU306" s="73"/>
      <c r="BV306" s="73"/>
      <c r="BW306" s="73"/>
      <c r="BX306" s="73"/>
      <c r="BY306" s="73"/>
      <c r="BZ306" s="73"/>
      <c r="CA306" s="73">
        <v>150000</v>
      </c>
      <c r="CB306" s="154"/>
      <c r="CC306" s="154"/>
      <c r="CD306" s="73">
        <v>-150000</v>
      </c>
      <c r="CE306" s="73"/>
      <c r="CF306" s="73"/>
      <c r="CG306" s="73"/>
      <c r="CH306" s="73">
        <f t="shared" si="8"/>
        <v>0</v>
      </c>
      <c r="CI306" s="73"/>
      <c r="CJ306" s="73"/>
      <c r="CK306" s="72"/>
      <c r="CL306" s="73"/>
      <c r="CM306" s="73"/>
      <c r="CN306" s="84"/>
      <c r="CO306" s="84"/>
      <c r="CP306" s="84"/>
      <c r="CQ306" s="73"/>
      <c r="CR306" s="73"/>
      <c r="CS306" s="73"/>
      <c r="CT306" s="73"/>
      <c r="CU306" s="73"/>
      <c r="CV306" s="84">
        <f t="shared" si="9"/>
        <v>0</v>
      </c>
      <c r="CW306" s="84"/>
      <c r="CX306" s="74"/>
      <c r="CY306" s="74"/>
      <c r="CZ306" s="74" t="s">
        <v>1290</v>
      </c>
      <c r="DA306" s="74"/>
      <c r="DB306" s="74"/>
      <c r="DC306" s="74"/>
      <c r="DD306" s="74"/>
    </row>
    <row r="307" spans="1:108" s="68" customFormat="1" ht="15" hidden="1" customHeight="1" x14ac:dyDescent="0.25">
      <c r="A307" s="74" t="s">
        <v>690</v>
      </c>
      <c r="B307" s="74" t="s">
        <v>154</v>
      </c>
      <c r="C307" s="74" t="s">
        <v>172</v>
      </c>
      <c r="D307" s="85" t="s">
        <v>196</v>
      </c>
      <c r="E307" s="74" t="s">
        <v>5</v>
      </c>
      <c r="F307" s="85" t="s">
        <v>551</v>
      </c>
      <c r="G307" s="74" t="s">
        <v>288</v>
      </c>
      <c r="H307" s="74" t="s">
        <v>552</v>
      </c>
      <c r="I307" s="74" t="s">
        <v>300</v>
      </c>
      <c r="J307" s="74" t="s">
        <v>529</v>
      </c>
      <c r="K307" s="82" t="s">
        <v>326</v>
      </c>
      <c r="L307" s="78" t="s">
        <v>559</v>
      </c>
      <c r="M307" s="78" t="s">
        <v>531</v>
      </c>
      <c r="N307" s="78" t="s">
        <v>7</v>
      </c>
      <c r="O307" s="97" t="s">
        <v>560</v>
      </c>
      <c r="P307" s="78" t="s">
        <v>562</v>
      </c>
      <c r="Q307" s="74" t="s">
        <v>769</v>
      </c>
      <c r="R307" s="74" t="s">
        <v>770</v>
      </c>
      <c r="S307" s="74" t="s">
        <v>771</v>
      </c>
      <c r="T307" s="74" t="s">
        <v>2</v>
      </c>
      <c r="U307" s="75">
        <v>0</v>
      </c>
      <c r="V307" s="75">
        <v>0</v>
      </c>
      <c r="W307" s="75">
        <v>0.2</v>
      </c>
      <c r="X307" s="75">
        <v>0.2</v>
      </c>
      <c r="Y307" s="75">
        <v>0.2</v>
      </c>
      <c r="Z307" s="75">
        <v>0.4</v>
      </c>
      <c r="AA307" s="75">
        <v>0.4</v>
      </c>
      <c r="AB307" s="75">
        <v>0.4</v>
      </c>
      <c r="AC307" s="75">
        <v>0.7</v>
      </c>
      <c r="AD307" s="75">
        <v>0.7</v>
      </c>
      <c r="AE307" s="75">
        <v>0.7</v>
      </c>
      <c r="AF307" s="75">
        <v>1</v>
      </c>
      <c r="AG307" s="74" t="s">
        <v>538</v>
      </c>
      <c r="AH307" s="74" t="s">
        <v>530</v>
      </c>
      <c r="AI307" s="78" t="s">
        <v>539</v>
      </c>
      <c r="AJ307" s="79" t="s">
        <v>539</v>
      </c>
      <c r="AK307" s="80">
        <v>46174</v>
      </c>
      <c r="AL307" s="80">
        <v>46326</v>
      </c>
      <c r="AM307" s="79"/>
      <c r="AN307" s="79"/>
      <c r="AO307" s="79"/>
      <c r="AP307" s="103" t="s">
        <v>548</v>
      </c>
      <c r="AQ307" s="80" t="str" cm="1">
        <f t="array" ref="AQ307">IFERROR(DATE(2026, _xlfn.AGGREGATE(15, 6, (COLUMN(CI307:CT307)-COLUMN(CI307)+1)/(CI307:CT307&lt;&gt;0), 1), 1),"N/A")</f>
        <v>N/A</v>
      </c>
      <c r="AR307" s="80" t="str" cm="1">
        <f t="array" ref="AR307">IFERROR(EOMONTH(DATE(2026, _xlfn.AGGREGATE(14, 6, (COLUMN(CI307:CT307)-COLUMN(CI307)+1)/(CI307:CT307&lt;&gt;0), 1), 1), 0),"N/A")</f>
        <v>N/A</v>
      </c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4" t="s">
        <v>672</v>
      </c>
      <c r="BG307" s="74"/>
      <c r="BH307" s="74" t="s">
        <v>1088</v>
      </c>
      <c r="BI307" s="74" t="s">
        <v>137</v>
      </c>
      <c r="BJ307" s="78">
        <v>730402</v>
      </c>
      <c r="BK307" s="82" t="s">
        <v>703</v>
      </c>
      <c r="BL307" s="83">
        <v>0</v>
      </c>
      <c r="BM307" s="73"/>
      <c r="BN307" s="73"/>
      <c r="BO307" s="73"/>
      <c r="BP307" s="73"/>
      <c r="BQ307" s="73"/>
      <c r="BR307" s="84"/>
      <c r="BS307" s="84"/>
      <c r="BT307" s="84"/>
      <c r="BU307" s="73"/>
      <c r="BV307" s="73"/>
      <c r="BW307" s="73"/>
      <c r="BX307" s="73"/>
      <c r="BY307" s="73"/>
      <c r="BZ307" s="73"/>
      <c r="CA307" s="73">
        <v>260000</v>
      </c>
      <c r="CB307" s="154">
        <v>-15500</v>
      </c>
      <c r="CC307" s="154"/>
      <c r="CD307" s="73">
        <v>-244500</v>
      </c>
      <c r="CE307" s="73"/>
      <c r="CF307" s="73"/>
      <c r="CG307" s="73"/>
      <c r="CH307" s="73">
        <f t="shared" si="8"/>
        <v>0</v>
      </c>
      <c r="CI307" s="73"/>
      <c r="CJ307" s="73"/>
      <c r="CK307" s="72"/>
      <c r="CL307" s="73"/>
      <c r="CM307" s="73"/>
      <c r="CN307" s="84"/>
      <c r="CO307" s="84"/>
      <c r="CP307" s="84"/>
      <c r="CQ307" s="73"/>
      <c r="CR307" s="73"/>
      <c r="CS307" s="73"/>
      <c r="CT307" s="73"/>
      <c r="CU307" s="73"/>
      <c r="CV307" s="84">
        <f t="shared" si="9"/>
        <v>0</v>
      </c>
      <c r="CW307" s="84"/>
      <c r="CX307" s="74"/>
      <c r="CY307" s="74"/>
      <c r="CZ307" s="74"/>
      <c r="DA307" s="74"/>
      <c r="DB307" s="74"/>
      <c r="DC307" s="74"/>
      <c r="DD307" s="74"/>
    </row>
    <row r="308" spans="1:108" s="423" customFormat="1" ht="15" hidden="1" customHeight="1" x14ac:dyDescent="0.25">
      <c r="A308" s="418" t="s">
        <v>690</v>
      </c>
      <c r="B308" s="74" t="s">
        <v>154</v>
      </c>
      <c r="C308" s="74" t="s">
        <v>172</v>
      </c>
      <c r="D308" s="85" t="s">
        <v>196</v>
      </c>
      <c r="E308" s="74" t="s">
        <v>5</v>
      </c>
      <c r="F308" s="85" t="s">
        <v>551</v>
      </c>
      <c r="G308" s="74" t="s">
        <v>288</v>
      </c>
      <c r="H308" s="74" t="s">
        <v>552</v>
      </c>
      <c r="I308" s="74" t="s">
        <v>300</v>
      </c>
      <c r="J308" s="74" t="s">
        <v>529</v>
      </c>
      <c r="K308" s="82" t="s">
        <v>326</v>
      </c>
      <c r="L308" s="78" t="s">
        <v>559</v>
      </c>
      <c r="M308" s="78" t="s">
        <v>531</v>
      </c>
      <c r="N308" s="78" t="s">
        <v>7</v>
      </c>
      <c r="O308" s="97" t="s">
        <v>560</v>
      </c>
      <c r="P308" s="78" t="s">
        <v>562</v>
      </c>
      <c r="Q308" s="74" t="s">
        <v>769</v>
      </c>
      <c r="R308" s="74" t="s">
        <v>770</v>
      </c>
      <c r="S308" s="74" t="s">
        <v>771</v>
      </c>
      <c r="T308" s="74" t="s">
        <v>2</v>
      </c>
      <c r="U308" s="75">
        <v>0</v>
      </c>
      <c r="V308" s="75">
        <v>0</v>
      </c>
      <c r="W308" s="75">
        <v>0.2</v>
      </c>
      <c r="X308" s="75">
        <v>0.2</v>
      </c>
      <c r="Y308" s="75">
        <v>0.2</v>
      </c>
      <c r="Z308" s="75">
        <v>0.4</v>
      </c>
      <c r="AA308" s="75">
        <v>0.4</v>
      </c>
      <c r="AB308" s="75">
        <v>0.4</v>
      </c>
      <c r="AC308" s="75">
        <v>0.7</v>
      </c>
      <c r="AD308" s="75">
        <v>0.7</v>
      </c>
      <c r="AE308" s="75">
        <v>0.7</v>
      </c>
      <c r="AF308" s="75">
        <v>1</v>
      </c>
      <c r="AG308" s="74" t="s">
        <v>538</v>
      </c>
      <c r="AH308" s="74" t="s">
        <v>530</v>
      </c>
      <c r="AI308" s="78" t="s">
        <v>539</v>
      </c>
      <c r="AJ308" s="79" t="s">
        <v>539</v>
      </c>
      <c r="AK308" s="80">
        <v>46174</v>
      </c>
      <c r="AL308" s="80">
        <v>46326</v>
      </c>
      <c r="AM308" s="79"/>
      <c r="AN308" s="79"/>
      <c r="AO308" s="79"/>
      <c r="AP308" s="103" t="s">
        <v>548</v>
      </c>
      <c r="AQ308" s="80" t="str" cm="1">
        <f t="array" ref="AQ308">IFERROR(DATE(2026, _xlfn.AGGREGATE(15, 6, (COLUMN(CI308:CT308)-COLUMN(CI308)+1)/(CI308:CT308&lt;&gt;0), 1), 1),"N/A")</f>
        <v>N/A</v>
      </c>
      <c r="AR308" s="80" t="str" cm="1">
        <f t="array" ref="AR308">IFERROR(EOMONTH(DATE(2026, _xlfn.AGGREGATE(14, 6, (COLUMN(CI308:CT308)-COLUMN(CI308)+1)/(CI308:CT308&lt;&gt;0), 1), 1), 0),"N/A")</f>
        <v>N/A</v>
      </c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418" t="s">
        <v>1122</v>
      </c>
      <c r="BG308" s="74"/>
      <c r="BH308" s="418" t="s">
        <v>1123</v>
      </c>
      <c r="BI308" s="74" t="s">
        <v>1013</v>
      </c>
      <c r="BJ308" s="419">
        <v>730606</v>
      </c>
      <c r="BK308" s="420" t="s">
        <v>703</v>
      </c>
      <c r="BL308" s="83"/>
      <c r="BM308" s="73"/>
      <c r="BN308" s="73"/>
      <c r="BO308" s="73"/>
      <c r="BP308" s="73"/>
      <c r="BQ308" s="73"/>
      <c r="BR308" s="84"/>
      <c r="BS308" s="84"/>
      <c r="BT308" s="84"/>
      <c r="BU308" s="73"/>
      <c r="BV308" s="73"/>
      <c r="BW308" s="73"/>
      <c r="BX308" s="73"/>
      <c r="BY308" s="73"/>
      <c r="BZ308" s="73"/>
      <c r="CA308" s="73"/>
      <c r="CB308" s="154">
        <v>15500</v>
      </c>
      <c r="CC308" s="154"/>
      <c r="CD308" s="73"/>
      <c r="CE308" s="73"/>
      <c r="CF308" s="73"/>
      <c r="CG308" s="73">
        <v>-15000</v>
      </c>
      <c r="CH308" s="421">
        <f t="shared" si="8"/>
        <v>500</v>
      </c>
      <c r="CI308" s="73"/>
      <c r="CJ308" s="73"/>
      <c r="CK308" s="72"/>
      <c r="CL308" s="73"/>
      <c r="CM308" s="73"/>
      <c r="CN308" s="84"/>
      <c r="CO308" s="84"/>
      <c r="CP308" s="84"/>
      <c r="CQ308" s="73"/>
      <c r="CR308" s="73"/>
      <c r="CS308" s="73"/>
      <c r="CT308" s="421"/>
      <c r="CU308" s="421">
        <v>500</v>
      </c>
      <c r="CV308" s="422">
        <f t="shared" si="9"/>
        <v>0</v>
      </c>
      <c r="CW308" s="422"/>
      <c r="CX308" s="418"/>
      <c r="CY308" s="418"/>
      <c r="CZ308" s="418"/>
      <c r="DA308" s="418"/>
      <c r="DB308" s="418"/>
      <c r="DC308" s="418"/>
      <c r="DD308" s="418"/>
    </row>
    <row r="309" spans="1:108" s="68" customFormat="1" ht="15" hidden="1" customHeight="1" x14ac:dyDescent="0.25">
      <c r="A309" s="161" t="s">
        <v>692</v>
      </c>
      <c r="B309" s="74" t="s">
        <v>154</v>
      </c>
      <c r="C309" s="74" t="s">
        <v>172</v>
      </c>
      <c r="D309" s="85" t="s">
        <v>196</v>
      </c>
      <c r="E309" s="74" t="s">
        <v>5</v>
      </c>
      <c r="F309" s="85" t="s">
        <v>551</v>
      </c>
      <c r="G309" s="74" t="s">
        <v>288</v>
      </c>
      <c r="H309" s="74" t="s">
        <v>552</v>
      </c>
      <c r="I309" s="74" t="s">
        <v>300</v>
      </c>
      <c r="J309" s="74" t="s">
        <v>529</v>
      </c>
      <c r="K309" s="82" t="s">
        <v>326</v>
      </c>
      <c r="L309" s="78" t="s">
        <v>559</v>
      </c>
      <c r="M309" s="78" t="s">
        <v>531</v>
      </c>
      <c r="N309" s="78" t="s">
        <v>7</v>
      </c>
      <c r="O309" s="97" t="s">
        <v>560</v>
      </c>
      <c r="P309" s="78" t="s">
        <v>562</v>
      </c>
      <c r="Q309" s="74" t="s">
        <v>769</v>
      </c>
      <c r="R309" s="74" t="s">
        <v>770</v>
      </c>
      <c r="S309" s="74" t="s">
        <v>771</v>
      </c>
      <c r="T309" s="74" t="s">
        <v>2</v>
      </c>
      <c r="U309" s="75">
        <v>0</v>
      </c>
      <c r="V309" s="75">
        <v>0</v>
      </c>
      <c r="W309" s="75">
        <v>0.2</v>
      </c>
      <c r="X309" s="75">
        <v>0.2</v>
      </c>
      <c r="Y309" s="75">
        <v>0.2</v>
      </c>
      <c r="Z309" s="75">
        <v>0.4</v>
      </c>
      <c r="AA309" s="75">
        <v>0.4</v>
      </c>
      <c r="AB309" s="75">
        <v>0.4</v>
      </c>
      <c r="AC309" s="75">
        <v>0.7</v>
      </c>
      <c r="AD309" s="75">
        <v>0.7</v>
      </c>
      <c r="AE309" s="75">
        <v>0.7</v>
      </c>
      <c r="AF309" s="75">
        <v>1</v>
      </c>
      <c r="AG309" s="74" t="s">
        <v>538</v>
      </c>
      <c r="AH309" s="74" t="s">
        <v>530</v>
      </c>
      <c r="AI309" s="78" t="s">
        <v>539</v>
      </c>
      <c r="AJ309" s="79" t="s">
        <v>539</v>
      </c>
      <c r="AK309" s="80">
        <v>46174</v>
      </c>
      <c r="AL309" s="80">
        <v>46326</v>
      </c>
      <c r="AM309" s="79"/>
      <c r="AN309" s="79"/>
      <c r="AO309" s="79"/>
      <c r="AP309" s="103" t="s">
        <v>548</v>
      </c>
      <c r="AQ309" s="80" t="str" cm="1">
        <f t="array" ref="AQ309">IFERROR(DATE(2026, _xlfn.AGGREGATE(15, 6, (COLUMN(CI309:CT309)-COLUMN(CI309)+1)/(CI309:CT309&lt;&gt;0), 1), 1),"N/A")</f>
        <v>N/A</v>
      </c>
      <c r="AR309" s="80" t="str" cm="1">
        <f t="array" ref="AR309">IFERROR(EOMONTH(DATE(2026, _xlfn.AGGREGATE(14, 6, (COLUMN(CI309:CT309)-COLUMN(CI309)+1)/(CI309:CT309&lt;&gt;0), 1), 1), 0),"N/A")</f>
        <v>N/A</v>
      </c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4" t="s">
        <v>705</v>
      </c>
      <c r="BG309" s="74"/>
      <c r="BH309" s="74" t="s">
        <v>948</v>
      </c>
      <c r="BI309" s="74" t="s">
        <v>1013</v>
      </c>
      <c r="BJ309" s="78">
        <v>730601</v>
      </c>
      <c r="BK309" s="82" t="s">
        <v>703</v>
      </c>
      <c r="BL309" s="83">
        <v>120000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120000</v>
      </c>
      <c r="BX309" s="73">
        <v>0</v>
      </c>
      <c r="BY309" s="73">
        <v>-120000</v>
      </c>
      <c r="BZ309" s="73"/>
      <c r="CA309" s="73"/>
      <c r="CB309" s="73"/>
      <c r="CC309" s="73"/>
      <c r="CD309" s="73"/>
      <c r="CE309" s="73"/>
      <c r="CF309" s="73"/>
      <c r="CG309" s="73"/>
      <c r="CH309" s="73">
        <f t="shared" si="8"/>
        <v>0</v>
      </c>
      <c r="CI309" s="73"/>
      <c r="CJ309" s="73"/>
      <c r="CK309" s="72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/>
      <c r="CV309" s="84">
        <f t="shared" si="9"/>
        <v>0</v>
      </c>
      <c r="CW309" s="84"/>
      <c r="CX309" s="74"/>
      <c r="CY309" s="74"/>
      <c r="CZ309" s="74" t="s">
        <v>1290</v>
      </c>
      <c r="DA309" s="74"/>
      <c r="DB309" s="74"/>
      <c r="DC309" s="74"/>
      <c r="DD309" s="74"/>
    </row>
    <row r="310" spans="1:108" s="68" customFormat="1" ht="15" hidden="1" customHeight="1" x14ac:dyDescent="0.25">
      <c r="A310" s="74" t="s">
        <v>690</v>
      </c>
      <c r="B310" s="74" t="s">
        <v>154</v>
      </c>
      <c r="C310" s="74" t="s">
        <v>172</v>
      </c>
      <c r="D310" s="85" t="s">
        <v>196</v>
      </c>
      <c r="E310" s="74" t="s">
        <v>5</v>
      </c>
      <c r="F310" s="85" t="s">
        <v>551</v>
      </c>
      <c r="G310" s="74" t="s">
        <v>288</v>
      </c>
      <c r="H310" s="74" t="s">
        <v>552</v>
      </c>
      <c r="I310" s="74" t="s">
        <v>300</v>
      </c>
      <c r="J310" s="74" t="s">
        <v>529</v>
      </c>
      <c r="K310" s="82" t="s">
        <v>326</v>
      </c>
      <c r="L310" s="78" t="s">
        <v>559</v>
      </c>
      <c r="M310" s="78" t="s">
        <v>531</v>
      </c>
      <c r="N310" s="78" t="s">
        <v>7</v>
      </c>
      <c r="O310" s="97" t="s">
        <v>560</v>
      </c>
      <c r="P310" s="97" t="s">
        <v>715</v>
      </c>
      <c r="Q310" s="74" t="s">
        <v>763</v>
      </c>
      <c r="R310" s="74" t="s">
        <v>764</v>
      </c>
      <c r="S310" s="74" t="s">
        <v>765</v>
      </c>
      <c r="T310" s="74" t="s">
        <v>2</v>
      </c>
      <c r="U310" s="75">
        <v>0</v>
      </c>
      <c r="V310" s="75">
        <v>0</v>
      </c>
      <c r="W310" s="75">
        <v>0.85</v>
      </c>
      <c r="X310" s="75">
        <v>0.85</v>
      </c>
      <c r="Y310" s="75">
        <v>0.85</v>
      </c>
      <c r="Z310" s="75">
        <v>0.85</v>
      </c>
      <c r="AA310" s="75">
        <v>0.85</v>
      </c>
      <c r="AB310" s="75">
        <v>0.85</v>
      </c>
      <c r="AC310" s="75">
        <v>0.85</v>
      </c>
      <c r="AD310" s="75">
        <v>0.85</v>
      </c>
      <c r="AE310" s="75">
        <v>0.85</v>
      </c>
      <c r="AF310" s="75">
        <v>0.85</v>
      </c>
      <c r="AG310" s="74" t="s">
        <v>537</v>
      </c>
      <c r="AH310" s="74" t="s">
        <v>530</v>
      </c>
      <c r="AI310" s="78" t="s">
        <v>539</v>
      </c>
      <c r="AJ310" s="79" t="s">
        <v>539</v>
      </c>
      <c r="AK310" s="80">
        <v>46296</v>
      </c>
      <c r="AL310" s="80">
        <v>46356</v>
      </c>
      <c r="AM310" s="79"/>
      <c r="AN310" s="79"/>
      <c r="AO310" s="79"/>
      <c r="AP310" s="81" t="s">
        <v>547</v>
      </c>
      <c r="AQ310" s="80" t="str" cm="1">
        <f t="array" ref="AQ310">IFERROR(DATE(2026, _xlfn.AGGREGATE(15, 6, (COLUMN(CI310:CT310)-COLUMN(CI310)+1)/(CI310:CT310&lt;&gt;0), 1), 1),"N/A")</f>
        <v>N/A</v>
      </c>
      <c r="AR310" s="80" t="str" cm="1">
        <f t="array" ref="AR310">IFERROR(EOMONTH(DATE(2026, _xlfn.AGGREGATE(14, 6, (COLUMN(CI310:CT310)-COLUMN(CI310)+1)/(CI310:CT310&lt;&gt;0), 1), 1), 0),"N/A")</f>
        <v>N/A</v>
      </c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4" t="s">
        <v>1142</v>
      </c>
      <c r="BG310" s="74"/>
      <c r="BH310" s="74" t="s">
        <v>1147</v>
      </c>
      <c r="BI310" s="74" t="s">
        <v>137</v>
      </c>
      <c r="BJ310" s="78">
        <v>730606</v>
      </c>
      <c r="BK310" s="82" t="s">
        <v>703</v>
      </c>
      <c r="BL310" s="83"/>
      <c r="BM310" s="73"/>
      <c r="BN310" s="73"/>
      <c r="BO310" s="73"/>
      <c r="BP310" s="73"/>
      <c r="BQ310" s="73"/>
      <c r="BR310" s="73"/>
      <c r="BS310" s="73"/>
      <c r="BT310" s="73"/>
      <c r="BU310" s="84"/>
      <c r="BV310" s="73"/>
      <c r="BW310" s="73"/>
      <c r="BX310" s="73"/>
      <c r="BY310" s="73"/>
      <c r="BZ310" s="73"/>
      <c r="CA310" s="73"/>
      <c r="CB310" s="73"/>
      <c r="CC310" s="73"/>
      <c r="CD310" s="73">
        <v>10000</v>
      </c>
      <c r="CE310" s="73"/>
      <c r="CF310" s="73"/>
      <c r="CG310" s="73">
        <v>-10000</v>
      </c>
      <c r="CH310" s="73">
        <f t="shared" si="8"/>
        <v>0</v>
      </c>
      <c r="CI310" s="73"/>
      <c r="CJ310" s="73"/>
      <c r="CK310" s="72"/>
      <c r="CL310" s="73"/>
      <c r="CM310" s="73"/>
      <c r="CN310" s="73"/>
      <c r="CO310" s="73"/>
      <c r="CP310" s="73"/>
      <c r="CQ310" s="84"/>
      <c r="CR310" s="73"/>
      <c r="CS310" s="73"/>
      <c r="CT310" s="73"/>
      <c r="CU310" s="73"/>
      <c r="CV310" s="84">
        <f t="shared" si="9"/>
        <v>0</v>
      </c>
      <c r="CW310" s="84"/>
      <c r="CX310" s="74"/>
      <c r="CY310" s="74"/>
      <c r="CZ310" s="74"/>
      <c r="DA310" s="74"/>
      <c r="DB310" s="74"/>
      <c r="DC310" s="74"/>
      <c r="DD310" s="74"/>
    </row>
    <row r="311" spans="1:108" s="68" customFormat="1" ht="15" hidden="1" customHeight="1" x14ac:dyDescent="0.25">
      <c r="A311" s="161" t="s">
        <v>692</v>
      </c>
      <c r="B311" s="74" t="s">
        <v>154</v>
      </c>
      <c r="C311" s="74" t="s">
        <v>172</v>
      </c>
      <c r="D311" s="85" t="s">
        <v>196</v>
      </c>
      <c r="E311" s="74" t="s">
        <v>5</v>
      </c>
      <c r="F311" s="85" t="s">
        <v>551</v>
      </c>
      <c r="G311" s="74" t="s">
        <v>288</v>
      </c>
      <c r="H311" s="74" t="s">
        <v>552</v>
      </c>
      <c r="I311" s="74" t="s">
        <v>300</v>
      </c>
      <c r="J311" s="74" t="s">
        <v>529</v>
      </c>
      <c r="K311" s="82" t="s">
        <v>326</v>
      </c>
      <c r="L311" s="78" t="s">
        <v>559</v>
      </c>
      <c r="M311" s="78" t="s">
        <v>531</v>
      </c>
      <c r="N311" s="78" t="s">
        <v>7</v>
      </c>
      <c r="O311" s="97" t="s">
        <v>560</v>
      </c>
      <c r="P311" s="78" t="s">
        <v>562</v>
      </c>
      <c r="Q311" s="74" t="s">
        <v>769</v>
      </c>
      <c r="R311" s="74" t="s">
        <v>770</v>
      </c>
      <c r="S311" s="74" t="s">
        <v>771</v>
      </c>
      <c r="T311" s="74" t="s">
        <v>2</v>
      </c>
      <c r="U311" s="75">
        <v>0</v>
      </c>
      <c r="V311" s="75">
        <v>0</v>
      </c>
      <c r="W311" s="75">
        <v>0.2</v>
      </c>
      <c r="X311" s="75">
        <v>0.2</v>
      </c>
      <c r="Y311" s="75">
        <v>0.2</v>
      </c>
      <c r="Z311" s="75">
        <v>0.4</v>
      </c>
      <c r="AA311" s="75">
        <v>0.4</v>
      </c>
      <c r="AB311" s="75">
        <v>0.4</v>
      </c>
      <c r="AC311" s="75">
        <v>0.7</v>
      </c>
      <c r="AD311" s="75">
        <v>0.7</v>
      </c>
      <c r="AE311" s="75">
        <v>0.7</v>
      </c>
      <c r="AF311" s="75">
        <v>1</v>
      </c>
      <c r="AG311" s="74" t="s">
        <v>538</v>
      </c>
      <c r="AH311" s="74" t="s">
        <v>530</v>
      </c>
      <c r="AI311" s="78" t="s">
        <v>539</v>
      </c>
      <c r="AJ311" s="79" t="s">
        <v>539</v>
      </c>
      <c r="AK311" s="80">
        <v>46174</v>
      </c>
      <c r="AL311" s="80">
        <v>46326</v>
      </c>
      <c r="AM311" s="79"/>
      <c r="AN311" s="79"/>
      <c r="AO311" s="79"/>
      <c r="AP311" s="103" t="s">
        <v>548</v>
      </c>
      <c r="AQ311" s="80" t="str" cm="1">
        <f t="array" ref="AQ311">IFERROR(DATE(2026, _xlfn.AGGREGATE(15, 6, (COLUMN(CI311:CT311)-COLUMN(CI311)+1)/(CI311:CT311&lt;&gt;0), 1), 1),"N/A")</f>
        <v>N/A</v>
      </c>
      <c r="AR311" s="80" t="str" cm="1">
        <f t="array" ref="AR311">IFERROR(EOMONTH(DATE(2026, _xlfn.AGGREGATE(14, 6, (COLUMN(CI311:CT311)-COLUMN(CI311)+1)/(CI311:CT311&lt;&gt;0), 1), 1), 0),"N/A")</f>
        <v>N/A</v>
      </c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4" t="s">
        <v>675</v>
      </c>
      <c r="BG311" s="74"/>
      <c r="BH311" s="74" t="s">
        <v>939</v>
      </c>
      <c r="BI311" s="74" t="s">
        <v>1013</v>
      </c>
      <c r="BJ311" s="78">
        <v>730425</v>
      </c>
      <c r="BK311" s="82" t="s">
        <v>703</v>
      </c>
      <c r="BL311" s="83">
        <v>75000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84">
        <v>30000</v>
      </c>
      <c r="BS311" s="84">
        <v>30000</v>
      </c>
      <c r="BT311" s="84">
        <v>15000</v>
      </c>
      <c r="BU311" s="73">
        <v>0</v>
      </c>
      <c r="BV311" s="73">
        <v>0</v>
      </c>
      <c r="BW311" s="73">
        <v>0</v>
      </c>
      <c r="BX311" s="73">
        <v>0</v>
      </c>
      <c r="BY311" s="73">
        <v>-75000</v>
      </c>
      <c r="BZ311" s="73"/>
      <c r="CA311" s="73"/>
      <c r="CB311" s="73"/>
      <c r="CC311" s="73"/>
      <c r="CD311" s="73"/>
      <c r="CE311" s="73"/>
      <c r="CF311" s="73"/>
      <c r="CG311" s="73"/>
      <c r="CH311" s="73">
        <f t="shared" si="8"/>
        <v>0</v>
      </c>
      <c r="CI311" s="73"/>
      <c r="CJ311" s="73"/>
      <c r="CK311" s="72">
        <v>0</v>
      </c>
      <c r="CL311" s="73">
        <v>0</v>
      </c>
      <c r="CM311" s="73">
        <v>0</v>
      </c>
      <c r="CN311" s="84"/>
      <c r="CO311" s="84"/>
      <c r="CP311" s="84"/>
      <c r="CQ311" s="73">
        <v>0</v>
      </c>
      <c r="CR311" s="73">
        <v>0</v>
      </c>
      <c r="CS311" s="73">
        <v>0</v>
      </c>
      <c r="CT311" s="73">
        <v>0</v>
      </c>
      <c r="CU311" s="73"/>
      <c r="CV311" s="84">
        <f t="shared" si="9"/>
        <v>0</v>
      </c>
      <c r="CW311" s="84"/>
      <c r="CX311" s="74"/>
      <c r="CY311" s="74"/>
      <c r="CZ311" s="74" t="s">
        <v>1290</v>
      </c>
      <c r="DA311" s="74"/>
      <c r="DB311" s="74"/>
      <c r="DC311" s="74"/>
      <c r="DD311" s="74"/>
    </row>
    <row r="312" spans="1:108" s="68" customFormat="1" ht="15" hidden="1" customHeight="1" x14ac:dyDescent="0.25">
      <c r="A312" s="85" t="s">
        <v>695</v>
      </c>
      <c r="B312" s="74" t="s">
        <v>154</v>
      </c>
      <c r="C312" s="74" t="s">
        <v>172</v>
      </c>
      <c r="D312" s="85" t="s">
        <v>196</v>
      </c>
      <c r="E312" s="74" t="s">
        <v>5</v>
      </c>
      <c r="F312" s="85" t="s">
        <v>551</v>
      </c>
      <c r="G312" s="74" t="s">
        <v>288</v>
      </c>
      <c r="H312" s="74" t="s">
        <v>552</v>
      </c>
      <c r="I312" s="74" t="s">
        <v>300</v>
      </c>
      <c r="J312" s="74" t="s">
        <v>529</v>
      </c>
      <c r="K312" s="82" t="s">
        <v>326</v>
      </c>
      <c r="L312" s="78" t="s">
        <v>559</v>
      </c>
      <c r="M312" s="78" t="s">
        <v>531</v>
      </c>
      <c r="N312" s="78" t="s">
        <v>7</v>
      </c>
      <c r="O312" s="97" t="s">
        <v>560</v>
      </c>
      <c r="P312" s="97" t="s">
        <v>561</v>
      </c>
      <c r="Q312" s="74" t="s">
        <v>766</v>
      </c>
      <c r="R312" s="74" t="s">
        <v>767</v>
      </c>
      <c r="S312" s="74" t="s">
        <v>768</v>
      </c>
      <c r="T312" s="74" t="s">
        <v>320</v>
      </c>
      <c r="U312" s="75"/>
      <c r="V312" s="75"/>
      <c r="W312" s="75">
        <v>0.05</v>
      </c>
      <c r="X312" s="75"/>
      <c r="Y312" s="75"/>
      <c r="Z312" s="75">
        <v>0.05</v>
      </c>
      <c r="AA312" s="75"/>
      <c r="AB312" s="75"/>
      <c r="AC312" s="75">
        <v>0.05</v>
      </c>
      <c r="AD312" s="75"/>
      <c r="AE312" s="75"/>
      <c r="AF312" s="75">
        <v>0.05</v>
      </c>
      <c r="AG312" s="74" t="s">
        <v>536</v>
      </c>
      <c r="AH312" s="74" t="s">
        <v>530</v>
      </c>
      <c r="AI312" s="78" t="s">
        <v>539</v>
      </c>
      <c r="AJ312" s="79" t="s">
        <v>539</v>
      </c>
      <c r="AK312" s="80">
        <v>46023</v>
      </c>
      <c r="AL312" s="80">
        <v>46387</v>
      </c>
      <c r="AM312" s="79"/>
      <c r="AN312" s="79"/>
      <c r="AO312" s="79"/>
      <c r="AP312" s="103" t="s">
        <v>546</v>
      </c>
      <c r="AQ312" s="80" t="str" cm="1">
        <f t="array" ref="AQ312">IFERROR(DATE(2026, _xlfn.AGGREGATE(15, 6, (COLUMN(CI312:CT312)-COLUMN(CI312)+1)/(CI312:CT312&lt;&gt;0), 1), 1),"N/A")</f>
        <v>N/A</v>
      </c>
      <c r="AR312" s="80" t="str" cm="1">
        <f t="array" ref="AR312">IFERROR(EOMONTH(DATE(2026, _xlfn.AGGREGATE(14, 6, (COLUMN(CI312:CT312)-COLUMN(CI312)+1)/(CI312:CT312&lt;&gt;0), 1), 1), 0),"N/A")</f>
        <v>N/A</v>
      </c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4" t="s">
        <v>674</v>
      </c>
      <c r="BG312" s="74"/>
      <c r="BH312" s="74" t="s">
        <v>951</v>
      </c>
      <c r="BI312" s="74" t="s">
        <v>1011</v>
      </c>
      <c r="BJ312" s="78">
        <v>730207</v>
      </c>
      <c r="BK312" s="82" t="s">
        <v>703</v>
      </c>
      <c r="BL312" s="83">
        <v>70000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84">
        <v>35000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84">
        <v>35000</v>
      </c>
      <c r="BY312" s="84">
        <v>30000</v>
      </c>
      <c r="BZ312" s="84"/>
      <c r="CA312" s="84">
        <v>-100000</v>
      </c>
      <c r="CB312" s="84"/>
      <c r="CC312" s="84"/>
      <c r="CD312" s="84"/>
      <c r="CE312" s="84"/>
      <c r="CF312" s="84"/>
      <c r="CG312" s="84"/>
      <c r="CH312" s="73">
        <f t="shared" si="8"/>
        <v>0</v>
      </c>
      <c r="CI312" s="73"/>
      <c r="CJ312" s="73"/>
      <c r="CK312" s="72">
        <v>0</v>
      </c>
      <c r="CL312" s="73">
        <v>0</v>
      </c>
      <c r="CM312" s="73">
        <v>0</v>
      </c>
      <c r="CN312" s="84"/>
      <c r="CO312" s="84"/>
      <c r="CP312" s="73">
        <v>0</v>
      </c>
      <c r="CQ312" s="73">
        <v>0</v>
      </c>
      <c r="CR312" s="73">
        <v>0</v>
      </c>
      <c r="CS312" s="73"/>
      <c r="CT312" s="84"/>
      <c r="CU312" s="84"/>
      <c r="CV312" s="84">
        <f t="shared" si="9"/>
        <v>0</v>
      </c>
      <c r="CW312" s="84"/>
      <c r="CX312" s="74"/>
      <c r="CY312" s="74"/>
      <c r="CZ312" s="74"/>
      <c r="DA312" s="74"/>
      <c r="DB312" s="74"/>
      <c r="DC312" s="74"/>
      <c r="DD312" s="74"/>
    </row>
    <row r="313" spans="1:108" s="68" customFormat="1" ht="15" hidden="1" customHeight="1" x14ac:dyDescent="0.25">
      <c r="A313" s="161" t="s">
        <v>692</v>
      </c>
      <c r="B313" s="74" t="s">
        <v>154</v>
      </c>
      <c r="C313" s="74" t="s">
        <v>172</v>
      </c>
      <c r="D313" s="85" t="s">
        <v>196</v>
      </c>
      <c r="E313" s="74" t="s">
        <v>5</v>
      </c>
      <c r="F313" s="85" t="s">
        <v>551</v>
      </c>
      <c r="G313" s="74" t="s">
        <v>288</v>
      </c>
      <c r="H313" s="74" t="s">
        <v>552</v>
      </c>
      <c r="I313" s="74" t="s">
        <v>300</v>
      </c>
      <c r="J313" s="74" t="s">
        <v>529</v>
      </c>
      <c r="K313" s="82" t="s">
        <v>326</v>
      </c>
      <c r="L313" s="78" t="s">
        <v>559</v>
      </c>
      <c r="M313" s="78" t="s">
        <v>531</v>
      </c>
      <c r="N313" s="78" t="s">
        <v>7</v>
      </c>
      <c r="O313" s="97" t="s">
        <v>560</v>
      </c>
      <c r="P313" s="97" t="s">
        <v>561</v>
      </c>
      <c r="Q313" s="74" t="s">
        <v>766</v>
      </c>
      <c r="R313" s="74" t="s">
        <v>767</v>
      </c>
      <c r="S313" s="74" t="s">
        <v>768</v>
      </c>
      <c r="T313" s="74" t="s">
        <v>320</v>
      </c>
      <c r="U313" s="75"/>
      <c r="V313" s="75"/>
      <c r="W313" s="75">
        <v>0.05</v>
      </c>
      <c r="X313" s="75"/>
      <c r="Y313" s="75"/>
      <c r="Z313" s="75">
        <v>0.05</v>
      </c>
      <c r="AA313" s="75"/>
      <c r="AB313" s="75"/>
      <c r="AC313" s="75">
        <v>0.05</v>
      </c>
      <c r="AD313" s="75"/>
      <c r="AE313" s="75"/>
      <c r="AF313" s="75">
        <v>0.05</v>
      </c>
      <c r="AG313" s="74" t="s">
        <v>536</v>
      </c>
      <c r="AH313" s="74" t="s">
        <v>530</v>
      </c>
      <c r="AI313" s="78" t="s">
        <v>539</v>
      </c>
      <c r="AJ313" s="79" t="s">
        <v>539</v>
      </c>
      <c r="AK313" s="80">
        <v>46023</v>
      </c>
      <c r="AL313" s="80">
        <v>46387</v>
      </c>
      <c r="AM313" s="79"/>
      <c r="AN313" s="79"/>
      <c r="AO313" s="79"/>
      <c r="AP313" s="103" t="s">
        <v>546</v>
      </c>
      <c r="AQ313" s="80" t="str" cm="1">
        <f t="array" ref="AQ313">IFERROR(DATE(2026, _xlfn.AGGREGATE(15, 6, (COLUMN(CI313:CT313)-COLUMN(CI313)+1)/(CI313:CT313&lt;&gt;0), 1), 1),"N/A")</f>
        <v>N/A</v>
      </c>
      <c r="AR313" s="80" t="str" cm="1">
        <f t="array" ref="AR313">IFERROR(EOMONTH(DATE(2026, _xlfn.AGGREGATE(14, 6, (COLUMN(CI313:CT313)-COLUMN(CI313)+1)/(CI313:CT313&lt;&gt;0), 1), 1), 0),"N/A")</f>
        <v>N/A</v>
      </c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4" t="s">
        <v>1157</v>
      </c>
      <c r="BG313" s="74"/>
      <c r="BH313" s="74" t="s">
        <v>946</v>
      </c>
      <c r="BI313" s="74" t="s">
        <v>1011</v>
      </c>
      <c r="BJ313" s="78">
        <v>730249</v>
      </c>
      <c r="BK313" s="82" t="s">
        <v>703</v>
      </c>
      <c r="BL313" s="83">
        <v>310000</v>
      </c>
      <c r="BM313" s="73">
        <v>0</v>
      </c>
      <c r="BN313" s="73">
        <v>0</v>
      </c>
      <c r="BO313" s="73">
        <v>0</v>
      </c>
      <c r="BP313" s="72">
        <v>65000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84">
        <v>20000</v>
      </c>
      <c r="BX313" s="84">
        <v>225000</v>
      </c>
      <c r="BY313" s="84">
        <v>227792</v>
      </c>
      <c r="BZ313" s="84"/>
      <c r="CA313" s="84">
        <v>-537792</v>
      </c>
      <c r="CB313" s="84"/>
      <c r="CC313" s="84"/>
      <c r="CD313" s="84"/>
      <c r="CE313" s="84"/>
      <c r="CF313" s="84"/>
      <c r="CG313" s="84"/>
      <c r="CH313" s="73">
        <f t="shared" si="8"/>
        <v>0</v>
      </c>
      <c r="CI313" s="73"/>
      <c r="CJ313" s="73"/>
      <c r="CK313" s="72"/>
      <c r="CL313" s="72"/>
      <c r="CM313" s="73"/>
      <c r="CN313" s="73"/>
      <c r="CO313" s="73"/>
      <c r="CP313" s="73"/>
      <c r="CQ313" s="73"/>
      <c r="CR313" s="73"/>
      <c r="CS313" s="84"/>
      <c r="CT313" s="84"/>
      <c r="CU313" s="84"/>
      <c r="CV313" s="84">
        <f t="shared" si="9"/>
        <v>0</v>
      </c>
      <c r="CW313" s="84"/>
      <c r="CX313" s="74"/>
      <c r="CY313" s="74"/>
      <c r="CZ313" s="74" t="s">
        <v>1290</v>
      </c>
      <c r="DA313" s="74"/>
      <c r="DB313" s="74"/>
      <c r="DC313" s="74"/>
      <c r="DD313" s="74"/>
    </row>
    <row r="314" spans="1:108" s="68" customFormat="1" ht="190.9" hidden="1" customHeight="1" x14ac:dyDescent="0.25">
      <c r="A314" s="74" t="s">
        <v>693</v>
      </c>
      <c r="B314" s="74" t="s">
        <v>154</v>
      </c>
      <c r="C314" s="74" t="s">
        <v>172</v>
      </c>
      <c r="D314" s="85" t="s">
        <v>196</v>
      </c>
      <c r="E314" s="74" t="s">
        <v>5</v>
      </c>
      <c r="F314" s="85" t="s">
        <v>551</v>
      </c>
      <c r="G314" s="74" t="s">
        <v>288</v>
      </c>
      <c r="H314" s="74" t="s">
        <v>552</v>
      </c>
      <c r="I314" s="74" t="s">
        <v>300</v>
      </c>
      <c r="J314" s="74" t="s">
        <v>529</v>
      </c>
      <c r="K314" s="82" t="s">
        <v>326</v>
      </c>
      <c r="L314" s="78" t="s">
        <v>559</v>
      </c>
      <c r="M314" s="78" t="s">
        <v>531</v>
      </c>
      <c r="N314" s="78" t="s">
        <v>7</v>
      </c>
      <c r="O314" s="97" t="s">
        <v>560</v>
      </c>
      <c r="P314" s="97" t="s">
        <v>561</v>
      </c>
      <c r="Q314" s="74" t="s">
        <v>766</v>
      </c>
      <c r="R314" s="74" t="s">
        <v>767</v>
      </c>
      <c r="S314" s="74" t="s">
        <v>768</v>
      </c>
      <c r="T314" s="74" t="s">
        <v>320</v>
      </c>
      <c r="U314" s="75"/>
      <c r="V314" s="75"/>
      <c r="W314" s="75">
        <v>0.05</v>
      </c>
      <c r="X314" s="75"/>
      <c r="Y314" s="75"/>
      <c r="Z314" s="75">
        <v>0.05</v>
      </c>
      <c r="AA314" s="75"/>
      <c r="AB314" s="75"/>
      <c r="AC314" s="75">
        <v>0.05</v>
      </c>
      <c r="AD314" s="75"/>
      <c r="AE314" s="75"/>
      <c r="AF314" s="75">
        <v>0.05</v>
      </c>
      <c r="AG314" s="74" t="s">
        <v>536</v>
      </c>
      <c r="AH314" s="74" t="s">
        <v>530</v>
      </c>
      <c r="AI314" s="78" t="s">
        <v>539</v>
      </c>
      <c r="AJ314" s="79" t="s">
        <v>539</v>
      </c>
      <c r="AK314" s="80">
        <v>46023</v>
      </c>
      <c r="AL314" s="80">
        <v>46387</v>
      </c>
      <c r="AM314" s="79"/>
      <c r="AN314" s="79"/>
      <c r="AO314" s="79"/>
      <c r="AP314" s="103" t="s">
        <v>546</v>
      </c>
      <c r="AQ314" s="80" cm="1">
        <f t="array" ref="AQ314">IFERROR(DATE(2026, _xlfn.AGGREGATE(15, 6, (COLUMN(CI314:CT314)-COLUMN(CI314)+1)/(CI314:CT314&lt;&gt;0), 1), 1),"N/A")</f>
        <v>46357</v>
      </c>
      <c r="AR314" s="80" cm="1">
        <f t="array" ref="AR314">IFERROR(EOMONTH(DATE(2026, _xlfn.AGGREGATE(14, 6, (COLUMN(CI314:CT314)-COLUMN(CI314)+1)/(CI314:CT314&lt;&gt;0), 1), 1), 0),"N/A")</f>
        <v>46387</v>
      </c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4" t="s">
        <v>1145</v>
      </c>
      <c r="BG314" s="74"/>
      <c r="BH314" s="74" t="s">
        <v>1155</v>
      </c>
      <c r="BI314" s="74" t="s">
        <v>1011</v>
      </c>
      <c r="BJ314" s="78">
        <v>730202</v>
      </c>
      <c r="BK314" s="82" t="s">
        <v>703</v>
      </c>
      <c r="BL314" s="83"/>
      <c r="BM314" s="73"/>
      <c r="BN314" s="73"/>
      <c r="BO314" s="73"/>
      <c r="BP314" s="72"/>
      <c r="BQ314" s="73"/>
      <c r="BR314" s="73"/>
      <c r="BS314" s="73"/>
      <c r="BT314" s="73"/>
      <c r="BU314" s="73"/>
      <c r="BV314" s="73"/>
      <c r="BW314" s="84"/>
      <c r="BX314" s="84"/>
      <c r="BY314" s="84"/>
      <c r="BZ314" s="84"/>
      <c r="CA314" s="84"/>
      <c r="CB314" s="84"/>
      <c r="CC314" s="84"/>
      <c r="CD314" s="84">
        <v>10000</v>
      </c>
      <c r="CE314" s="84"/>
      <c r="CF314" s="84"/>
      <c r="CG314" s="84"/>
      <c r="CH314" s="73">
        <f t="shared" si="8"/>
        <v>10000</v>
      </c>
      <c r="CI314" s="73"/>
      <c r="CJ314" s="73"/>
      <c r="CK314" s="72"/>
      <c r="CL314" s="72"/>
      <c r="CM314" s="73"/>
      <c r="CN314" s="73"/>
      <c r="CO314" s="73"/>
      <c r="CP314" s="73"/>
      <c r="CQ314" s="73"/>
      <c r="CR314" s="73"/>
      <c r="CS314" s="84"/>
      <c r="CT314" s="84">
        <v>10000</v>
      </c>
      <c r="CU314" s="84"/>
      <c r="CV314" s="84">
        <f t="shared" si="9"/>
        <v>0</v>
      </c>
      <c r="CW314" s="84"/>
      <c r="CX314" s="74"/>
      <c r="CY314" s="135" t="s">
        <v>1261</v>
      </c>
      <c r="CZ314" s="135" t="s">
        <v>1261</v>
      </c>
      <c r="DA314" s="135" t="s">
        <v>1367</v>
      </c>
      <c r="DB314" s="74"/>
      <c r="DC314" s="74"/>
      <c r="DD314" s="74"/>
    </row>
    <row r="315" spans="1:108" s="68" customFormat="1" ht="15" hidden="1" customHeight="1" x14ac:dyDescent="0.25">
      <c r="A315" s="74" t="s">
        <v>689</v>
      </c>
      <c r="B315" s="74" t="s">
        <v>154</v>
      </c>
      <c r="C315" s="74" t="s">
        <v>172</v>
      </c>
      <c r="D315" s="85" t="s">
        <v>196</v>
      </c>
      <c r="E315" s="74" t="s">
        <v>5</v>
      </c>
      <c r="F315" s="85" t="s">
        <v>551</v>
      </c>
      <c r="G315" s="74" t="s">
        <v>288</v>
      </c>
      <c r="H315" s="74" t="s">
        <v>552</v>
      </c>
      <c r="I315" s="74" t="s">
        <v>300</v>
      </c>
      <c r="J315" s="74" t="s">
        <v>529</v>
      </c>
      <c r="K315" s="82" t="s">
        <v>326</v>
      </c>
      <c r="L315" s="78" t="s">
        <v>559</v>
      </c>
      <c r="M315" s="78" t="s">
        <v>531</v>
      </c>
      <c r="N315" s="78" t="s">
        <v>7</v>
      </c>
      <c r="O315" s="97" t="s">
        <v>560</v>
      </c>
      <c r="P315" s="97" t="s">
        <v>561</v>
      </c>
      <c r="Q315" s="74" t="s">
        <v>766</v>
      </c>
      <c r="R315" s="74" t="s">
        <v>767</v>
      </c>
      <c r="S315" s="74" t="s">
        <v>768</v>
      </c>
      <c r="T315" s="74" t="s">
        <v>320</v>
      </c>
      <c r="U315" s="75"/>
      <c r="V315" s="75"/>
      <c r="W315" s="75">
        <v>0.05</v>
      </c>
      <c r="X315" s="75"/>
      <c r="Y315" s="75"/>
      <c r="Z315" s="75">
        <v>0.05</v>
      </c>
      <c r="AA315" s="75"/>
      <c r="AB315" s="75"/>
      <c r="AC315" s="75">
        <v>0.05</v>
      </c>
      <c r="AD315" s="75"/>
      <c r="AE315" s="75"/>
      <c r="AF315" s="75">
        <v>0.05</v>
      </c>
      <c r="AG315" s="74" t="s">
        <v>536</v>
      </c>
      <c r="AH315" s="74" t="s">
        <v>530</v>
      </c>
      <c r="AI315" s="78" t="s">
        <v>539</v>
      </c>
      <c r="AJ315" s="79" t="s">
        <v>539</v>
      </c>
      <c r="AK315" s="80">
        <v>46023</v>
      </c>
      <c r="AL315" s="80">
        <v>46387</v>
      </c>
      <c r="AM315" s="79"/>
      <c r="AN315" s="79"/>
      <c r="AO315" s="79"/>
      <c r="AP315" s="81" t="s">
        <v>544</v>
      </c>
      <c r="AQ315" s="80" cm="1">
        <f t="array" ref="AQ315">IFERROR(DATE(2026, _xlfn.AGGREGATE(15, 6, (COLUMN(CI315:CT315)-COLUMN(CI315)+1)/(CI315:CT315&lt;&gt;0), 1), 1),"N/A")</f>
        <v>46023</v>
      </c>
      <c r="AR315" s="80" cm="1">
        <f t="array" ref="AR315">IFERROR(EOMONTH(DATE(2026, _xlfn.AGGREGATE(14, 6, (COLUMN(CI315:CT315)-COLUMN(CI315)+1)/(CI315:CT315&lt;&gt;0), 1), 1), 0),"N/A")</f>
        <v>46387</v>
      </c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4" t="s">
        <v>640</v>
      </c>
      <c r="BG315" s="74"/>
      <c r="BH315" s="74" t="s">
        <v>936</v>
      </c>
      <c r="BI315" s="74" t="s">
        <v>137</v>
      </c>
      <c r="BJ315" s="78">
        <v>710203</v>
      </c>
      <c r="BK315" s="82" t="s">
        <v>703</v>
      </c>
      <c r="BL315" s="83">
        <v>9947.9</v>
      </c>
      <c r="BM315" s="84">
        <v>828.99166666666679</v>
      </c>
      <c r="BN315" s="84">
        <v>828.99166666666679</v>
      </c>
      <c r="BO315" s="84">
        <v>828.99166666666679</v>
      </c>
      <c r="BP315" s="72">
        <v>828.99166666666679</v>
      </c>
      <c r="BQ315" s="84">
        <v>828.99166666666679</v>
      </c>
      <c r="BR315" s="84">
        <v>828.99166666666679</v>
      </c>
      <c r="BS315" s="84">
        <v>828.99166666666679</v>
      </c>
      <c r="BT315" s="84">
        <v>828.99166666666679</v>
      </c>
      <c r="BU315" s="84">
        <v>828.99166666666679</v>
      </c>
      <c r="BV315" s="84">
        <v>828.99166666666679</v>
      </c>
      <c r="BW315" s="84">
        <v>828.99166666666679</v>
      </c>
      <c r="BX315" s="84">
        <v>828.99166666666679</v>
      </c>
      <c r="BY315" s="84"/>
      <c r="BZ315" s="84"/>
      <c r="CA315" s="84"/>
      <c r="CB315" s="157"/>
      <c r="CC315" s="157"/>
      <c r="CD315" s="84"/>
      <c r="CE315" s="84"/>
      <c r="CF315" s="84"/>
      <c r="CG315" s="84"/>
      <c r="CH315" s="73">
        <f t="shared" si="8"/>
        <v>9947.9</v>
      </c>
      <c r="CI315" s="84">
        <v>828.99166666666679</v>
      </c>
      <c r="CJ315" s="84">
        <v>828.99166666666679</v>
      </c>
      <c r="CK315" s="84">
        <v>828.99166666666679</v>
      </c>
      <c r="CL315" s="72">
        <v>828.99166666666679</v>
      </c>
      <c r="CM315" s="84">
        <v>828.99166666666679</v>
      </c>
      <c r="CN315" s="84">
        <v>828.99166666666679</v>
      </c>
      <c r="CO315" s="84">
        <v>828.99166666666679</v>
      </c>
      <c r="CP315" s="84">
        <v>828.99166666666679</v>
      </c>
      <c r="CQ315" s="84">
        <v>828.99166666666679</v>
      </c>
      <c r="CR315" s="84">
        <v>828.99166666666679</v>
      </c>
      <c r="CS315" s="84">
        <v>828.99166666666679</v>
      </c>
      <c r="CT315" s="84">
        <v>828.99166666666679</v>
      </c>
      <c r="CU315" s="84"/>
      <c r="CV315" s="84">
        <f t="shared" si="9"/>
        <v>0</v>
      </c>
      <c r="CW315" s="84"/>
      <c r="CX315" s="74"/>
      <c r="CY315" s="74"/>
      <c r="CZ315" s="74"/>
      <c r="DA315" s="74"/>
      <c r="DB315" s="74"/>
      <c r="DC315" s="74"/>
      <c r="DD315" s="74"/>
    </row>
    <row r="316" spans="1:108" s="68" customFormat="1" ht="15" hidden="1" customHeight="1" x14ac:dyDescent="0.25">
      <c r="A316" s="74" t="s">
        <v>689</v>
      </c>
      <c r="B316" s="74" t="s">
        <v>154</v>
      </c>
      <c r="C316" s="74" t="s">
        <v>172</v>
      </c>
      <c r="D316" s="85" t="s">
        <v>196</v>
      </c>
      <c r="E316" s="74" t="s">
        <v>5</v>
      </c>
      <c r="F316" s="85" t="s">
        <v>551</v>
      </c>
      <c r="G316" s="74" t="s">
        <v>288</v>
      </c>
      <c r="H316" s="74" t="s">
        <v>552</v>
      </c>
      <c r="I316" s="74" t="s">
        <v>300</v>
      </c>
      <c r="J316" s="74" t="s">
        <v>529</v>
      </c>
      <c r="K316" s="82" t="s">
        <v>326</v>
      </c>
      <c r="L316" s="78" t="s">
        <v>559</v>
      </c>
      <c r="M316" s="78" t="s">
        <v>531</v>
      </c>
      <c r="N316" s="78" t="s">
        <v>7</v>
      </c>
      <c r="O316" s="97" t="s">
        <v>560</v>
      </c>
      <c r="P316" s="97" t="s">
        <v>561</v>
      </c>
      <c r="Q316" s="74" t="s">
        <v>766</v>
      </c>
      <c r="R316" s="74" t="s">
        <v>767</v>
      </c>
      <c r="S316" s="74" t="s">
        <v>768</v>
      </c>
      <c r="T316" s="74" t="s">
        <v>320</v>
      </c>
      <c r="U316" s="75"/>
      <c r="V316" s="75"/>
      <c r="W316" s="75">
        <v>0.05</v>
      </c>
      <c r="X316" s="75"/>
      <c r="Y316" s="75"/>
      <c r="Z316" s="75">
        <v>0.05</v>
      </c>
      <c r="AA316" s="75"/>
      <c r="AB316" s="75"/>
      <c r="AC316" s="75">
        <v>0.05</v>
      </c>
      <c r="AD316" s="75"/>
      <c r="AE316" s="75"/>
      <c r="AF316" s="75">
        <v>0.05</v>
      </c>
      <c r="AG316" s="74" t="s">
        <v>536</v>
      </c>
      <c r="AH316" s="74" t="s">
        <v>530</v>
      </c>
      <c r="AI316" s="78" t="s">
        <v>539</v>
      </c>
      <c r="AJ316" s="79" t="s">
        <v>539</v>
      </c>
      <c r="AK316" s="80">
        <v>46023</v>
      </c>
      <c r="AL316" s="80">
        <v>46387</v>
      </c>
      <c r="AM316" s="79"/>
      <c r="AN316" s="79"/>
      <c r="AO316" s="79"/>
      <c r="AP316" s="81" t="s">
        <v>544</v>
      </c>
      <c r="AQ316" s="80" cm="1">
        <f t="array" ref="AQ316">IFERROR(DATE(2026, _xlfn.AGGREGATE(15, 6, (COLUMN(CI316:CT316)-COLUMN(CI316)+1)/(CI316:CT316&lt;&gt;0), 1), 1),"N/A")</f>
        <v>46023</v>
      </c>
      <c r="AR316" s="80" cm="1">
        <f t="array" ref="AR316">IFERROR(EOMONTH(DATE(2026, _xlfn.AGGREGATE(14, 6, (COLUMN(CI316:CT316)-COLUMN(CI316)+1)/(CI316:CT316&lt;&gt;0), 1), 1), 0),"N/A")</f>
        <v>46387</v>
      </c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4" t="s">
        <v>639</v>
      </c>
      <c r="BG316" s="74"/>
      <c r="BH316" s="74" t="s">
        <v>937</v>
      </c>
      <c r="BI316" s="74" t="s">
        <v>137</v>
      </c>
      <c r="BJ316" s="78">
        <v>710602</v>
      </c>
      <c r="BK316" s="82" t="s">
        <v>703</v>
      </c>
      <c r="BL316" s="83">
        <v>9943.9500000000007</v>
      </c>
      <c r="BM316" s="84">
        <v>828.66250000000002</v>
      </c>
      <c r="BN316" s="84">
        <v>828.66250000000002</v>
      </c>
      <c r="BO316" s="84">
        <v>828.66250000000002</v>
      </c>
      <c r="BP316" s="72">
        <v>828.66250000000002</v>
      </c>
      <c r="BQ316" s="84">
        <v>828.66250000000002</v>
      </c>
      <c r="BR316" s="84">
        <v>828.66250000000002</v>
      </c>
      <c r="BS316" s="84">
        <v>828.66250000000002</v>
      </c>
      <c r="BT316" s="84">
        <v>828.66250000000002</v>
      </c>
      <c r="BU316" s="84">
        <v>828.66250000000002</v>
      </c>
      <c r="BV316" s="84">
        <v>828.66250000000002</v>
      </c>
      <c r="BW316" s="84">
        <v>828.66250000000002</v>
      </c>
      <c r="BX316" s="84">
        <v>828.66250000000002</v>
      </c>
      <c r="BY316" s="84"/>
      <c r="BZ316" s="84"/>
      <c r="CA316" s="84"/>
      <c r="CB316" s="157"/>
      <c r="CC316" s="157"/>
      <c r="CD316" s="84"/>
      <c r="CE316" s="84"/>
      <c r="CF316" s="84"/>
      <c r="CG316" s="84"/>
      <c r="CH316" s="73">
        <f t="shared" si="8"/>
        <v>9943.9500000000007</v>
      </c>
      <c r="CI316" s="84">
        <v>828.66250000000002</v>
      </c>
      <c r="CJ316" s="84">
        <v>828.66250000000002</v>
      </c>
      <c r="CK316" s="84">
        <v>828.66250000000002</v>
      </c>
      <c r="CL316" s="72">
        <v>828.66250000000002</v>
      </c>
      <c r="CM316" s="84">
        <v>828.66250000000002</v>
      </c>
      <c r="CN316" s="84">
        <v>828.66250000000002</v>
      </c>
      <c r="CO316" s="84">
        <v>828.66250000000002</v>
      </c>
      <c r="CP316" s="84">
        <v>828.66250000000002</v>
      </c>
      <c r="CQ316" s="84">
        <v>828.66250000000002</v>
      </c>
      <c r="CR316" s="84">
        <v>828.66250000000002</v>
      </c>
      <c r="CS316" s="84">
        <v>828.66250000000002</v>
      </c>
      <c r="CT316" s="84">
        <v>828.66250000000002</v>
      </c>
      <c r="CU316" s="84"/>
      <c r="CV316" s="84">
        <f t="shared" si="9"/>
        <v>0</v>
      </c>
      <c r="CW316" s="84"/>
      <c r="CX316" s="74"/>
      <c r="CY316" s="74"/>
      <c r="CZ316" s="74"/>
      <c r="DA316" s="74"/>
      <c r="DB316" s="74"/>
      <c r="DC316" s="74"/>
      <c r="DD316" s="74"/>
    </row>
    <row r="317" spans="1:108" s="68" customFormat="1" ht="15" hidden="1" customHeight="1" x14ac:dyDescent="0.25">
      <c r="A317" s="74" t="s">
        <v>697</v>
      </c>
      <c r="B317" s="74" t="s">
        <v>154</v>
      </c>
      <c r="C317" s="74" t="s">
        <v>172</v>
      </c>
      <c r="D317" s="85" t="s">
        <v>196</v>
      </c>
      <c r="E317" s="74" t="s">
        <v>5</v>
      </c>
      <c r="F317" s="85" t="s">
        <v>551</v>
      </c>
      <c r="G317" s="74" t="s">
        <v>288</v>
      </c>
      <c r="H317" s="74" t="s">
        <v>552</v>
      </c>
      <c r="I317" s="74" t="s">
        <v>300</v>
      </c>
      <c r="J317" s="74" t="s">
        <v>529</v>
      </c>
      <c r="K317" s="82" t="s">
        <v>326</v>
      </c>
      <c r="L317" s="78" t="s">
        <v>559</v>
      </c>
      <c r="M317" s="78" t="s">
        <v>531</v>
      </c>
      <c r="N317" s="78" t="s">
        <v>7</v>
      </c>
      <c r="O317" s="97" t="s">
        <v>560</v>
      </c>
      <c r="P317" s="97" t="s">
        <v>561</v>
      </c>
      <c r="Q317" s="74" t="s">
        <v>766</v>
      </c>
      <c r="R317" s="74" t="s">
        <v>767</v>
      </c>
      <c r="S317" s="74" t="s">
        <v>768</v>
      </c>
      <c r="T317" s="74" t="s">
        <v>320</v>
      </c>
      <c r="U317" s="75"/>
      <c r="V317" s="75"/>
      <c r="W317" s="75">
        <v>0.05</v>
      </c>
      <c r="X317" s="75"/>
      <c r="Y317" s="75"/>
      <c r="Z317" s="75">
        <v>0.05</v>
      </c>
      <c r="AA317" s="75"/>
      <c r="AB317" s="75"/>
      <c r="AC317" s="75">
        <v>0.05</v>
      </c>
      <c r="AD317" s="75"/>
      <c r="AE317" s="75"/>
      <c r="AF317" s="75">
        <v>0.05</v>
      </c>
      <c r="AG317" s="74" t="s">
        <v>536</v>
      </c>
      <c r="AH317" s="74" t="s">
        <v>530</v>
      </c>
      <c r="AI317" s="78" t="s">
        <v>539</v>
      </c>
      <c r="AJ317" s="79" t="s">
        <v>539</v>
      </c>
      <c r="AK317" s="80">
        <v>46023</v>
      </c>
      <c r="AL317" s="80">
        <v>46387</v>
      </c>
      <c r="AM317" s="79"/>
      <c r="AN317" s="79"/>
      <c r="AO317" s="79"/>
      <c r="AP317" s="103" t="s">
        <v>546</v>
      </c>
      <c r="AQ317" s="80" t="str" cm="1">
        <f t="array" ref="AQ317">IFERROR(DATE(2026, _xlfn.AGGREGATE(15, 6, (COLUMN(CI317:CT317)-COLUMN(CI317)+1)/(CI317:CT317&lt;&gt;0), 1), 1),"N/A")</f>
        <v>N/A</v>
      </c>
      <c r="AR317" s="80" t="str" cm="1">
        <f t="array" ref="AR317">IFERROR(EOMONTH(DATE(2026, _xlfn.AGGREGATE(14, 6, (COLUMN(CI317:CT317)-COLUMN(CI317)+1)/(CI317:CT317&lt;&gt;0), 1), 1), 0),"N/A")</f>
        <v>N/A</v>
      </c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4" t="s">
        <v>1157</v>
      </c>
      <c r="BG317" s="74"/>
      <c r="BH317" s="74" t="s">
        <v>997</v>
      </c>
      <c r="BI317" s="74" t="s">
        <v>1011</v>
      </c>
      <c r="BJ317" s="78">
        <v>730249</v>
      </c>
      <c r="BK317" s="82" t="s">
        <v>703</v>
      </c>
      <c r="BL317" s="83">
        <v>0</v>
      </c>
      <c r="BM317" s="73"/>
      <c r="BN317" s="73"/>
      <c r="BO317" s="73"/>
      <c r="BP317" s="73"/>
      <c r="BQ317" s="73"/>
      <c r="BR317" s="84"/>
      <c r="BS317" s="73"/>
      <c r="BT317" s="84"/>
      <c r="BU317" s="73"/>
      <c r="BV317" s="84"/>
      <c r="BW317" s="73"/>
      <c r="BX317" s="73"/>
      <c r="BY317" s="73">
        <v>70000</v>
      </c>
      <c r="BZ317" s="73"/>
      <c r="CA317" s="73">
        <v>-70000</v>
      </c>
      <c r="CB317" s="73"/>
      <c r="CC317" s="73"/>
      <c r="CD317" s="73"/>
      <c r="CE317" s="73"/>
      <c r="CF317" s="73"/>
      <c r="CG317" s="73"/>
      <c r="CH317" s="73">
        <f t="shared" si="8"/>
        <v>0</v>
      </c>
      <c r="CI317" s="73"/>
      <c r="CJ317" s="73"/>
      <c r="CK317" s="72"/>
      <c r="CL317" s="73"/>
      <c r="CM317" s="73"/>
      <c r="CN317" s="84"/>
      <c r="CO317" s="73"/>
      <c r="CP317" s="84"/>
      <c r="CQ317" s="73"/>
      <c r="CR317" s="84"/>
      <c r="CS317" s="73"/>
      <c r="CT317" s="73"/>
      <c r="CU317" s="73"/>
      <c r="CV317" s="84">
        <f t="shared" si="9"/>
        <v>0</v>
      </c>
      <c r="CW317" s="84"/>
      <c r="CX317" s="74"/>
      <c r="CY317" s="74"/>
      <c r="CZ317" s="74"/>
      <c r="DA317" s="74"/>
      <c r="DB317" s="74"/>
      <c r="DC317" s="74"/>
      <c r="DD317" s="74"/>
    </row>
    <row r="318" spans="1:108" s="68" customFormat="1" ht="15" hidden="1" customHeight="1" x14ac:dyDescent="0.25">
      <c r="A318" s="161" t="s">
        <v>693</v>
      </c>
      <c r="B318" s="74" t="s">
        <v>154</v>
      </c>
      <c r="C318" s="74" t="s">
        <v>172</v>
      </c>
      <c r="D318" s="85" t="s">
        <v>196</v>
      </c>
      <c r="E318" s="74" t="s">
        <v>5</v>
      </c>
      <c r="F318" s="85" t="s">
        <v>551</v>
      </c>
      <c r="G318" s="74" t="s">
        <v>288</v>
      </c>
      <c r="H318" s="74" t="s">
        <v>552</v>
      </c>
      <c r="I318" s="74" t="s">
        <v>300</v>
      </c>
      <c r="J318" s="74" t="s">
        <v>529</v>
      </c>
      <c r="K318" s="82" t="s">
        <v>326</v>
      </c>
      <c r="L318" s="78" t="s">
        <v>559</v>
      </c>
      <c r="M318" s="78" t="s">
        <v>531</v>
      </c>
      <c r="N318" s="78" t="s">
        <v>7</v>
      </c>
      <c r="O318" s="97" t="s">
        <v>560</v>
      </c>
      <c r="P318" s="97" t="s">
        <v>561</v>
      </c>
      <c r="Q318" s="74" t="s">
        <v>766</v>
      </c>
      <c r="R318" s="74" t="s">
        <v>767</v>
      </c>
      <c r="S318" s="74" t="s">
        <v>768</v>
      </c>
      <c r="T318" s="74" t="s">
        <v>320</v>
      </c>
      <c r="U318" s="75"/>
      <c r="V318" s="75"/>
      <c r="W318" s="75">
        <v>0.05</v>
      </c>
      <c r="X318" s="75"/>
      <c r="Y318" s="75"/>
      <c r="Z318" s="75">
        <v>0.05</v>
      </c>
      <c r="AA318" s="75"/>
      <c r="AB318" s="75"/>
      <c r="AC318" s="75">
        <v>0.05</v>
      </c>
      <c r="AD318" s="75"/>
      <c r="AE318" s="75"/>
      <c r="AF318" s="75">
        <v>0.05</v>
      </c>
      <c r="AG318" s="74" t="s">
        <v>536</v>
      </c>
      <c r="AH318" s="74" t="s">
        <v>530</v>
      </c>
      <c r="AI318" s="78" t="s">
        <v>539</v>
      </c>
      <c r="AJ318" s="79" t="s">
        <v>539</v>
      </c>
      <c r="AK318" s="80">
        <v>46023</v>
      </c>
      <c r="AL318" s="80">
        <v>46387</v>
      </c>
      <c r="AM318" s="79"/>
      <c r="AN318" s="79"/>
      <c r="AO318" s="79"/>
      <c r="AP318" s="103" t="s">
        <v>546</v>
      </c>
      <c r="AQ318" s="80" t="str" cm="1">
        <f t="array" ref="AQ318">IFERROR(DATE(2026, _xlfn.AGGREGATE(15, 6, (COLUMN(CI318:CT318)-COLUMN(CI318)+1)/(CI318:CT318&lt;&gt;0), 1), 1),"N/A")</f>
        <v>N/A</v>
      </c>
      <c r="AR318" s="80" t="str" cm="1">
        <f t="array" ref="AR318">IFERROR(EOMONTH(DATE(2026, _xlfn.AGGREGATE(14, 6, (COLUMN(CI318:CT318)-COLUMN(CI318)+1)/(CI318:CT318&lt;&gt;0), 1), 1), 0),"N/A")</f>
        <v>N/A</v>
      </c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4" t="s">
        <v>1157</v>
      </c>
      <c r="BG318" s="74"/>
      <c r="BH318" s="74" t="s">
        <v>947</v>
      </c>
      <c r="BI318" s="74" t="s">
        <v>1011</v>
      </c>
      <c r="BJ318" s="78">
        <v>730249</v>
      </c>
      <c r="BK318" s="82" t="s">
        <v>703</v>
      </c>
      <c r="BL318" s="83">
        <f>35000</f>
        <v>35000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84">
        <v>15000</v>
      </c>
      <c r="BS318" s="73">
        <v>0</v>
      </c>
      <c r="BT318" s="84">
        <v>10000</v>
      </c>
      <c r="BU318" s="73">
        <v>0</v>
      </c>
      <c r="BV318" s="84">
        <v>10000</v>
      </c>
      <c r="BW318" s="73">
        <v>0</v>
      </c>
      <c r="BX318" s="73">
        <v>0</v>
      </c>
      <c r="BY318" s="73">
        <v>14999.99</v>
      </c>
      <c r="BZ318" s="73"/>
      <c r="CA318" s="73">
        <v>-49999.99</v>
      </c>
      <c r="CB318" s="73"/>
      <c r="CC318" s="73"/>
      <c r="CD318" s="73"/>
      <c r="CE318" s="73"/>
      <c r="CF318" s="73"/>
      <c r="CG318" s="73"/>
      <c r="CH318" s="73">
        <f t="shared" si="8"/>
        <v>0</v>
      </c>
      <c r="CI318" s="73"/>
      <c r="CJ318" s="73"/>
      <c r="CK318" s="72"/>
      <c r="CL318" s="73"/>
      <c r="CM318" s="73"/>
      <c r="CN318" s="84"/>
      <c r="CO318" s="73"/>
      <c r="CP318" s="84"/>
      <c r="CQ318" s="73"/>
      <c r="CR318" s="84"/>
      <c r="CS318" s="73"/>
      <c r="CT318" s="73"/>
      <c r="CU318" s="73"/>
      <c r="CV318" s="84">
        <f t="shared" si="9"/>
        <v>0</v>
      </c>
      <c r="CW318" s="84"/>
      <c r="CX318" s="74"/>
      <c r="CY318" s="74"/>
      <c r="CZ318" s="74"/>
      <c r="DA318" s="74"/>
      <c r="DB318" s="74"/>
      <c r="DC318" s="74"/>
      <c r="DD318" s="74"/>
    </row>
    <row r="319" spans="1:108" s="68" customFormat="1" ht="15" hidden="1" customHeight="1" x14ac:dyDescent="0.25">
      <c r="A319" s="74" t="s">
        <v>689</v>
      </c>
      <c r="B319" s="74" t="s">
        <v>154</v>
      </c>
      <c r="C319" s="74" t="s">
        <v>172</v>
      </c>
      <c r="D319" s="85" t="s">
        <v>196</v>
      </c>
      <c r="E319" s="74" t="s">
        <v>5</v>
      </c>
      <c r="F319" s="85" t="s">
        <v>551</v>
      </c>
      <c r="G319" s="74" t="s">
        <v>288</v>
      </c>
      <c r="H319" s="74" t="s">
        <v>552</v>
      </c>
      <c r="I319" s="74" t="s">
        <v>300</v>
      </c>
      <c r="J319" s="74" t="s">
        <v>529</v>
      </c>
      <c r="K319" s="82" t="s">
        <v>326</v>
      </c>
      <c r="L319" s="78" t="s">
        <v>559</v>
      </c>
      <c r="M319" s="78" t="s">
        <v>531</v>
      </c>
      <c r="N319" s="78" t="s">
        <v>7</v>
      </c>
      <c r="O319" s="97" t="s">
        <v>560</v>
      </c>
      <c r="P319" s="97" t="s">
        <v>561</v>
      </c>
      <c r="Q319" s="74" t="s">
        <v>766</v>
      </c>
      <c r="R319" s="74" t="s">
        <v>767</v>
      </c>
      <c r="S319" s="74" t="s">
        <v>768</v>
      </c>
      <c r="T319" s="74" t="s">
        <v>320</v>
      </c>
      <c r="U319" s="75"/>
      <c r="V319" s="75"/>
      <c r="W319" s="75">
        <v>0.05</v>
      </c>
      <c r="X319" s="75"/>
      <c r="Y319" s="75"/>
      <c r="Z319" s="75">
        <v>0.05</v>
      </c>
      <c r="AA319" s="75"/>
      <c r="AB319" s="75"/>
      <c r="AC319" s="75">
        <v>0.05</v>
      </c>
      <c r="AD319" s="75"/>
      <c r="AE319" s="75"/>
      <c r="AF319" s="75">
        <v>0.05</v>
      </c>
      <c r="AG319" s="74" t="s">
        <v>536</v>
      </c>
      <c r="AH319" s="74" t="s">
        <v>530</v>
      </c>
      <c r="AI319" s="78" t="s">
        <v>539</v>
      </c>
      <c r="AJ319" s="79" t="s">
        <v>539</v>
      </c>
      <c r="AK319" s="80">
        <v>46023</v>
      </c>
      <c r="AL319" s="80">
        <v>46387</v>
      </c>
      <c r="AM319" s="79"/>
      <c r="AN319" s="79"/>
      <c r="AO319" s="79"/>
      <c r="AP319" s="81" t="s">
        <v>544</v>
      </c>
      <c r="AQ319" s="80" cm="1">
        <f t="array" ref="AQ319">IFERROR(DATE(2026, _xlfn.AGGREGATE(15, 6, (COLUMN(CI319:CT319)-COLUMN(CI319)+1)/(CI319:CT319&lt;&gt;0), 1), 1),"N/A")</f>
        <v>46023</v>
      </c>
      <c r="AR319" s="80" cm="1">
        <f t="array" ref="AR319">IFERROR(EOMONTH(DATE(2026, _xlfn.AGGREGATE(14, 6, (COLUMN(CI319:CT319)-COLUMN(CI319)+1)/(CI319:CT319&lt;&gt;0), 1), 1), 0),"N/A")</f>
        <v>46387</v>
      </c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4" t="s">
        <v>619</v>
      </c>
      <c r="BG319" s="74"/>
      <c r="BH319" s="74" t="s">
        <v>935</v>
      </c>
      <c r="BI319" s="74" t="s">
        <v>137</v>
      </c>
      <c r="BJ319" s="78">
        <v>710204</v>
      </c>
      <c r="BK319" s="82" t="s">
        <v>703</v>
      </c>
      <c r="BL319" s="83">
        <v>5280</v>
      </c>
      <c r="BM319" s="84">
        <v>440</v>
      </c>
      <c r="BN319" s="84">
        <v>440</v>
      </c>
      <c r="BO319" s="84">
        <v>440</v>
      </c>
      <c r="BP319" s="72">
        <v>440</v>
      </c>
      <c r="BQ319" s="84">
        <v>440</v>
      </c>
      <c r="BR319" s="84">
        <v>440</v>
      </c>
      <c r="BS319" s="84">
        <v>440</v>
      </c>
      <c r="BT319" s="84">
        <v>440</v>
      </c>
      <c r="BU319" s="84">
        <v>440</v>
      </c>
      <c r="BV319" s="84">
        <v>440</v>
      </c>
      <c r="BW319" s="84">
        <v>440</v>
      </c>
      <c r="BX319" s="84">
        <v>440</v>
      </c>
      <c r="BY319" s="84"/>
      <c r="BZ319" s="84"/>
      <c r="CA319" s="84"/>
      <c r="CB319" s="157"/>
      <c r="CC319" s="157"/>
      <c r="CD319" s="84">
        <v>-523.51</v>
      </c>
      <c r="CE319" s="84"/>
      <c r="CF319" s="84"/>
      <c r="CG319" s="84"/>
      <c r="CH319" s="73">
        <f t="shared" si="8"/>
        <v>4756.49</v>
      </c>
      <c r="CI319" s="102">
        <v>412.41</v>
      </c>
      <c r="CJ319" s="73">
        <v>441.87</v>
      </c>
      <c r="CK319" s="73">
        <v>441.87</v>
      </c>
      <c r="CL319" s="72"/>
      <c r="CM319" s="84"/>
      <c r="CN319" s="84">
        <v>440</v>
      </c>
      <c r="CO319" s="84">
        <v>440</v>
      </c>
      <c r="CP319" s="84">
        <v>440</v>
      </c>
      <c r="CQ319" s="84">
        <v>440</v>
      </c>
      <c r="CR319" s="84">
        <v>440</v>
      </c>
      <c r="CS319" s="84">
        <v>440</v>
      </c>
      <c r="CT319" s="84">
        <v>820.34</v>
      </c>
      <c r="CU319" s="84"/>
      <c r="CV319" s="84">
        <f t="shared" si="9"/>
        <v>0</v>
      </c>
      <c r="CW319" s="84"/>
      <c r="CX319" s="74"/>
      <c r="CY319" s="74"/>
      <c r="CZ319" s="74"/>
      <c r="DA319" s="74"/>
      <c r="DB319" s="74"/>
      <c r="DC319" s="74"/>
      <c r="DD319" s="74"/>
    </row>
    <row r="320" spans="1:108" s="68" customFormat="1" ht="15" hidden="1" customHeight="1" x14ac:dyDescent="0.25">
      <c r="A320" s="161" t="s">
        <v>692</v>
      </c>
      <c r="B320" s="74" t="s">
        <v>154</v>
      </c>
      <c r="C320" s="74" t="s">
        <v>172</v>
      </c>
      <c r="D320" s="85" t="s">
        <v>196</v>
      </c>
      <c r="E320" s="74" t="s">
        <v>5</v>
      </c>
      <c r="F320" s="85" t="s">
        <v>551</v>
      </c>
      <c r="G320" s="74" t="s">
        <v>288</v>
      </c>
      <c r="H320" s="74" t="s">
        <v>552</v>
      </c>
      <c r="I320" s="74" t="s">
        <v>300</v>
      </c>
      <c r="J320" s="74" t="s">
        <v>529</v>
      </c>
      <c r="K320" s="82" t="s">
        <v>326</v>
      </c>
      <c r="L320" s="78" t="s">
        <v>559</v>
      </c>
      <c r="M320" s="78" t="s">
        <v>531</v>
      </c>
      <c r="N320" s="78" t="s">
        <v>7</v>
      </c>
      <c r="O320" s="97" t="s">
        <v>560</v>
      </c>
      <c r="P320" s="97" t="s">
        <v>561</v>
      </c>
      <c r="Q320" s="74" t="s">
        <v>766</v>
      </c>
      <c r="R320" s="74" t="s">
        <v>767</v>
      </c>
      <c r="S320" s="74" t="s">
        <v>768</v>
      </c>
      <c r="T320" s="74" t="s">
        <v>320</v>
      </c>
      <c r="U320" s="75"/>
      <c r="V320" s="75"/>
      <c r="W320" s="75">
        <v>0.05</v>
      </c>
      <c r="X320" s="75"/>
      <c r="Y320" s="75"/>
      <c r="Z320" s="75">
        <v>0.05</v>
      </c>
      <c r="AA320" s="75"/>
      <c r="AB320" s="75"/>
      <c r="AC320" s="75">
        <v>0.05</v>
      </c>
      <c r="AD320" s="75"/>
      <c r="AE320" s="75"/>
      <c r="AF320" s="75">
        <v>0.05</v>
      </c>
      <c r="AG320" s="74" t="s">
        <v>536</v>
      </c>
      <c r="AH320" s="74" t="s">
        <v>530</v>
      </c>
      <c r="AI320" s="78" t="s">
        <v>539</v>
      </c>
      <c r="AJ320" s="79" t="s">
        <v>539</v>
      </c>
      <c r="AK320" s="80">
        <v>46023</v>
      </c>
      <c r="AL320" s="80">
        <v>46387</v>
      </c>
      <c r="AM320" s="79"/>
      <c r="AN320" s="79"/>
      <c r="AO320" s="79"/>
      <c r="AP320" s="103" t="s">
        <v>546</v>
      </c>
      <c r="AQ320" s="80" t="str" cm="1">
        <f t="array" ref="AQ320">IFERROR(DATE(2026, _xlfn.AGGREGATE(15, 6, (COLUMN(CI320:CT320)-COLUMN(CI320)+1)/(CI320:CT320&lt;&gt;0), 1), 1),"N/A")</f>
        <v>N/A</v>
      </c>
      <c r="AR320" s="80" t="str" cm="1">
        <f t="array" ref="AR320">IFERROR(EOMONTH(DATE(2026, _xlfn.AGGREGATE(14, 6, (COLUMN(CI320:CT320)-COLUMN(CI320)+1)/(CI320:CT320&lt;&gt;0), 1), 1), 0),"N/A")</f>
        <v>N/A</v>
      </c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4" t="s">
        <v>998</v>
      </c>
      <c r="BG320" s="74"/>
      <c r="BH320" s="74" t="s">
        <v>999</v>
      </c>
      <c r="BI320" s="74" t="s">
        <v>1011</v>
      </c>
      <c r="BJ320" s="78">
        <v>730207</v>
      </c>
      <c r="BK320" s="82" t="s">
        <v>703</v>
      </c>
      <c r="BL320" s="83">
        <v>0</v>
      </c>
      <c r="BM320" s="73"/>
      <c r="BN320" s="73"/>
      <c r="BO320" s="73"/>
      <c r="BP320" s="72"/>
      <c r="BQ320" s="73"/>
      <c r="BR320" s="73"/>
      <c r="BS320" s="73"/>
      <c r="BT320" s="73"/>
      <c r="BU320" s="73"/>
      <c r="BV320" s="73"/>
      <c r="BW320" s="84"/>
      <c r="BX320" s="84"/>
      <c r="BY320" s="84">
        <v>120000</v>
      </c>
      <c r="BZ320" s="84"/>
      <c r="CA320" s="84">
        <v>-120000</v>
      </c>
      <c r="CB320" s="84"/>
      <c r="CC320" s="84"/>
      <c r="CD320" s="84"/>
      <c r="CE320" s="84"/>
      <c r="CF320" s="84"/>
      <c r="CG320" s="84"/>
      <c r="CH320" s="73">
        <f t="shared" si="8"/>
        <v>0</v>
      </c>
      <c r="CI320" s="73"/>
      <c r="CJ320" s="73"/>
      <c r="CK320" s="72"/>
      <c r="CL320" s="72"/>
      <c r="CM320" s="73"/>
      <c r="CN320" s="73"/>
      <c r="CO320" s="73"/>
      <c r="CP320" s="73"/>
      <c r="CQ320" s="73"/>
      <c r="CR320" s="73"/>
      <c r="CS320" s="84"/>
      <c r="CT320" s="84"/>
      <c r="CU320" s="84"/>
      <c r="CV320" s="84">
        <f t="shared" si="9"/>
        <v>0</v>
      </c>
      <c r="CW320" s="84"/>
      <c r="CX320" s="74"/>
      <c r="CY320" s="74"/>
      <c r="CZ320" s="74" t="s">
        <v>1290</v>
      </c>
      <c r="DA320" s="74"/>
      <c r="DB320" s="74"/>
      <c r="DC320" s="74"/>
      <c r="DD320" s="74"/>
    </row>
    <row r="321" spans="1:108" s="68" customFormat="1" ht="15" hidden="1" customHeight="1" x14ac:dyDescent="0.25">
      <c r="A321" s="161" t="s">
        <v>693</v>
      </c>
      <c r="B321" s="74" t="s">
        <v>154</v>
      </c>
      <c r="C321" s="74" t="s">
        <v>172</v>
      </c>
      <c r="D321" s="85" t="s">
        <v>196</v>
      </c>
      <c r="E321" s="74" t="s">
        <v>5</v>
      </c>
      <c r="F321" s="85" t="s">
        <v>551</v>
      </c>
      <c r="G321" s="74" t="s">
        <v>288</v>
      </c>
      <c r="H321" s="74" t="s">
        <v>552</v>
      </c>
      <c r="I321" s="74" t="s">
        <v>300</v>
      </c>
      <c r="J321" s="74" t="s">
        <v>529</v>
      </c>
      <c r="K321" s="82" t="s">
        <v>326</v>
      </c>
      <c r="L321" s="78" t="s">
        <v>559</v>
      </c>
      <c r="M321" s="78" t="s">
        <v>531</v>
      </c>
      <c r="N321" s="78" t="s">
        <v>7</v>
      </c>
      <c r="O321" s="97" t="s">
        <v>560</v>
      </c>
      <c r="P321" s="97" t="s">
        <v>561</v>
      </c>
      <c r="Q321" s="74" t="s">
        <v>766</v>
      </c>
      <c r="R321" s="74" t="s">
        <v>767</v>
      </c>
      <c r="S321" s="74" t="s">
        <v>768</v>
      </c>
      <c r="T321" s="74" t="s">
        <v>320</v>
      </c>
      <c r="U321" s="75"/>
      <c r="V321" s="75"/>
      <c r="W321" s="75">
        <v>0.05</v>
      </c>
      <c r="X321" s="75"/>
      <c r="Y321" s="75"/>
      <c r="Z321" s="75">
        <v>0.05</v>
      </c>
      <c r="AA321" s="75"/>
      <c r="AB321" s="75"/>
      <c r="AC321" s="75">
        <v>0.05</v>
      </c>
      <c r="AD321" s="75"/>
      <c r="AE321" s="75"/>
      <c r="AF321" s="75">
        <v>0.05</v>
      </c>
      <c r="AG321" s="74" t="s">
        <v>536</v>
      </c>
      <c r="AH321" s="74" t="s">
        <v>530</v>
      </c>
      <c r="AI321" s="78" t="s">
        <v>539</v>
      </c>
      <c r="AJ321" s="79" t="s">
        <v>539</v>
      </c>
      <c r="AK321" s="80">
        <v>46023</v>
      </c>
      <c r="AL321" s="80">
        <v>46387</v>
      </c>
      <c r="AM321" s="79"/>
      <c r="AN321" s="79"/>
      <c r="AO321" s="79"/>
      <c r="AP321" s="103" t="s">
        <v>546</v>
      </c>
      <c r="AQ321" s="80" t="str" cm="1">
        <f t="array" ref="AQ321">IFERROR(DATE(2026, _xlfn.AGGREGATE(15, 6, (COLUMN(CI321:CT321)-COLUMN(CI321)+1)/(CI321:CT321&lt;&gt;0), 1), 1),"N/A")</f>
        <v>N/A</v>
      </c>
      <c r="AR321" s="80" t="str" cm="1">
        <f t="array" ref="AR321">IFERROR(EOMONTH(DATE(2026, _xlfn.AGGREGATE(14, 6, (COLUMN(CI321:CT321)-COLUMN(CI321)+1)/(CI321:CT321&lt;&gt;0), 1), 1), 0),"N/A")</f>
        <v>N/A</v>
      </c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4" t="s">
        <v>1002</v>
      </c>
      <c r="BG321" s="85"/>
      <c r="BH321" s="74" t="s">
        <v>1003</v>
      </c>
      <c r="BI321" s="74" t="s">
        <v>1012</v>
      </c>
      <c r="BJ321" s="78">
        <v>730207</v>
      </c>
      <c r="BK321" s="82" t="s">
        <v>703</v>
      </c>
      <c r="BL321" s="83">
        <v>0</v>
      </c>
      <c r="BM321" s="73"/>
      <c r="BN321" s="73"/>
      <c r="BO321" s="84"/>
      <c r="BP321" s="72"/>
      <c r="BQ321" s="84"/>
      <c r="BR321" s="84"/>
      <c r="BS321" s="84"/>
      <c r="BT321" s="84"/>
      <c r="BU321" s="84"/>
      <c r="BV321" s="84"/>
      <c r="BW321" s="84"/>
      <c r="BX321" s="73"/>
      <c r="BY321" s="73">
        <v>10000</v>
      </c>
      <c r="BZ321" s="73"/>
      <c r="CA321" s="73">
        <v>-10000</v>
      </c>
      <c r="CB321" s="73"/>
      <c r="CC321" s="73"/>
      <c r="CD321" s="73"/>
      <c r="CE321" s="73"/>
      <c r="CF321" s="73"/>
      <c r="CG321" s="73"/>
      <c r="CH321" s="73">
        <f t="shared" si="8"/>
        <v>0</v>
      </c>
      <c r="CI321" s="73"/>
      <c r="CJ321" s="73"/>
      <c r="CK321" s="84"/>
      <c r="CL321" s="72"/>
      <c r="CM321" s="84"/>
      <c r="CN321" s="84"/>
      <c r="CO321" s="84"/>
      <c r="CP321" s="84"/>
      <c r="CQ321" s="84"/>
      <c r="CR321" s="84"/>
      <c r="CS321" s="84"/>
      <c r="CT321" s="73"/>
      <c r="CU321" s="73"/>
      <c r="CV321" s="84">
        <f t="shared" si="9"/>
        <v>0</v>
      </c>
      <c r="CW321" s="84"/>
      <c r="CX321" s="74"/>
      <c r="CY321" s="74"/>
      <c r="CZ321" s="74"/>
      <c r="DA321" s="74"/>
      <c r="DB321" s="74"/>
      <c r="DC321" s="74"/>
      <c r="DD321" s="74"/>
    </row>
    <row r="322" spans="1:108" s="68" customFormat="1" ht="15" hidden="1" customHeight="1" x14ac:dyDescent="0.25">
      <c r="A322" s="161" t="s">
        <v>693</v>
      </c>
      <c r="B322" s="74" t="s">
        <v>154</v>
      </c>
      <c r="C322" s="74" t="s">
        <v>172</v>
      </c>
      <c r="D322" s="85" t="s">
        <v>196</v>
      </c>
      <c r="E322" s="74" t="s">
        <v>5</v>
      </c>
      <c r="F322" s="85" t="s">
        <v>551</v>
      </c>
      <c r="G322" s="74" t="s">
        <v>288</v>
      </c>
      <c r="H322" s="74" t="s">
        <v>552</v>
      </c>
      <c r="I322" s="74" t="s">
        <v>300</v>
      </c>
      <c r="J322" s="74" t="s">
        <v>529</v>
      </c>
      <c r="K322" s="82" t="s">
        <v>326</v>
      </c>
      <c r="L322" s="78" t="s">
        <v>559</v>
      </c>
      <c r="M322" s="78" t="s">
        <v>531</v>
      </c>
      <c r="N322" s="78" t="s">
        <v>7</v>
      </c>
      <c r="O322" s="97" t="s">
        <v>560</v>
      </c>
      <c r="P322" s="97" t="s">
        <v>561</v>
      </c>
      <c r="Q322" s="74" t="s">
        <v>766</v>
      </c>
      <c r="R322" s="74" t="s">
        <v>767</v>
      </c>
      <c r="S322" s="74" t="s">
        <v>768</v>
      </c>
      <c r="T322" s="74" t="s">
        <v>320</v>
      </c>
      <c r="U322" s="75"/>
      <c r="V322" s="75"/>
      <c r="W322" s="75">
        <v>0.05</v>
      </c>
      <c r="X322" s="75"/>
      <c r="Y322" s="75"/>
      <c r="Z322" s="75">
        <v>0.05</v>
      </c>
      <c r="AA322" s="75"/>
      <c r="AB322" s="75"/>
      <c r="AC322" s="75">
        <v>0.05</v>
      </c>
      <c r="AD322" s="75"/>
      <c r="AE322" s="75"/>
      <c r="AF322" s="75">
        <v>0.05</v>
      </c>
      <c r="AG322" s="74" t="s">
        <v>536</v>
      </c>
      <c r="AH322" s="74" t="s">
        <v>530</v>
      </c>
      <c r="AI322" s="78" t="s">
        <v>539</v>
      </c>
      <c r="AJ322" s="79" t="s">
        <v>539</v>
      </c>
      <c r="AK322" s="80">
        <v>46023</v>
      </c>
      <c r="AL322" s="80">
        <v>46387</v>
      </c>
      <c r="AM322" s="79"/>
      <c r="AN322" s="79"/>
      <c r="AO322" s="79"/>
      <c r="AP322" s="103" t="s">
        <v>546</v>
      </c>
      <c r="AQ322" s="80" t="str" cm="1">
        <f t="array" ref="AQ322">IFERROR(DATE(2026, _xlfn.AGGREGATE(15, 6, (COLUMN(CI322:CT322)-COLUMN(CI322)+1)/(CI322:CT322&lt;&gt;0), 1), 1),"N/A")</f>
        <v>N/A</v>
      </c>
      <c r="AR322" s="80" t="str" cm="1">
        <f t="array" ref="AR322">IFERROR(EOMONTH(DATE(2026, _xlfn.AGGREGATE(14, 6, (COLUMN(CI322:CT322)-COLUMN(CI322)+1)/(CI322:CT322&lt;&gt;0), 1), 1), 0),"N/A")</f>
        <v>N/A</v>
      </c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4" t="s">
        <v>716</v>
      </c>
      <c r="BG322" s="74"/>
      <c r="BH322" s="74" t="s">
        <v>952</v>
      </c>
      <c r="BI322" s="74" t="s">
        <v>1012</v>
      </c>
      <c r="BJ322" s="78">
        <v>730249</v>
      </c>
      <c r="BK322" s="82" t="s">
        <v>703</v>
      </c>
      <c r="BL322" s="83">
        <v>40000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84">
        <v>40000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/>
      <c r="BZ322" s="73"/>
      <c r="CA322" s="73">
        <v>-40000</v>
      </c>
      <c r="CB322" s="73"/>
      <c r="CC322" s="73"/>
      <c r="CD322" s="73"/>
      <c r="CE322" s="73"/>
      <c r="CF322" s="73"/>
      <c r="CG322" s="73"/>
      <c r="CH322" s="73">
        <f t="shared" si="8"/>
        <v>0</v>
      </c>
      <c r="CI322" s="73"/>
      <c r="CJ322" s="73"/>
      <c r="CK322" s="72">
        <v>0</v>
      </c>
      <c r="CL322" s="73">
        <v>0</v>
      </c>
      <c r="CM322" s="73">
        <v>0</v>
      </c>
      <c r="CN322" s="84"/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/>
      <c r="CV322" s="84">
        <f t="shared" si="9"/>
        <v>0</v>
      </c>
      <c r="CW322" s="84"/>
      <c r="CX322" s="74"/>
      <c r="CY322" s="74"/>
      <c r="CZ322" s="74"/>
      <c r="DA322" s="74"/>
      <c r="DB322" s="74" t="s">
        <v>1295</v>
      </c>
      <c r="DC322" s="74"/>
      <c r="DD322" s="74"/>
    </row>
    <row r="323" spans="1:108" s="68" customFormat="1" ht="15" hidden="1" customHeight="1" x14ac:dyDescent="0.25">
      <c r="A323" s="161" t="s">
        <v>693</v>
      </c>
      <c r="B323" s="74" t="s">
        <v>154</v>
      </c>
      <c r="C323" s="74" t="s">
        <v>172</v>
      </c>
      <c r="D323" s="85" t="s">
        <v>196</v>
      </c>
      <c r="E323" s="74" t="s">
        <v>5</v>
      </c>
      <c r="F323" s="85" t="s">
        <v>551</v>
      </c>
      <c r="G323" s="74" t="s">
        <v>288</v>
      </c>
      <c r="H323" s="74" t="s">
        <v>552</v>
      </c>
      <c r="I323" s="74" t="s">
        <v>300</v>
      </c>
      <c r="J323" s="74" t="s">
        <v>529</v>
      </c>
      <c r="K323" s="82" t="s">
        <v>326</v>
      </c>
      <c r="L323" s="78" t="s">
        <v>559</v>
      </c>
      <c r="M323" s="78" t="s">
        <v>531</v>
      </c>
      <c r="N323" s="78" t="s">
        <v>7</v>
      </c>
      <c r="O323" s="97" t="s">
        <v>560</v>
      </c>
      <c r="P323" s="97" t="s">
        <v>561</v>
      </c>
      <c r="Q323" s="74" t="s">
        <v>766</v>
      </c>
      <c r="R323" s="74" t="s">
        <v>767</v>
      </c>
      <c r="S323" s="74" t="s">
        <v>768</v>
      </c>
      <c r="T323" s="74" t="s">
        <v>320</v>
      </c>
      <c r="U323" s="75"/>
      <c r="V323" s="75"/>
      <c r="W323" s="75">
        <v>0.05</v>
      </c>
      <c r="X323" s="75"/>
      <c r="Y323" s="75"/>
      <c r="Z323" s="75">
        <v>0.05</v>
      </c>
      <c r="AA323" s="75"/>
      <c r="AB323" s="75"/>
      <c r="AC323" s="75">
        <v>0.05</v>
      </c>
      <c r="AD323" s="75"/>
      <c r="AE323" s="75"/>
      <c r="AF323" s="75">
        <v>0.05</v>
      </c>
      <c r="AG323" s="74" t="s">
        <v>536</v>
      </c>
      <c r="AH323" s="74" t="s">
        <v>530</v>
      </c>
      <c r="AI323" s="78" t="s">
        <v>539</v>
      </c>
      <c r="AJ323" s="79" t="s">
        <v>539</v>
      </c>
      <c r="AK323" s="80">
        <v>46023</v>
      </c>
      <c r="AL323" s="80">
        <v>46387</v>
      </c>
      <c r="AM323" s="79"/>
      <c r="AN323" s="79"/>
      <c r="AO323" s="79"/>
      <c r="AP323" s="103" t="s">
        <v>546</v>
      </c>
      <c r="AQ323" s="80" t="str" cm="1">
        <f t="array" ref="AQ323">IFERROR(DATE(2026, _xlfn.AGGREGATE(15, 6, (COLUMN(CI323:CT323)-COLUMN(CI323)+1)/(CI323:CT323&lt;&gt;0), 1), 1),"N/A")</f>
        <v>N/A</v>
      </c>
      <c r="AR323" s="80" t="str" cm="1">
        <f t="array" ref="AR323">IFERROR(EOMONTH(DATE(2026, _xlfn.AGGREGATE(14, 6, (COLUMN(CI323:CT323)-COLUMN(CI323)+1)/(CI323:CT323&lt;&gt;0), 1), 1), 0),"N/A")</f>
        <v>N/A</v>
      </c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4" t="s">
        <v>717</v>
      </c>
      <c r="BG323" s="74"/>
      <c r="BH323" s="74" t="s">
        <v>953</v>
      </c>
      <c r="BI323" s="74" t="s">
        <v>1012</v>
      </c>
      <c r="BJ323" s="78">
        <v>730249</v>
      </c>
      <c r="BK323" s="82" t="s">
        <v>703</v>
      </c>
      <c r="BL323" s="83">
        <v>150000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84">
        <v>150000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/>
      <c r="BZ323" s="73"/>
      <c r="CA323" s="73">
        <v>-150000</v>
      </c>
      <c r="CB323" s="73"/>
      <c r="CC323" s="73"/>
      <c r="CD323" s="73"/>
      <c r="CE323" s="73"/>
      <c r="CF323" s="73"/>
      <c r="CG323" s="73"/>
      <c r="CH323" s="73">
        <f t="shared" si="8"/>
        <v>0</v>
      </c>
      <c r="CI323" s="73"/>
      <c r="CJ323" s="73"/>
      <c r="CK323" s="72">
        <v>0</v>
      </c>
      <c r="CL323" s="73">
        <v>0</v>
      </c>
      <c r="CM323" s="73">
        <v>0</v>
      </c>
      <c r="CN323" s="84"/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/>
      <c r="CV323" s="84">
        <f t="shared" si="9"/>
        <v>0</v>
      </c>
      <c r="CW323" s="84"/>
      <c r="CX323" s="74"/>
      <c r="CY323" s="74"/>
      <c r="CZ323" s="74"/>
      <c r="DA323" s="74"/>
      <c r="DB323" s="74" t="s">
        <v>1296</v>
      </c>
      <c r="DC323" s="74"/>
      <c r="DD323" s="74"/>
    </row>
    <row r="324" spans="1:108" s="68" customFormat="1" ht="15" hidden="1" customHeight="1" x14ac:dyDescent="0.25">
      <c r="A324" s="74" t="s">
        <v>689</v>
      </c>
      <c r="B324" s="74" t="s">
        <v>154</v>
      </c>
      <c r="C324" s="74" t="s">
        <v>172</v>
      </c>
      <c r="D324" s="85" t="s">
        <v>196</v>
      </c>
      <c r="E324" s="74" t="s">
        <v>5</v>
      </c>
      <c r="F324" s="85" t="s">
        <v>551</v>
      </c>
      <c r="G324" s="74" t="s">
        <v>288</v>
      </c>
      <c r="H324" s="74" t="s">
        <v>552</v>
      </c>
      <c r="I324" s="74" t="s">
        <v>300</v>
      </c>
      <c r="J324" s="74" t="s">
        <v>529</v>
      </c>
      <c r="K324" s="82" t="s">
        <v>326</v>
      </c>
      <c r="L324" s="78" t="s">
        <v>559</v>
      </c>
      <c r="M324" s="78" t="s">
        <v>531</v>
      </c>
      <c r="N324" s="78" t="s">
        <v>7</v>
      </c>
      <c r="O324" s="97" t="s">
        <v>560</v>
      </c>
      <c r="P324" s="97" t="s">
        <v>561</v>
      </c>
      <c r="Q324" s="74" t="s">
        <v>766</v>
      </c>
      <c r="R324" s="74" t="s">
        <v>767</v>
      </c>
      <c r="S324" s="74" t="s">
        <v>768</v>
      </c>
      <c r="T324" s="74" t="s">
        <v>320</v>
      </c>
      <c r="U324" s="75"/>
      <c r="V324" s="75"/>
      <c r="W324" s="75">
        <v>0.05</v>
      </c>
      <c r="X324" s="75"/>
      <c r="Y324" s="75"/>
      <c r="Z324" s="75">
        <v>0.05</v>
      </c>
      <c r="AA324" s="75"/>
      <c r="AB324" s="75"/>
      <c r="AC324" s="75">
        <v>0.05</v>
      </c>
      <c r="AD324" s="75"/>
      <c r="AE324" s="75"/>
      <c r="AF324" s="75">
        <v>0.05</v>
      </c>
      <c r="AG324" s="74" t="s">
        <v>536</v>
      </c>
      <c r="AH324" s="74" t="s">
        <v>530</v>
      </c>
      <c r="AI324" s="78" t="s">
        <v>539</v>
      </c>
      <c r="AJ324" s="79" t="s">
        <v>539</v>
      </c>
      <c r="AK324" s="80">
        <v>46023</v>
      </c>
      <c r="AL324" s="80">
        <v>46387</v>
      </c>
      <c r="AM324" s="79"/>
      <c r="AN324" s="79"/>
      <c r="AO324" s="79"/>
      <c r="AP324" s="81" t="s">
        <v>544</v>
      </c>
      <c r="AQ324" s="80" cm="1">
        <f t="array" ref="AQ324">IFERROR(DATE(2026, _xlfn.AGGREGATE(15, 6, (COLUMN(CI324:CT324)-COLUMN(CI324)+1)/(CI324:CT324&lt;&gt;0), 1), 1),"N/A")</f>
        <v>46023</v>
      </c>
      <c r="AR324" s="80" cm="1">
        <f t="array" ref="AR324">IFERROR(EOMONTH(DATE(2026, _xlfn.AGGREGATE(14, 6, (COLUMN(CI324:CT324)-COLUMN(CI324)+1)/(CI324:CT324&lt;&gt;0), 1), 1), 0),"N/A")</f>
        <v>46387</v>
      </c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4" t="s">
        <v>651</v>
      </c>
      <c r="BG324" s="74"/>
      <c r="BH324" s="74" t="s">
        <v>933</v>
      </c>
      <c r="BI324" s="74" t="s">
        <v>137</v>
      </c>
      <c r="BJ324" s="78">
        <v>710601</v>
      </c>
      <c r="BK324" s="82" t="s">
        <v>703</v>
      </c>
      <c r="BL324" s="83">
        <v>13907.150000000001</v>
      </c>
      <c r="BM324" s="84">
        <v>1158.9291666666668</v>
      </c>
      <c r="BN324" s="84">
        <v>1158.9291666666668</v>
      </c>
      <c r="BO324" s="84">
        <v>1158.9291666666668</v>
      </c>
      <c r="BP324" s="72">
        <v>1158.9291666666668</v>
      </c>
      <c r="BQ324" s="84">
        <v>1158.9291666666668</v>
      </c>
      <c r="BR324" s="84">
        <v>1158.9291666666668</v>
      </c>
      <c r="BS324" s="84">
        <v>1158.9291666666668</v>
      </c>
      <c r="BT324" s="84">
        <v>1158.9291666666668</v>
      </c>
      <c r="BU324" s="84">
        <v>1158.9291666666668</v>
      </c>
      <c r="BV324" s="84">
        <v>1158.9291666666668</v>
      </c>
      <c r="BW324" s="84">
        <v>1158.9291666666668</v>
      </c>
      <c r="BX324" s="84">
        <v>1158.9291666666668</v>
      </c>
      <c r="BY324" s="84"/>
      <c r="BZ324" s="84"/>
      <c r="CA324" s="84"/>
      <c r="CB324" s="157"/>
      <c r="CC324" s="157"/>
      <c r="CD324" s="84">
        <v>-9534.0300000000007</v>
      </c>
      <c r="CE324" s="84"/>
      <c r="CF324" s="84"/>
      <c r="CG324" s="84"/>
      <c r="CH324" s="73">
        <f t="shared" si="8"/>
        <v>4373.1200000000008</v>
      </c>
      <c r="CI324" s="84">
        <v>1047.9100000000001</v>
      </c>
      <c r="CJ324" s="84">
        <v>1023.51</v>
      </c>
      <c r="CK324" s="84">
        <v>1089.1099999999999</v>
      </c>
      <c r="CL324" s="72">
        <v>0</v>
      </c>
      <c r="CM324" s="84">
        <v>0</v>
      </c>
      <c r="CN324" s="84">
        <v>173.23</v>
      </c>
      <c r="CO324" s="84">
        <v>173.23</v>
      </c>
      <c r="CP324" s="84">
        <v>173.23</v>
      </c>
      <c r="CQ324" s="84">
        <v>173.23</v>
      </c>
      <c r="CR324" s="84">
        <v>173.23</v>
      </c>
      <c r="CS324" s="84">
        <v>173.23</v>
      </c>
      <c r="CT324" s="84">
        <v>173.21</v>
      </c>
      <c r="CU324" s="84"/>
      <c r="CV324" s="84">
        <f t="shared" si="9"/>
        <v>0</v>
      </c>
      <c r="CW324" s="84"/>
      <c r="CX324" s="74"/>
      <c r="CY324" s="74"/>
      <c r="CZ324" s="74"/>
      <c r="DA324" s="74"/>
      <c r="DB324" s="74"/>
      <c r="DC324" s="74"/>
      <c r="DD324" s="74"/>
    </row>
    <row r="325" spans="1:108" s="68" customFormat="1" ht="15" hidden="1" customHeight="1" x14ac:dyDescent="0.25">
      <c r="A325" s="74" t="s">
        <v>689</v>
      </c>
      <c r="B325" s="74" t="s">
        <v>154</v>
      </c>
      <c r="C325" s="74" t="s">
        <v>172</v>
      </c>
      <c r="D325" s="85" t="s">
        <v>196</v>
      </c>
      <c r="E325" s="74" t="s">
        <v>5</v>
      </c>
      <c r="F325" s="85" t="s">
        <v>551</v>
      </c>
      <c r="G325" s="74" t="s">
        <v>288</v>
      </c>
      <c r="H325" s="74" t="s">
        <v>552</v>
      </c>
      <c r="I325" s="74" t="s">
        <v>300</v>
      </c>
      <c r="J325" s="74" t="s">
        <v>529</v>
      </c>
      <c r="K325" s="82" t="s">
        <v>326</v>
      </c>
      <c r="L325" s="78" t="s">
        <v>559</v>
      </c>
      <c r="M325" s="78" t="s">
        <v>531</v>
      </c>
      <c r="N325" s="78" t="s">
        <v>7</v>
      </c>
      <c r="O325" s="97" t="s">
        <v>560</v>
      </c>
      <c r="P325" s="97" t="s">
        <v>561</v>
      </c>
      <c r="Q325" s="74" t="s">
        <v>766</v>
      </c>
      <c r="R325" s="74" t="s">
        <v>767</v>
      </c>
      <c r="S325" s="74" t="s">
        <v>768</v>
      </c>
      <c r="T325" s="74" t="s">
        <v>320</v>
      </c>
      <c r="U325" s="75"/>
      <c r="V325" s="75"/>
      <c r="W325" s="75">
        <v>0.05</v>
      </c>
      <c r="X325" s="75"/>
      <c r="Y325" s="75"/>
      <c r="Z325" s="75">
        <v>0.05</v>
      </c>
      <c r="AA325" s="75"/>
      <c r="AB325" s="75"/>
      <c r="AC325" s="75">
        <v>0.05</v>
      </c>
      <c r="AD325" s="75"/>
      <c r="AE325" s="75"/>
      <c r="AF325" s="75">
        <v>0.05</v>
      </c>
      <c r="AG325" s="74" t="s">
        <v>536</v>
      </c>
      <c r="AH325" s="74" t="s">
        <v>530</v>
      </c>
      <c r="AI325" s="78" t="s">
        <v>539</v>
      </c>
      <c r="AJ325" s="79" t="s">
        <v>539</v>
      </c>
      <c r="AK325" s="80">
        <v>46023</v>
      </c>
      <c r="AL325" s="80">
        <v>46387</v>
      </c>
      <c r="AM325" s="79"/>
      <c r="AN325" s="79"/>
      <c r="AO325" s="79"/>
      <c r="AP325" s="81" t="s">
        <v>544</v>
      </c>
      <c r="AQ325" s="80" cm="1">
        <f t="array" ref="AQ325">IFERROR(DATE(2026, _xlfn.AGGREGATE(15, 6, (COLUMN(CI325:CT325)-COLUMN(CI325)+1)/(CI325:CT325&lt;&gt;0), 1), 1),"N/A")</f>
        <v>46054</v>
      </c>
      <c r="AR325" s="80" cm="1">
        <f t="array" ref="AR325">IFERROR(EOMONTH(DATE(2026, _xlfn.AGGREGATE(14, 6, (COLUMN(CI325:CT325)-COLUMN(CI325)+1)/(CI325:CT325&lt;&gt;0), 1), 1), 0),"N/A")</f>
        <v>46387</v>
      </c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4" t="s">
        <v>617</v>
      </c>
      <c r="BG325" s="74"/>
      <c r="BH325" s="74" t="s">
        <v>943</v>
      </c>
      <c r="BI325" s="74" t="s">
        <v>137</v>
      </c>
      <c r="BJ325" s="78">
        <v>710509</v>
      </c>
      <c r="BK325" s="82" t="s">
        <v>703</v>
      </c>
      <c r="BL325" s="83">
        <v>4775</v>
      </c>
      <c r="BM325" s="84">
        <v>397.91666666666669</v>
      </c>
      <c r="BN325" s="84">
        <v>397.91666666666669</v>
      </c>
      <c r="BO325" s="84">
        <v>397.91666666666669</v>
      </c>
      <c r="BP325" s="72">
        <v>397.91666666666669</v>
      </c>
      <c r="BQ325" s="84">
        <v>397.91666666666669</v>
      </c>
      <c r="BR325" s="84">
        <v>397.91666666666669</v>
      </c>
      <c r="BS325" s="84">
        <v>397.91666666666669</v>
      </c>
      <c r="BT325" s="84">
        <v>397.91666666666669</v>
      </c>
      <c r="BU325" s="84">
        <v>397.91666666666669</v>
      </c>
      <c r="BV325" s="84">
        <v>397.91666666666669</v>
      </c>
      <c r="BW325" s="84">
        <v>397.91666666666669</v>
      </c>
      <c r="BX325" s="84">
        <v>397.91666666666669</v>
      </c>
      <c r="BY325" s="84"/>
      <c r="BZ325" s="84">
        <v>-977.98</v>
      </c>
      <c r="CA325" s="84"/>
      <c r="CB325" s="157"/>
      <c r="CC325" s="157"/>
      <c r="CD325" s="84">
        <v>-1512.78</v>
      </c>
      <c r="CE325" s="84"/>
      <c r="CF325" s="84"/>
      <c r="CG325" s="84"/>
      <c r="CH325" s="73">
        <f t="shared" si="8"/>
        <v>2284.2399999999998</v>
      </c>
      <c r="CI325" s="84"/>
      <c r="CJ325" s="73">
        <v>34.31</v>
      </c>
      <c r="CK325" s="73">
        <v>597.58000000000004</v>
      </c>
      <c r="CL325" s="84"/>
      <c r="CM325" s="84"/>
      <c r="CN325" s="84"/>
      <c r="CO325" s="84"/>
      <c r="CP325" s="84"/>
      <c r="CQ325" s="84">
        <v>379.7</v>
      </c>
      <c r="CR325" s="84">
        <v>379.7</v>
      </c>
      <c r="CS325" s="84">
        <v>379.7</v>
      </c>
      <c r="CT325" s="84">
        <v>513.25</v>
      </c>
      <c r="CU325" s="84"/>
      <c r="CV325" s="84">
        <f t="shared" si="9"/>
        <v>0</v>
      </c>
      <c r="CW325" s="84"/>
      <c r="CX325" s="74"/>
      <c r="CY325" s="74"/>
      <c r="CZ325" s="74"/>
      <c r="DA325" s="74"/>
      <c r="DB325" s="74"/>
      <c r="DC325" s="74"/>
      <c r="DD325" s="74"/>
    </row>
    <row r="326" spans="1:108" s="68" customFormat="1" ht="15" hidden="1" customHeight="1" x14ac:dyDescent="0.25">
      <c r="A326" s="74" t="s">
        <v>689</v>
      </c>
      <c r="B326" s="74" t="s">
        <v>154</v>
      </c>
      <c r="C326" s="74" t="s">
        <v>172</v>
      </c>
      <c r="D326" s="85" t="s">
        <v>196</v>
      </c>
      <c r="E326" s="74" t="s">
        <v>5</v>
      </c>
      <c r="F326" s="85" t="s">
        <v>551</v>
      </c>
      <c r="G326" s="74" t="s">
        <v>288</v>
      </c>
      <c r="H326" s="74" t="s">
        <v>552</v>
      </c>
      <c r="I326" s="74" t="s">
        <v>300</v>
      </c>
      <c r="J326" s="74" t="s">
        <v>529</v>
      </c>
      <c r="K326" s="82" t="s">
        <v>326</v>
      </c>
      <c r="L326" s="78" t="s">
        <v>559</v>
      </c>
      <c r="M326" s="78" t="s">
        <v>531</v>
      </c>
      <c r="N326" s="78" t="s">
        <v>7</v>
      </c>
      <c r="O326" s="97" t="s">
        <v>560</v>
      </c>
      <c r="P326" s="97" t="s">
        <v>561</v>
      </c>
      <c r="Q326" s="74" t="s">
        <v>766</v>
      </c>
      <c r="R326" s="74" t="s">
        <v>767</v>
      </c>
      <c r="S326" s="74" t="s">
        <v>768</v>
      </c>
      <c r="T326" s="74" t="s">
        <v>320</v>
      </c>
      <c r="U326" s="75"/>
      <c r="V326" s="75"/>
      <c r="W326" s="75">
        <v>0.05</v>
      </c>
      <c r="X326" s="75"/>
      <c r="Y326" s="75"/>
      <c r="Z326" s="75">
        <v>0.05</v>
      </c>
      <c r="AA326" s="75"/>
      <c r="AB326" s="75"/>
      <c r="AC326" s="75">
        <v>0.05</v>
      </c>
      <c r="AD326" s="75"/>
      <c r="AE326" s="75"/>
      <c r="AF326" s="75">
        <v>0.05</v>
      </c>
      <c r="AG326" s="74" t="s">
        <v>536</v>
      </c>
      <c r="AH326" s="74" t="s">
        <v>530</v>
      </c>
      <c r="AI326" s="78" t="s">
        <v>539</v>
      </c>
      <c r="AJ326" s="79" t="s">
        <v>539</v>
      </c>
      <c r="AK326" s="80">
        <v>46023</v>
      </c>
      <c r="AL326" s="80">
        <v>46387</v>
      </c>
      <c r="AM326" s="79"/>
      <c r="AN326" s="79"/>
      <c r="AO326" s="79"/>
      <c r="AP326" s="81" t="s">
        <v>544</v>
      </c>
      <c r="AQ326" s="80" cm="1">
        <f t="array" ref="AQ326">IFERROR(DATE(2026, _xlfn.AGGREGATE(15, 6, (COLUMN(CI326:CT326)-COLUMN(CI326)+1)/(CI326:CT326&lt;&gt;0), 1), 1),"N/A")</f>
        <v>46357</v>
      </c>
      <c r="AR326" s="80" cm="1">
        <f t="array" ref="AR326">IFERROR(EOMONTH(DATE(2026, _xlfn.AGGREGATE(14, 6, (COLUMN(CI326:CT326)-COLUMN(CI326)+1)/(CI326:CT326&lt;&gt;0), 1), 1), 0),"N/A")</f>
        <v>46387</v>
      </c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4" t="s">
        <v>616</v>
      </c>
      <c r="BG326" s="74"/>
      <c r="BH326" s="74" t="s">
        <v>934</v>
      </c>
      <c r="BI326" s="74" t="s">
        <v>137</v>
      </c>
      <c r="BJ326" s="78">
        <v>710707</v>
      </c>
      <c r="BK326" s="82" t="s">
        <v>703</v>
      </c>
      <c r="BL326" s="83">
        <v>4775</v>
      </c>
      <c r="BM326" s="84">
        <v>397.91666666666669</v>
      </c>
      <c r="BN326" s="84">
        <v>397.91666666666669</v>
      </c>
      <c r="BO326" s="84">
        <v>397.91666666666669</v>
      </c>
      <c r="BP326" s="72">
        <v>397.91666666666669</v>
      </c>
      <c r="BQ326" s="84">
        <v>397.91666666666669</v>
      </c>
      <c r="BR326" s="84">
        <v>397.91666666666669</v>
      </c>
      <c r="BS326" s="84">
        <v>397.91666666666669</v>
      </c>
      <c r="BT326" s="84">
        <v>397.91666666666669</v>
      </c>
      <c r="BU326" s="84">
        <v>397.91666666666669</v>
      </c>
      <c r="BV326" s="84">
        <v>397.91666666666669</v>
      </c>
      <c r="BW326" s="84">
        <v>397.91666666666669</v>
      </c>
      <c r="BX326" s="84">
        <v>397.91666666666669</v>
      </c>
      <c r="BY326" s="84"/>
      <c r="BZ326" s="84"/>
      <c r="CA326" s="84"/>
      <c r="CB326" s="157"/>
      <c r="CC326" s="157"/>
      <c r="CD326" s="84">
        <v>-4119</v>
      </c>
      <c r="CE326" s="84"/>
      <c r="CF326" s="84"/>
      <c r="CG326" s="84"/>
      <c r="CH326" s="73">
        <f t="shared" si="8"/>
        <v>656</v>
      </c>
      <c r="CI326" s="84"/>
      <c r="CJ326" s="84"/>
      <c r="CK326" s="84"/>
      <c r="CL326" s="72"/>
      <c r="CM326" s="84"/>
      <c r="CN326" s="84"/>
      <c r="CO326" s="84"/>
      <c r="CP326" s="84"/>
      <c r="CQ326" s="84"/>
      <c r="CR326" s="84"/>
      <c r="CS326" s="84"/>
      <c r="CT326" s="84">
        <v>656</v>
      </c>
      <c r="CU326" s="84"/>
      <c r="CV326" s="84">
        <f t="shared" si="9"/>
        <v>0</v>
      </c>
      <c r="CW326" s="84"/>
      <c r="CX326" s="74"/>
      <c r="CY326" s="74"/>
      <c r="CZ326" s="74"/>
      <c r="DA326" s="74"/>
      <c r="DB326" s="74"/>
      <c r="DC326" s="74"/>
      <c r="DD326" s="74"/>
    </row>
    <row r="327" spans="1:108" ht="15" hidden="1" customHeight="1" x14ac:dyDescent="0.25">
      <c r="A327" s="70"/>
      <c r="B327" s="104"/>
      <c r="C327" s="104"/>
      <c r="D327" s="104"/>
      <c r="E327" s="104"/>
      <c r="F327" s="104"/>
      <c r="G327" s="104"/>
      <c r="H327" s="104"/>
      <c r="I327" s="104"/>
      <c r="J327" s="104"/>
      <c r="K327" s="105"/>
      <c r="L327" s="106"/>
      <c r="M327" s="106"/>
      <c r="N327" s="106"/>
      <c r="O327" s="106"/>
      <c r="P327" s="106"/>
      <c r="Q327" s="104"/>
      <c r="R327" s="104"/>
      <c r="S327" s="104"/>
      <c r="T327" s="104"/>
      <c r="U327" s="104"/>
      <c r="V327" s="104"/>
      <c r="W327" s="104"/>
      <c r="X327" s="107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6"/>
      <c r="BK327" s="106"/>
      <c r="BL327" s="109">
        <f t="shared" ref="BL327:CG327" si="10">SUM(BL6:BL326)</f>
        <v>8701661.8900000006</v>
      </c>
      <c r="BM327" s="109">
        <f t="shared" si="10"/>
        <v>263542.7466666667</v>
      </c>
      <c r="BN327" s="109">
        <f t="shared" si="10"/>
        <v>377251.8266666666</v>
      </c>
      <c r="BO327" s="109">
        <f t="shared" si="10"/>
        <v>709891.82666666666</v>
      </c>
      <c r="BP327" s="109">
        <f t="shared" si="10"/>
        <v>549299.77666666673</v>
      </c>
      <c r="BQ327" s="109">
        <f t="shared" si="10"/>
        <v>460140.59666666662</v>
      </c>
      <c r="BR327" s="109">
        <f t="shared" si="10"/>
        <v>864647.07666666666</v>
      </c>
      <c r="BS327" s="109">
        <f t="shared" si="10"/>
        <v>1135026.1566666667</v>
      </c>
      <c r="BT327" s="109">
        <f t="shared" si="10"/>
        <v>780589.60666666669</v>
      </c>
      <c r="BU327" s="109">
        <f t="shared" si="10"/>
        <v>783516.34999999986</v>
      </c>
      <c r="BV327" s="109">
        <f t="shared" si="10"/>
        <v>799102.71</v>
      </c>
      <c r="BW327" s="109">
        <f t="shared" si="10"/>
        <v>741378.53</v>
      </c>
      <c r="BX327" s="109">
        <f t="shared" si="10"/>
        <v>1237274.686666667</v>
      </c>
      <c r="BY327" s="109">
        <f t="shared" si="10"/>
        <v>-4.3655745685100555E-11</v>
      </c>
      <c r="BZ327" s="109">
        <f t="shared" si="10"/>
        <v>0</v>
      </c>
      <c r="CA327" s="109">
        <f t="shared" si="10"/>
        <v>0</v>
      </c>
      <c r="CB327" s="109">
        <f t="shared" si="10"/>
        <v>2.9103830456733704E-11</v>
      </c>
      <c r="CC327" s="109">
        <f t="shared" si="10"/>
        <v>1010000</v>
      </c>
      <c r="CD327" s="109">
        <f t="shared" si="10"/>
        <v>-2.8467184165492654E-10</v>
      </c>
      <c r="CE327" s="109">
        <f t="shared" si="10"/>
        <v>0</v>
      </c>
      <c r="CF327" s="109">
        <f t="shared" si="10"/>
        <v>0</v>
      </c>
      <c r="CG327" s="109">
        <f t="shared" si="10"/>
        <v>0</v>
      </c>
      <c r="CH327" s="109">
        <f t="shared" ref="CH327:CV327" si="11">SUM(CH6:CH326)</f>
        <v>9711661.8899999987</v>
      </c>
      <c r="CI327" s="109">
        <f t="shared" si="11"/>
        <v>233995.28416666668</v>
      </c>
      <c r="CJ327" s="109">
        <f t="shared" si="11"/>
        <v>334844.25416666665</v>
      </c>
      <c r="CK327" s="109">
        <f t="shared" si="11"/>
        <v>296980.11416666664</v>
      </c>
      <c r="CL327" s="109">
        <f t="shared" si="11"/>
        <v>416472.65416666662</v>
      </c>
      <c r="CM327" s="109">
        <f t="shared" si="11"/>
        <v>294682.25416666665</v>
      </c>
      <c r="CN327" s="109">
        <f t="shared" si="11"/>
        <v>616645.38416666677</v>
      </c>
      <c r="CO327" s="109">
        <f t="shared" si="11"/>
        <v>435949.96083333337</v>
      </c>
      <c r="CP327" s="109">
        <f t="shared" si="11"/>
        <v>671405.13083333336</v>
      </c>
      <c r="CQ327" s="109">
        <f t="shared" si="11"/>
        <v>926717.80083333305</v>
      </c>
      <c r="CR327" s="109">
        <f t="shared" si="11"/>
        <v>886192.0808333332</v>
      </c>
      <c r="CS327" s="109">
        <f t="shared" si="11"/>
        <v>1018759.1308333331</v>
      </c>
      <c r="CT327" s="109">
        <f t="shared" si="11"/>
        <v>3455760.8408333329</v>
      </c>
      <c r="CU327" s="109">
        <f t="shared" si="11"/>
        <v>123257</v>
      </c>
      <c r="CV327" s="109">
        <f t="shared" si="11"/>
        <v>-7.2759576141834259E-12</v>
      </c>
      <c r="CW327" s="109"/>
    </row>
    <row r="328" spans="1:108" ht="15" hidden="1" customHeight="1" x14ac:dyDescent="0.25">
      <c r="A328"/>
      <c r="BF328"/>
      <c r="BM328" s="101">
        <f>+BM327/BL327</f>
        <v>3.0286484351860595E-2</v>
      </c>
      <c r="BN328" s="101">
        <f>+BN327/BL327</f>
        <v>4.3353997366894541E-2</v>
      </c>
      <c r="BO328" s="101">
        <f>+BO327/BL327</f>
        <v>8.1581177899187091E-2</v>
      </c>
      <c r="CH328" s="99">
        <f>+CH327-BL327</f>
        <v>1009999.9999999981</v>
      </c>
      <c r="CI328" s="101">
        <f t="shared" ref="CI328:CU328" si="12">CI327/$CH$327</f>
        <v>2.4094257689058273E-2</v>
      </c>
      <c r="CJ328" s="101">
        <f t="shared" si="12"/>
        <v>3.447857410598823E-2</v>
      </c>
      <c r="CK328" s="101">
        <f t="shared" si="12"/>
        <v>3.0579741915486586E-2</v>
      </c>
      <c r="CL328" s="101">
        <f t="shared" si="12"/>
        <v>4.2883767874528703E-2</v>
      </c>
      <c r="CM328" s="101">
        <f t="shared" si="12"/>
        <v>3.0343133595919152E-2</v>
      </c>
      <c r="CN328" s="101">
        <f t="shared" si="12"/>
        <v>6.3495351377668985E-2</v>
      </c>
      <c r="CO328" s="101">
        <f t="shared" si="12"/>
        <v>4.4889326437756928E-2</v>
      </c>
      <c r="CP328" s="101">
        <f t="shared" si="12"/>
        <v>6.9133907094178451E-2</v>
      </c>
      <c r="CQ328" s="101">
        <f t="shared" si="12"/>
        <v>9.5423194436738482E-2</v>
      </c>
      <c r="CR328" s="101">
        <f t="shared" si="12"/>
        <v>9.1250302046227152E-2</v>
      </c>
      <c r="CS328" s="101">
        <f t="shared" si="12"/>
        <v>0.10490059707312703</v>
      </c>
      <c r="CT328" s="101">
        <f t="shared" si="12"/>
        <v>0.35583619775640002</v>
      </c>
      <c r="CU328" s="101">
        <f t="shared" si="12"/>
        <v>1.2691648596922067E-2</v>
      </c>
      <c r="CW328"/>
    </row>
    <row r="329" spans="1:108" ht="46.15" hidden="1" customHeight="1" x14ac:dyDescent="0.25">
      <c r="A329"/>
      <c r="BF329"/>
      <c r="BL329" s="99"/>
      <c r="BN329" s="110">
        <f>+BN328+BM328</f>
        <v>7.3640481718755132E-2</v>
      </c>
      <c r="BO329" s="110">
        <f>+BN329+BO328</f>
        <v>0.15522165961794221</v>
      </c>
      <c r="CW329"/>
    </row>
    <row r="330" spans="1:108" ht="30" customHeight="1" x14ac:dyDescent="0.25">
      <c r="A330"/>
      <c r="BL330" s="99"/>
      <c r="BN330" s="110"/>
      <c r="BO330" s="110"/>
      <c r="CW330"/>
    </row>
    <row r="331" spans="1:108" ht="246" customHeight="1" x14ac:dyDescent="0.25">
      <c r="A331"/>
      <c r="BF331" s="176" t="s">
        <v>1335</v>
      </c>
      <c r="BL331" s="99"/>
      <c r="BN331" s="110"/>
      <c r="BO331" s="110"/>
      <c r="CH331" s="177">
        <v>300000</v>
      </c>
      <c r="CW331"/>
      <c r="DA331" s="178" t="s">
        <v>1336</v>
      </c>
      <c r="DB331" s="74" t="s">
        <v>1339</v>
      </c>
      <c r="DC331" s="85" t="s">
        <v>1340</v>
      </c>
      <c r="DD331" s="74" t="s">
        <v>1338</v>
      </c>
    </row>
    <row r="332" spans="1:108" ht="225" x14ac:dyDescent="0.25">
      <c r="A332"/>
      <c r="BF332" s="176" t="s">
        <v>1337</v>
      </c>
      <c r="BL332" s="99"/>
      <c r="BN332" s="110"/>
      <c r="BO332" s="110"/>
      <c r="CH332" s="177">
        <v>146000</v>
      </c>
      <c r="CW332"/>
      <c r="DA332" s="178" t="s">
        <v>1375</v>
      </c>
      <c r="DB332" s="3" t="s">
        <v>1374</v>
      </c>
    </row>
    <row r="333" spans="1:108" ht="46.15" customHeight="1" x14ac:dyDescent="0.25">
      <c r="A333"/>
      <c r="BL333" s="99"/>
      <c r="BN333" s="110"/>
      <c r="BO333" s="110"/>
      <c r="CW333"/>
    </row>
    <row r="334" spans="1:108" ht="15" customHeight="1" x14ac:dyDescent="0.25">
      <c r="CX334" s="131"/>
    </row>
    <row r="335" spans="1:108" ht="15" customHeight="1" x14ac:dyDescent="0.25">
      <c r="CD335" s="99"/>
      <c r="CH335" s="117"/>
    </row>
    <row r="336" spans="1:108" ht="21" customHeight="1" x14ac:dyDescent="0.25">
      <c r="CM336" s="115"/>
    </row>
    <row r="337" spans="86:91" ht="42.6" customHeight="1" x14ac:dyDescent="0.25">
      <c r="CH337" s="100" t="s">
        <v>955</v>
      </c>
      <c r="CM337" s="117"/>
    </row>
    <row r="338" spans="86:91" ht="15" customHeight="1" x14ac:dyDescent="0.25">
      <c r="CH338" s="98">
        <v>1079831.02</v>
      </c>
      <c r="CM338" s="99"/>
    </row>
    <row r="339" spans="86:91" ht="15" customHeight="1" x14ac:dyDescent="0.25">
      <c r="CH339" s="98">
        <v>326900</v>
      </c>
    </row>
    <row r="340" spans="86:91" ht="15" customHeight="1" x14ac:dyDescent="0.25">
      <c r="CH340" s="98">
        <v>303760</v>
      </c>
    </row>
    <row r="341" spans="86:91" ht="15" customHeight="1" x14ac:dyDescent="0.25">
      <c r="CH341" s="98">
        <v>300000</v>
      </c>
    </row>
    <row r="342" spans="86:91" ht="15" customHeight="1" x14ac:dyDescent="0.25">
      <c r="CH342" s="98">
        <v>242000</v>
      </c>
    </row>
    <row r="343" spans="86:91" ht="15" customHeight="1" x14ac:dyDescent="0.25">
      <c r="CH343" s="98">
        <v>234800</v>
      </c>
    </row>
    <row r="344" spans="86:91" ht="15" customHeight="1" x14ac:dyDescent="0.25">
      <c r="CH344" s="98">
        <v>135000</v>
      </c>
    </row>
    <row r="345" spans="86:91" ht="15" customHeight="1" x14ac:dyDescent="0.25">
      <c r="CH345" s="98">
        <v>106000</v>
      </c>
    </row>
    <row r="346" spans="86:91" ht="15" customHeight="1" x14ac:dyDescent="0.25">
      <c r="CH346" s="98">
        <v>100000</v>
      </c>
    </row>
    <row r="347" spans="86:91" ht="15" customHeight="1" x14ac:dyDescent="0.25">
      <c r="CH347" s="98">
        <v>80000</v>
      </c>
    </row>
    <row r="348" spans="86:91" ht="15" customHeight="1" x14ac:dyDescent="0.25">
      <c r="CH348" s="98">
        <v>70000</v>
      </c>
    </row>
    <row r="349" spans="86:91" ht="15" customHeight="1" x14ac:dyDescent="0.25">
      <c r="CH349" s="98">
        <v>57655</v>
      </c>
    </row>
    <row r="350" spans="86:91" ht="15" customHeight="1" x14ac:dyDescent="0.25">
      <c r="CH350" s="98">
        <v>50000</v>
      </c>
    </row>
    <row r="351" spans="86:91" ht="15" customHeight="1" x14ac:dyDescent="0.25">
      <c r="CH351" s="98">
        <v>48977.5</v>
      </c>
    </row>
    <row r="352" spans="86:91" ht="15" customHeight="1" x14ac:dyDescent="0.25">
      <c r="CH352" s="98">
        <v>40000</v>
      </c>
    </row>
    <row r="353" spans="86:86" ht="15" customHeight="1" x14ac:dyDescent="0.25">
      <c r="CH353" s="98">
        <v>35374.779999999992</v>
      </c>
    </row>
    <row r="354" spans="86:86" ht="15" customHeight="1" x14ac:dyDescent="0.25">
      <c r="CH354" s="98">
        <v>32200</v>
      </c>
    </row>
    <row r="355" spans="86:86" ht="15" customHeight="1" x14ac:dyDescent="0.25">
      <c r="CH355" s="98">
        <v>26000</v>
      </c>
    </row>
    <row r="356" spans="86:86" ht="15" customHeight="1" x14ac:dyDescent="0.25">
      <c r="CH356" s="98">
        <v>17800</v>
      </c>
    </row>
    <row r="357" spans="86:86" ht="15" customHeight="1" x14ac:dyDescent="0.25">
      <c r="CH357" s="98">
        <v>15500</v>
      </c>
    </row>
    <row r="358" spans="86:86" ht="15" customHeight="1" x14ac:dyDescent="0.25">
      <c r="CH358" s="98">
        <v>10000</v>
      </c>
    </row>
    <row r="359" spans="86:86" ht="15" customHeight="1" x14ac:dyDescent="0.25">
      <c r="CH359" s="98">
        <v>10000</v>
      </c>
    </row>
    <row r="360" spans="86:86" ht="15" customHeight="1" x14ac:dyDescent="0.25">
      <c r="CH360" s="98">
        <v>9947.9</v>
      </c>
    </row>
    <row r="361" spans="86:86" ht="15" customHeight="1" x14ac:dyDescent="0.25">
      <c r="CH361" s="98">
        <v>9943.9500000000007</v>
      </c>
    </row>
    <row r="362" spans="86:86" ht="15" customHeight="1" x14ac:dyDescent="0.25">
      <c r="CH362" s="98">
        <v>4756.49</v>
      </c>
    </row>
    <row r="363" spans="86:86" ht="15" customHeight="1" x14ac:dyDescent="0.25">
      <c r="CH363" s="98">
        <v>4373.1200000000008</v>
      </c>
    </row>
    <row r="364" spans="86:86" ht="15" customHeight="1" x14ac:dyDescent="0.25">
      <c r="CH364" s="98">
        <v>2284.2399999999998</v>
      </c>
    </row>
    <row r="365" spans="86:86" ht="15" customHeight="1" x14ac:dyDescent="0.25">
      <c r="CH365" s="98">
        <v>656</v>
      </c>
    </row>
    <row r="366" spans="86:86" ht="15" customHeight="1" x14ac:dyDescent="0.25">
      <c r="CH366" s="125">
        <f>SUBTOTAL(9,CH338:CH365)</f>
        <v>3353760.0000000005</v>
      </c>
    </row>
    <row r="367" spans="86:86" ht="15" customHeight="1" x14ac:dyDescent="0.25">
      <c r="CH367" s="113">
        <v>95</v>
      </c>
    </row>
    <row r="368" spans="86:86" ht="15" customHeight="1" x14ac:dyDescent="0.25">
      <c r="CH368" s="99">
        <f>+SUM(CH342:CH365)</f>
        <v>1343268.98</v>
      </c>
    </row>
    <row r="370" spans="84:87" ht="15" customHeight="1" x14ac:dyDescent="0.25">
      <c r="CF370" t="s">
        <v>1208</v>
      </c>
      <c r="CH370" s="99">
        <f>+CH366*CH367%</f>
        <v>3186072.0000000005</v>
      </c>
      <c r="CI370" s="126">
        <f>+CH370/CH366</f>
        <v>0.95</v>
      </c>
    </row>
    <row r="371" spans="84:87" ht="15" customHeight="1" x14ac:dyDescent="0.25">
      <c r="CF371" t="s">
        <v>1209</v>
      </c>
      <c r="CH371" s="117">
        <v>1343268.98</v>
      </c>
      <c r="CI371" s="126">
        <f>+CH371/CH366</f>
        <v>0.40052626902342442</v>
      </c>
    </row>
    <row r="372" spans="84:87" ht="15" customHeight="1" x14ac:dyDescent="0.25">
      <c r="CI372" s="126"/>
    </row>
  </sheetData>
  <autoFilter ref="A5:DD329" xr:uid="{00000000-0001-0000-0300-000000000000}">
    <filterColumn colId="0">
      <filters>
        <filter val="DPEI / Jefatura de TICS"/>
      </filters>
    </filterColumn>
  </autoFilter>
  <dataConsolidate/>
  <mergeCells count="21">
    <mergeCell ref="CX4:CX5"/>
    <mergeCell ref="DB4:DB5"/>
    <mergeCell ref="DC4:DC5"/>
    <mergeCell ref="DD4:DD5"/>
    <mergeCell ref="CW4:CW5"/>
    <mergeCell ref="CY4:CY5"/>
    <mergeCell ref="CZ4:CZ5"/>
    <mergeCell ref="BY4:CH4"/>
    <mergeCell ref="CI4:CV4"/>
    <mergeCell ref="BM4:BX4"/>
    <mergeCell ref="K4:P4"/>
    <mergeCell ref="Q4:T4"/>
    <mergeCell ref="B1:BX1"/>
    <mergeCell ref="B4:D4"/>
    <mergeCell ref="U4:AF4"/>
    <mergeCell ref="F4:I4"/>
    <mergeCell ref="AM4:AO4"/>
    <mergeCell ref="AG4:AL4"/>
    <mergeCell ref="AP4:AR4"/>
    <mergeCell ref="AS4:BD4"/>
    <mergeCell ref="BJ4:BL4"/>
  </mergeCells>
  <phoneticPr fontId="30" type="noConversion"/>
  <conditionalFormatting sqref="BF337 BF234">
    <cfRule type="duplicateValues" dxfId="0" priority="1"/>
  </conditionalFormatting>
  <dataValidations disablePrompts="1" count="4">
    <dataValidation type="list" allowBlank="1" showInputMessage="1" showErrorMessage="1" sqref="K318:K319 K323:K324 K316 K224:K227 K29 K26:K27 K273:K312" xr:uid="{00000000-0002-0000-0300-000000000000}">
      <formula1>"Plurianual Preexistente, Plurianual Nuevo, Anual Nuevo, Inversión Sectorial, Arrastre"</formula1>
    </dataValidation>
    <dataValidation showDropDown="1" showInputMessage="1" showErrorMessage="1" sqref="F6:F326" xr:uid="{00000000-0002-0000-0300-000001000000}"/>
    <dataValidation type="list" allowBlank="1" showInputMessage="1" showErrorMessage="1" sqref="AH6:AH326" xr:uid="{00000000-0002-0000-0300-000002000000}">
      <formula1>"Arrastre,Plurianual,Nuevo"</formula1>
    </dataValidation>
    <dataValidation type="list" allowBlank="1" showInputMessage="1" showErrorMessage="1" sqref="AI6:AI326" xr:uid="{00000000-0002-0000-0300-000003000000}">
      <formula1>"SI,NO"</formula1>
    </dataValidation>
  </dataValidation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G318:G319 G323:G324 G316 G224:G227 G29 G26:G27 G273:G312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N318:N319 N323:N324 N316 N224:N227 N29 N26:N27 N273:N312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T6:T326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C050-B4BC-47BD-B225-53D92F893777}">
  <dimension ref="A1:A51"/>
  <sheetViews>
    <sheetView topLeftCell="A34" workbookViewId="0">
      <selection sqref="A1:A51"/>
    </sheetView>
  </sheetViews>
  <sheetFormatPr baseColWidth="10" defaultColWidth="10.7109375" defaultRowHeight="15" x14ac:dyDescent="0.25"/>
  <cols>
    <col min="1" max="1" width="48.28515625" bestFit="1" customWidth="1"/>
  </cols>
  <sheetData>
    <row r="1" spans="1:1" x14ac:dyDescent="0.25">
      <c r="A1" s="77" t="s">
        <v>701</v>
      </c>
    </row>
    <row r="2" spans="1:1" x14ac:dyDescent="0.25">
      <c r="A2" s="74" t="s">
        <v>695</v>
      </c>
    </row>
    <row r="3" spans="1:1" x14ac:dyDescent="0.25">
      <c r="A3" s="127" t="s">
        <v>695</v>
      </c>
    </row>
    <row r="4" spans="1:1" x14ac:dyDescent="0.25">
      <c r="A4" s="74" t="s">
        <v>692</v>
      </c>
    </row>
    <row r="5" spans="1:1" x14ac:dyDescent="0.25">
      <c r="A5" s="74" t="s">
        <v>693</v>
      </c>
    </row>
    <row r="6" spans="1:1" x14ac:dyDescent="0.25">
      <c r="A6" s="74" t="s">
        <v>697</v>
      </c>
    </row>
    <row r="7" spans="1:1" x14ac:dyDescent="0.25">
      <c r="A7" s="74" t="s">
        <v>697</v>
      </c>
    </row>
    <row r="8" spans="1:1" x14ac:dyDescent="0.25">
      <c r="A8" s="74" t="s">
        <v>692</v>
      </c>
    </row>
    <row r="9" spans="1:1" x14ac:dyDescent="0.25">
      <c r="A9" s="74" t="s">
        <v>692</v>
      </c>
    </row>
    <row r="10" spans="1:1" x14ac:dyDescent="0.25">
      <c r="A10" s="74" t="s">
        <v>695</v>
      </c>
    </row>
    <row r="11" spans="1:1" x14ac:dyDescent="0.25">
      <c r="A11" s="74" t="s">
        <v>693</v>
      </c>
    </row>
    <row r="12" spans="1:1" x14ac:dyDescent="0.25">
      <c r="A12" s="74" t="s">
        <v>693</v>
      </c>
    </row>
    <row r="13" spans="1:1" x14ac:dyDescent="0.25">
      <c r="A13" s="74" t="s">
        <v>693</v>
      </c>
    </row>
    <row r="14" spans="1:1" x14ac:dyDescent="0.25">
      <c r="A14" s="74" t="s">
        <v>693</v>
      </c>
    </row>
    <row r="15" spans="1:1" x14ac:dyDescent="0.25">
      <c r="A15" s="127" t="s">
        <v>693</v>
      </c>
    </row>
    <row r="16" spans="1:1" x14ac:dyDescent="0.25">
      <c r="A16" s="127" t="s">
        <v>693</v>
      </c>
    </row>
    <row r="17" spans="1:1" x14ac:dyDescent="0.25">
      <c r="A17" s="74" t="s">
        <v>693</v>
      </c>
    </row>
    <row r="18" spans="1:1" x14ac:dyDescent="0.25">
      <c r="A18" s="74" t="s">
        <v>693</v>
      </c>
    </row>
    <row r="19" spans="1:1" x14ac:dyDescent="0.25">
      <c r="A19" s="74" t="s">
        <v>693</v>
      </c>
    </row>
    <row r="20" spans="1:1" x14ac:dyDescent="0.25">
      <c r="A20" s="127" t="s">
        <v>695</v>
      </c>
    </row>
    <row r="21" spans="1:1" x14ac:dyDescent="0.25">
      <c r="A21" s="74" t="s">
        <v>695</v>
      </c>
    </row>
    <row r="22" spans="1:1" x14ac:dyDescent="0.25">
      <c r="A22" s="74" t="s">
        <v>692</v>
      </c>
    </row>
    <row r="23" spans="1:1" x14ac:dyDescent="0.25">
      <c r="A23" s="74" t="s">
        <v>695</v>
      </c>
    </row>
    <row r="24" spans="1:1" x14ac:dyDescent="0.25">
      <c r="A24" s="74" t="s">
        <v>693</v>
      </c>
    </row>
    <row r="25" spans="1:1" x14ac:dyDescent="0.25">
      <c r="A25" s="74" t="s">
        <v>695</v>
      </c>
    </row>
    <row r="26" spans="1:1" x14ac:dyDescent="0.25">
      <c r="A26" s="74" t="s">
        <v>693</v>
      </c>
    </row>
    <row r="27" spans="1:1" x14ac:dyDescent="0.25">
      <c r="A27" s="127" t="s">
        <v>693</v>
      </c>
    </row>
    <row r="28" spans="1:1" x14ac:dyDescent="0.25">
      <c r="A28" s="127" t="s">
        <v>695</v>
      </c>
    </row>
    <row r="29" spans="1:1" x14ac:dyDescent="0.25">
      <c r="A29" s="74" t="s">
        <v>695</v>
      </c>
    </row>
    <row r="30" spans="1:1" x14ac:dyDescent="0.25">
      <c r="A30" s="74" t="s">
        <v>693</v>
      </c>
    </row>
    <row r="31" spans="1:1" x14ac:dyDescent="0.25">
      <c r="A31" s="74" t="s">
        <v>695</v>
      </c>
    </row>
    <row r="32" spans="1:1" x14ac:dyDescent="0.25">
      <c r="A32" s="74" t="s">
        <v>693</v>
      </c>
    </row>
    <row r="33" spans="1:1" x14ac:dyDescent="0.25">
      <c r="A33" s="74" t="s">
        <v>695</v>
      </c>
    </row>
    <row r="34" spans="1:1" x14ac:dyDescent="0.25">
      <c r="A34" s="74" t="s">
        <v>692</v>
      </c>
    </row>
    <row r="35" spans="1:1" x14ac:dyDescent="0.25">
      <c r="A35" s="74" t="s">
        <v>692</v>
      </c>
    </row>
    <row r="36" spans="1:1" x14ac:dyDescent="0.25">
      <c r="A36" s="74" t="s">
        <v>697</v>
      </c>
    </row>
    <row r="37" spans="1:1" x14ac:dyDescent="0.25">
      <c r="A37" s="74" t="s">
        <v>697</v>
      </c>
    </row>
    <row r="38" spans="1:1" x14ac:dyDescent="0.25">
      <c r="A38" s="74" t="s">
        <v>697</v>
      </c>
    </row>
    <row r="39" spans="1:1" x14ac:dyDescent="0.25">
      <c r="A39" s="74" t="s">
        <v>697</v>
      </c>
    </row>
    <row r="40" spans="1:1" x14ac:dyDescent="0.25">
      <c r="A40" s="74" t="s">
        <v>697</v>
      </c>
    </row>
    <row r="41" spans="1:1" x14ac:dyDescent="0.25">
      <c r="A41" s="74" t="s">
        <v>697</v>
      </c>
    </row>
    <row r="42" spans="1:1" x14ac:dyDescent="0.25">
      <c r="A42" s="74" t="s">
        <v>695</v>
      </c>
    </row>
    <row r="43" spans="1:1" x14ac:dyDescent="0.25">
      <c r="A43" s="74" t="s">
        <v>695</v>
      </c>
    </row>
    <row r="44" spans="1:1" x14ac:dyDescent="0.25">
      <c r="A44" s="74" t="s">
        <v>692</v>
      </c>
    </row>
    <row r="45" spans="1:1" x14ac:dyDescent="0.25">
      <c r="A45" s="74" t="s">
        <v>697</v>
      </c>
    </row>
    <row r="46" spans="1:1" x14ac:dyDescent="0.25">
      <c r="A46" s="74" t="s">
        <v>695</v>
      </c>
    </row>
    <row r="47" spans="1:1" x14ac:dyDescent="0.25">
      <c r="A47" s="74" t="s">
        <v>693</v>
      </c>
    </row>
    <row r="48" spans="1:1" x14ac:dyDescent="0.25">
      <c r="A48" s="74" t="s">
        <v>693</v>
      </c>
    </row>
    <row r="49" spans="1:1" x14ac:dyDescent="0.25">
      <c r="A49" s="74" t="s">
        <v>692</v>
      </c>
    </row>
    <row r="50" spans="1:1" x14ac:dyDescent="0.25">
      <c r="A50" s="74" t="s">
        <v>692</v>
      </c>
    </row>
    <row r="51" spans="1:1" x14ac:dyDescent="0.25">
      <c r="A51" s="74" t="s">
        <v>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1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42578125" style="3" customWidth="1"/>
    <col min="13" max="13" width="15.570312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425781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5703125" style="1" customWidth="1"/>
    <col min="35" max="35" width="2.85546875" style="1" customWidth="1"/>
    <col min="36" max="16384" width="11.42578125" style="1"/>
  </cols>
  <sheetData>
    <row r="1" spans="2:35" ht="26.45" customHeight="1" thickBot="1" x14ac:dyDescent="0.35">
      <c r="B1" s="207" t="s">
        <v>498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</row>
    <row r="2" spans="2:35" s="10" customFormat="1" ht="19.899999999999999" customHeight="1" thickBot="1" x14ac:dyDescent="0.3">
      <c r="B2" s="208" t="s">
        <v>120</v>
      </c>
      <c r="C2" s="211" t="s">
        <v>91</v>
      </c>
      <c r="D2" s="212"/>
      <c r="E2" s="213"/>
      <c r="F2" s="214" t="s">
        <v>111</v>
      </c>
      <c r="G2" s="217" t="s">
        <v>92</v>
      </c>
      <c r="H2" s="218"/>
      <c r="I2" s="218"/>
      <c r="J2" s="218"/>
      <c r="K2" s="219"/>
      <c r="L2" s="220" t="s">
        <v>85</v>
      </c>
      <c r="M2" s="220"/>
      <c r="N2" s="221"/>
      <c r="O2" s="221"/>
      <c r="P2" s="221"/>
      <c r="Q2" s="221"/>
      <c r="R2" s="222"/>
      <c r="S2" s="223" t="s">
        <v>96</v>
      </c>
      <c r="T2" s="224"/>
      <c r="U2" s="225"/>
      <c r="V2" s="226" t="s">
        <v>80</v>
      </c>
      <c r="W2" s="227"/>
      <c r="X2" s="227"/>
      <c r="Y2" s="227"/>
      <c r="Z2" s="227"/>
      <c r="AA2" s="228"/>
      <c r="AB2" s="223" t="s">
        <v>17</v>
      </c>
      <c r="AC2" s="229"/>
      <c r="AD2" s="229"/>
      <c r="AE2" s="229"/>
      <c r="AF2" s="229"/>
      <c r="AG2" s="229"/>
      <c r="AH2" s="229"/>
      <c r="AI2" s="225"/>
    </row>
    <row r="3" spans="2:35" s="11" customFormat="1" ht="20.45" customHeight="1" x14ac:dyDescent="0.2">
      <c r="B3" s="209"/>
      <c r="C3" s="230" t="s">
        <v>89</v>
      </c>
      <c r="D3" s="232" t="s">
        <v>121</v>
      </c>
      <c r="E3" s="234" t="s">
        <v>90</v>
      </c>
      <c r="F3" s="215"/>
      <c r="G3" s="236" t="s">
        <v>31</v>
      </c>
      <c r="H3" s="205" t="s">
        <v>21</v>
      </c>
      <c r="I3" s="205" t="s">
        <v>23</v>
      </c>
      <c r="J3" s="205" t="s">
        <v>24</v>
      </c>
      <c r="K3" s="240" t="s">
        <v>25</v>
      </c>
      <c r="L3" s="242" t="s">
        <v>105</v>
      </c>
      <c r="M3" s="244" t="s">
        <v>116</v>
      </c>
      <c r="N3" s="244" t="s">
        <v>57</v>
      </c>
      <c r="O3" s="244" t="s">
        <v>56</v>
      </c>
      <c r="P3" s="246" t="s">
        <v>58</v>
      </c>
      <c r="Q3" s="247"/>
      <c r="R3" s="247"/>
      <c r="S3" s="248" t="s">
        <v>55</v>
      </c>
      <c r="T3" s="250" t="s">
        <v>54</v>
      </c>
      <c r="U3" s="250" t="s">
        <v>128</v>
      </c>
      <c r="V3" s="238" t="s">
        <v>104</v>
      </c>
      <c r="W3" s="252" t="s">
        <v>102</v>
      </c>
      <c r="X3" s="238" t="s">
        <v>103</v>
      </c>
      <c r="Y3" s="268" t="s">
        <v>95</v>
      </c>
      <c r="Z3" s="268"/>
      <c r="AA3" s="269"/>
      <c r="AB3" s="270" t="s">
        <v>50</v>
      </c>
      <c r="AC3" s="272" t="s">
        <v>93</v>
      </c>
      <c r="AD3" s="273"/>
      <c r="AE3" s="273"/>
      <c r="AF3" s="274" t="s">
        <v>52</v>
      </c>
      <c r="AG3" s="276" t="s">
        <v>53</v>
      </c>
      <c r="AH3" s="276"/>
      <c r="AI3" s="277"/>
    </row>
    <row r="4" spans="2:35" s="11" customFormat="1" ht="40.15" customHeight="1" thickBot="1" x14ac:dyDescent="0.25">
      <c r="B4" s="210"/>
      <c r="C4" s="231"/>
      <c r="D4" s="233"/>
      <c r="E4" s="235"/>
      <c r="F4" s="216"/>
      <c r="G4" s="237"/>
      <c r="H4" s="206"/>
      <c r="I4" s="206"/>
      <c r="J4" s="206"/>
      <c r="K4" s="241"/>
      <c r="L4" s="243"/>
      <c r="M4" s="245"/>
      <c r="N4" s="245"/>
      <c r="O4" s="245"/>
      <c r="P4" s="16" t="s">
        <v>35</v>
      </c>
      <c r="Q4" s="17" t="s">
        <v>33</v>
      </c>
      <c r="R4" s="17" t="s">
        <v>34</v>
      </c>
      <c r="S4" s="249"/>
      <c r="T4" s="251"/>
      <c r="U4" s="251"/>
      <c r="V4" s="239"/>
      <c r="W4" s="253"/>
      <c r="X4" s="239"/>
      <c r="Y4" s="18" t="s">
        <v>35</v>
      </c>
      <c r="Z4" s="18" t="s">
        <v>36</v>
      </c>
      <c r="AA4" s="19" t="s">
        <v>34</v>
      </c>
      <c r="AB4" s="271"/>
      <c r="AC4" s="57" t="s">
        <v>94</v>
      </c>
      <c r="AD4" s="57" t="s">
        <v>51</v>
      </c>
      <c r="AE4" s="57" t="s">
        <v>74</v>
      </c>
      <c r="AF4" s="275"/>
      <c r="AG4" s="47" t="s">
        <v>35</v>
      </c>
      <c r="AH4" s="47" t="s">
        <v>36</v>
      </c>
      <c r="AI4" s="48" t="s">
        <v>34</v>
      </c>
    </row>
    <row r="5" spans="2:35" s="10" customFormat="1" ht="81" customHeight="1" x14ac:dyDescent="0.25">
      <c r="B5" s="254" t="s">
        <v>493</v>
      </c>
      <c r="C5" s="256" t="s">
        <v>108</v>
      </c>
      <c r="D5" s="258" t="s">
        <v>32</v>
      </c>
      <c r="E5" s="260" t="s">
        <v>66</v>
      </c>
      <c r="F5" s="31" t="s">
        <v>28</v>
      </c>
      <c r="G5" s="24" t="s">
        <v>68</v>
      </c>
      <c r="H5" s="20" t="s">
        <v>68</v>
      </c>
      <c r="I5" s="20" t="s">
        <v>68</v>
      </c>
      <c r="J5" s="20" t="s">
        <v>68</v>
      </c>
      <c r="K5" s="35" t="s">
        <v>68</v>
      </c>
      <c r="L5" s="28" t="s">
        <v>494</v>
      </c>
      <c r="M5" s="28" t="s">
        <v>495</v>
      </c>
      <c r="N5" s="20" t="s">
        <v>39</v>
      </c>
      <c r="O5" s="20" t="s">
        <v>2</v>
      </c>
      <c r="P5" s="262" t="s">
        <v>64</v>
      </c>
      <c r="Q5" s="263"/>
      <c r="R5" s="263"/>
      <c r="S5" s="44" t="s">
        <v>113</v>
      </c>
      <c r="T5" s="39" t="s">
        <v>47</v>
      </c>
      <c r="U5" s="39" t="s">
        <v>47</v>
      </c>
      <c r="V5" s="281" t="s">
        <v>68</v>
      </c>
      <c r="W5" s="284" t="s">
        <v>68</v>
      </c>
      <c r="X5" s="284" t="s">
        <v>68</v>
      </c>
      <c r="Y5" s="287" t="s">
        <v>32</v>
      </c>
      <c r="Z5" s="288"/>
      <c r="AA5" s="289"/>
      <c r="AB5" s="24" t="s">
        <v>43</v>
      </c>
      <c r="AC5" s="293" t="s">
        <v>124</v>
      </c>
      <c r="AD5" s="293" t="s">
        <v>44</v>
      </c>
      <c r="AE5" s="293" t="s">
        <v>123</v>
      </c>
      <c r="AF5" s="295" t="s">
        <v>122</v>
      </c>
      <c r="AG5" s="287" t="s">
        <v>125</v>
      </c>
      <c r="AH5" s="288"/>
      <c r="AI5" s="289"/>
    </row>
    <row r="6" spans="2:35" s="10" customFormat="1" ht="72.599999999999994" customHeight="1" x14ac:dyDescent="0.25">
      <c r="B6" s="255"/>
      <c r="C6" s="257"/>
      <c r="D6" s="259"/>
      <c r="E6" s="261"/>
      <c r="F6" s="32" t="s">
        <v>29</v>
      </c>
      <c r="G6" s="25" t="s">
        <v>68</v>
      </c>
      <c r="H6" s="21" t="s">
        <v>68</v>
      </c>
      <c r="I6" s="21" t="s">
        <v>68</v>
      </c>
      <c r="J6" s="21" t="s">
        <v>68</v>
      </c>
      <c r="K6" s="36" t="s">
        <v>68</v>
      </c>
      <c r="L6" s="29" t="s">
        <v>87</v>
      </c>
      <c r="M6" s="29" t="s">
        <v>496</v>
      </c>
      <c r="N6" s="21" t="s">
        <v>40</v>
      </c>
      <c r="O6" s="21" t="s">
        <v>2</v>
      </c>
      <c r="P6" s="266" t="s">
        <v>64</v>
      </c>
      <c r="Q6" s="267"/>
      <c r="R6" s="267"/>
      <c r="S6" s="45" t="s">
        <v>113</v>
      </c>
      <c r="T6" s="40" t="s">
        <v>47</v>
      </c>
      <c r="U6" s="40" t="s">
        <v>47</v>
      </c>
      <c r="V6" s="282"/>
      <c r="W6" s="285"/>
      <c r="X6" s="285"/>
      <c r="Y6" s="290"/>
      <c r="Z6" s="291"/>
      <c r="AA6" s="292"/>
      <c r="AB6" s="25" t="s">
        <v>69</v>
      </c>
      <c r="AC6" s="294"/>
      <c r="AD6" s="294"/>
      <c r="AE6" s="294"/>
      <c r="AF6" s="296"/>
      <c r="AG6" s="290"/>
      <c r="AH6" s="291"/>
      <c r="AI6" s="292"/>
    </row>
    <row r="7" spans="2:35" s="10" customFormat="1" ht="71.45" customHeight="1" x14ac:dyDescent="0.25">
      <c r="B7" s="255"/>
      <c r="C7" s="257"/>
      <c r="D7" s="259"/>
      <c r="E7" s="261"/>
      <c r="F7" s="32" t="s">
        <v>107</v>
      </c>
      <c r="G7" s="25" t="s">
        <v>68</v>
      </c>
      <c r="H7" s="21" t="s">
        <v>68</v>
      </c>
      <c r="I7" s="21" t="s">
        <v>68</v>
      </c>
      <c r="J7" s="21" t="s">
        <v>68</v>
      </c>
      <c r="K7" s="36" t="s">
        <v>68</v>
      </c>
      <c r="L7" s="29" t="s">
        <v>86</v>
      </c>
      <c r="M7" s="29" t="s">
        <v>117</v>
      </c>
      <c r="N7" s="21" t="s">
        <v>42</v>
      </c>
      <c r="O7" s="21" t="s">
        <v>2</v>
      </c>
      <c r="P7" s="266" t="s">
        <v>64</v>
      </c>
      <c r="Q7" s="267"/>
      <c r="R7" s="267"/>
      <c r="S7" s="45" t="s">
        <v>113</v>
      </c>
      <c r="T7" s="40" t="s">
        <v>47</v>
      </c>
      <c r="U7" s="40" t="s">
        <v>47</v>
      </c>
      <c r="V7" s="282"/>
      <c r="W7" s="285"/>
      <c r="X7" s="285"/>
      <c r="Y7" s="290"/>
      <c r="Z7" s="291"/>
      <c r="AA7" s="292"/>
      <c r="AB7" s="25" t="s">
        <v>73</v>
      </c>
      <c r="AC7" s="294"/>
      <c r="AD7" s="294"/>
      <c r="AE7" s="294"/>
      <c r="AF7" s="296"/>
      <c r="AG7" s="297"/>
      <c r="AH7" s="298"/>
      <c r="AI7" s="299"/>
    </row>
    <row r="8" spans="2:35" s="11" customFormat="1" ht="80.45" customHeight="1" thickBot="1" x14ac:dyDescent="0.25">
      <c r="B8" s="255"/>
      <c r="C8" s="257"/>
      <c r="D8" s="259"/>
      <c r="E8" s="261"/>
      <c r="F8" s="33" t="s">
        <v>30</v>
      </c>
      <c r="G8" s="37" t="s">
        <v>68</v>
      </c>
      <c r="H8" s="22" t="s">
        <v>68</v>
      </c>
      <c r="I8" s="22" t="s">
        <v>68</v>
      </c>
      <c r="J8" s="22" t="s">
        <v>68</v>
      </c>
      <c r="K8" s="38" t="s">
        <v>68</v>
      </c>
      <c r="L8" s="30" t="s">
        <v>88</v>
      </c>
      <c r="M8" s="30" t="s">
        <v>126</v>
      </c>
      <c r="N8" s="22" t="s">
        <v>84</v>
      </c>
      <c r="O8" s="22" t="s">
        <v>118</v>
      </c>
      <c r="P8" s="264" t="s">
        <v>64</v>
      </c>
      <c r="Q8" s="265"/>
      <c r="R8" s="265"/>
      <c r="S8" s="46" t="s">
        <v>113</v>
      </c>
      <c r="T8" s="41" t="s">
        <v>47</v>
      </c>
      <c r="U8" s="41" t="s">
        <v>47</v>
      </c>
      <c r="V8" s="283"/>
      <c r="W8" s="286"/>
      <c r="X8" s="286"/>
      <c r="Y8" s="290"/>
      <c r="Z8" s="291"/>
      <c r="AA8" s="292"/>
      <c r="AB8" s="278" t="s">
        <v>97</v>
      </c>
      <c r="AC8" s="279"/>
      <c r="AD8" s="279"/>
      <c r="AE8" s="279"/>
      <c r="AF8" s="279"/>
      <c r="AG8" s="279"/>
      <c r="AH8" s="279"/>
      <c r="AI8" s="280"/>
    </row>
    <row r="9" spans="2:35" s="11" customFormat="1" ht="106.9" customHeight="1" x14ac:dyDescent="0.2">
      <c r="B9" s="306" t="s">
        <v>41</v>
      </c>
      <c r="C9" s="309" t="s">
        <v>109</v>
      </c>
      <c r="D9" s="312" t="s">
        <v>127</v>
      </c>
      <c r="E9" s="315" t="s">
        <v>61</v>
      </c>
      <c r="F9" s="318" t="s">
        <v>67</v>
      </c>
      <c r="G9" s="321" t="s">
        <v>130</v>
      </c>
      <c r="H9" s="339" t="s">
        <v>131</v>
      </c>
      <c r="I9" s="312" t="s">
        <v>59</v>
      </c>
      <c r="J9" s="342" t="s">
        <v>60</v>
      </c>
      <c r="K9" s="52" t="s">
        <v>63</v>
      </c>
      <c r="L9" s="62" t="s">
        <v>88</v>
      </c>
      <c r="M9" s="60" t="s">
        <v>49</v>
      </c>
      <c r="N9" s="60" t="s">
        <v>119</v>
      </c>
      <c r="O9" s="60" t="s">
        <v>118</v>
      </c>
      <c r="P9" s="342" t="s">
        <v>48</v>
      </c>
      <c r="Q9" s="342"/>
      <c r="R9" s="343"/>
      <c r="S9" s="34" t="s">
        <v>112</v>
      </c>
      <c r="T9" s="65" t="s">
        <v>72</v>
      </c>
      <c r="U9" s="65" t="s">
        <v>129</v>
      </c>
      <c r="V9" s="49" t="s">
        <v>99</v>
      </c>
      <c r="W9" s="50" t="s">
        <v>100</v>
      </c>
      <c r="X9" s="51" t="s">
        <v>110</v>
      </c>
      <c r="Y9" s="344" t="s">
        <v>101</v>
      </c>
      <c r="Z9" s="345"/>
      <c r="AA9" s="346"/>
      <c r="AB9" s="62" t="s">
        <v>70</v>
      </c>
      <c r="AC9" s="61" t="s">
        <v>65</v>
      </c>
      <c r="AD9" s="61" t="s">
        <v>44</v>
      </c>
      <c r="AE9" s="61" t="s">
        <v>75</v>
      </c>
      <c r="AF9" s="23" t="s">
        <v>45</v>
      </c>
      <c r="AG9" s="347" t="s">
        <v>46</v>
      </c>
      <c r="AH9" s="347"/>
      <c r="AI9" s="348"/>
    </row>
    <row r="10" spans="2:35" s="11" customFormat="1" ht="94.9" customHeight="1" x14ac:dyDescent="0.2">
      <c r="B10" s="307"/>
      <c r="C10" s="310"/>
      <c r="D10" s="313"/>
      <c r="E10" s="316"/>
      <c r="F10" s="319"/>
      <c r="G10" s="322"/>
      <c r="H10" s="340"/>
      <c r="I10" s="313"/>
      <c r="J10" s="300"/>
      <c r="K10" s="349" t="s">
        <v>106</v>
      </c>
      <c r="L10" s="63" t="s">
        <v>494</v>
      </c>
      <c r="M10" s="58" t="s">
        <v>495</v>
      </c>
      <c r="N10" s="58" t="s">
        <v>39</v>
      </c>
      <c r="O10" s="58" t="s">
        <v>2</v>
      </c>
      <c r="P10" s="300" t="s">
        <v>48</v>
      </c>
      <c r="Q10" s="300"/>
      <c r="R10" s="301"/>
      <c r="S10" s="55" t="s">
        <v>114</v>
      </c>
      <c r="T10" s="42" t="s">
        <v>47</v>
      </c>
      <c r="U10" s="42" t="s">
        <v>98</v>
      </c>
      <c r="V10" s="302" t="s">
        <v>98</v>
      </c>
      <c r="W10" s="304" t="s">
        <v>98</v>
      </c>
      <c r="X10" s="304" t="s">
        <v>98</v>
      </c>
      <c r="Y10" s="331" t="s">
        <v>98</v>
      </c>
      <c r="Z10" s="332"/>
      <c r="AA10" s="333"/>
      <c r="AB10" s="63" t="s">
        <v>62</v>
      </c>
      <c r="AC10" s="313" t="s">
        <v>65</v>
      </c>
      <c r="AD10" s="313" t="s">
        <v>44</v>
      </c>
      <c r="AE10" s="313" t="s">
        <v>75</v>
      </c>
      <c r="AF10" s="337" t="s">
        <v>45</v>
      </c>
      <c r="AG10" s="324" t="s">
        <v>46</v>
      </c>
      <c r="AH10" s="324"/>
      <c r="AI10" s="325"/>
    </row>
    <row r="11" spans="2:35" s="11" customFormat="1" ht="90" customHeight="1" thickBot="1" x14ac:dyDescent="0.25">
      <c r="B11" s="308"/>
      <c r="C11" s="311"/>
      <c r="D11" s="314"/>
      <c r="E11" s="317"/>
      <c r="F11" s="320"/>
      <c r="G11" s="323"/>
      <c r="H11" s="341"/>
      <c r="I11" s="314"/>
      <c r="J11" s="328"/>
      <c r="K11" s="350"/>
      <c r="L11" s="64" t="s">
        <v>87</v>
      </c>
      <c r="M11" s="59" t="s">
        <v>497</v>
      </c>
      <c r="N11" s="59" t="s">
        <v>40</v>
      </c>
      <c r="O11" s="59" t="s">
        <v>2</v>
      </c>
      <c r="P11" s="328" t="s">
        <v>48</v>
      </c>
      <c r="Q11" s="328"/>
      <c r="R11" s="329"/>
      <c r="S11" s="56" t="s">
        <v>115</v>
      </c>
      <c r="T11" s="43" t="s">
        <v>47</v>
      </c>
      <c r="U11" s="43" t="s">
        <v>98</v>
      </c>
      <c r="V11" s="303"/>
      <c r="W11" s="305"/>
      <c r="X11" s="305"/>
      <c r="Y11" s="334"/>
      <c r="Z11" s="335"/>
      <c r="AA11" s="336"/>
      <c r="AB11" s="64" t="s">
        <v>71</v>
      </c>
      <c r="AC11" s="314"/>
      <c r="AD11" s="314"/>
      <c r="AE11" s="314"/>
      <c r="AF11" s="338"/>
      <c r="AG11" s="326"/>
      <c r="AH11" s="326"/>
      <c r="AI11" s="327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</row>
  </sheetData>
  <mergeCells count="76"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Y3:AA3"/>
    <mergeCell ref="AB3:AB4"/>
    <mergeCell ref="AC3:AE3"/>
    <mergeCell ref="AF3:AF4"/>
    <mergeCell ref="AG3:AI3"/>
    <mergeCell ref="B5:B8"/>
    <mergeCell ref="C5:C8"/>
    <mergeCell ref="D5:D8"/>
    <mergeCell ref="E5:E8"/>
    <mergeCell ref="P5:R5"/>
    <mergeCell ref="P8:R8"/>
    <mergeCell ref="P6:R6"/>
    <mergeCell ref="P7:R7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0.7109375" defaultRowHeight="15" x14ac:dyDescent="0.25"/>
  <cols>
    <col min="1" max="1" width="97.5703125" style="1" customWidth="1"/>
  </cols>
  <sheetData>
    <row r="1" spans="1:1" x14ac:dyDescent="0.25">
      <c r="A1" s="2" t="s">
        <v>515</v>
      </c>
    </row>
    <row r="2" spans="1:1" ht="30" x14ac:dyDescent="0.25">
      <c r="A2" s="1" t="s">
        <v>235</v>
      </c>
    </row>
    <row r="3" spans="1:1" ht="45" x14ac:dyDescent="0.25">
      <c r="A3" s="1" t="s">
        <v>236</v>
      </c>
    </row>
    <row r="4" spans="1:1" x14ac:dyDescent="0.25">
      <c r="A4" s="1" t="s">
        <v>237</v>
      </c>
    </row>
    <row r="5" spans="1:1" ht="30" x14ac:dyDescent="0.25">
      <c r="A5" s="1" t="s">
        <v>238</v>
      </c>
    </row>
    <row r="6" spans="1:1" ht="45" x14ac:dyDescent="0.25">
      <c r="A6" s="1" t="s">
        <v>239</v>
      </c>
    </row>
    <row r="7" spans="1:1" ht="30" x14ac:dyDescent="0.25">
      <c r="A7" s="1" t="s">
        <v>240</v>
      </c>
    </row>
    <row r="8" spans="1:1" ht="30" x14ac:dyDescent="0.25">
      <c r="A8" s="1" t="s">
        <v>241</v>
      </c>
    </row>
    <row r="9" spans="1:1" x14ac:dyDescent="0.25">
      <c r="A9" s="1" t="s">
        <v>323</v>
      </c>
    </row>
    <row r="10" spans="1:1" ht="30" x14ac:dyDescent="0.25">
      <c r="A10" s="1" t="s">
        <v>242</v>
      </c>
    </row>
    <row r="11" spans="1:1" ht="30" x14ac:dyDescent="0.25">
      <c r="A11" s="1" t="s">
        <v>243</v>
      </c>
    </row>
  </sheetData>
  <pageMargins left="0.7" right="0.7" top="0.75" bottom="0.75" header="0.3" footer="0.3"/>
  <pageSetup paperSize="9" orientation="portrait" verticalDpi="597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0.710937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381" t="s">
        <v>20</v>
      </c>
      <c r="B1" s="382"/>
      <c r="C1" s="383"/>
      <c r="D1" s="384" t="s">
        <v>3</v>
      </c>
      <c r="E1" s="364" t="s">
        <v>134</v>
      </c>
      <c r="F1" s="364" t="s">
        <v>135</v>
      </c>
      <c r="G1" s="364" t="s">
        <v>136</v>
      </c>
      <c r="H1" s="364" t="s">
        <v>90</v>
      </c>
      <c r="I1" s="364" t="s">
        <v>111</v>
      </c>
      <c r="J1" s="367" t="s">
        <v>27</v>
      </c>
      <c r="K1" s="368"/>
      <c r="L1" s="368"/>
      <c r="M1" s="368"/>
      <c r="N1" s="368"/>
      <c r="O1" s="369"/>
      <c r="P1" s="373" t="s">
        <v>6</v>
      </c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4" t="s">
        <v>0</v>
      </c>
      <c r="AG1" s="374"/>
      <c r="AH1" s="374"/>
      <c r="AI1" s="374"/>
      <c r="AJ1" s="374"/>
      <c r="AK1" s="351" t="s">
        <v>80</v>
      </c>
      <c r="AL1" s="351"/>
      <c r="AM1" s="351"/>
      <c r="AN1" s="351"/>
      <c r="AO1" s="351"/>
      <c r="AP1" s="351"/>
      <c r="AQ1" s="351"/>
      <c r="AR1" s="351"/>
      <c r="AS1" s="351"/>
      <c r="AT1" s="351"/>
      <c r="AU1" s="351"/>
      <c r="AV1" s="351"/>
      <c r="AW1" s="351"/>
      <c r="AX1" s="351"/>
      <c r="AY1" s="351"/>
      <c r="AZ1" s="351"/>
      <c r="BA1" s="351"/>
      <c r="BB1" s="352" t="s">
        <v>17</v>
      </c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3"/>
    </row>
    <row r="2" spans="1:70" s="1" customFormat="1" ht="26.25" customHeight="1" x14ac:dyDescent="0.25">
      <c r="A2" s="380" t="s">
        <v>10</v>
      </c>
      <c r="B2" s="380" t="s">
        <v>132</v>
      </c>
      <c r="C2" s="380" t="s">
        <v>133</v>
      </c>
      <c r="D2" s="384"/>
      <c r="E2" s="365"/>
      <c r="F2" s="365"/>
      <c r="G2" s="365"/>
      <c r="H2" s="365"/>
      <c r="I2" s="365"/>
      <c r="J2" s="370"/>
      <c r="K2" s="371"/>
      <c r="L2" s="371"/>
      <c r="M2" s="371"/>
      <c r="N2" s="371"/>
      <c r="O2" s="372"/>
      <c r="P2" s="354" t="s">
        <v>105</v>
      </c>
      <c r="Q2" s="354" t="s">
        <v>116</v>
      </c>
      <c r="R2" s="354" t="s">
        <v>57</v>
      </c>
      <c r="S2" s="354" t="s">
        <v>11</v>
      </c>
      <c r="T2" s="375" t="s">
        <v>16</v>
      </c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7" t="s">
        <v>0</v>
      </c>
      <c r="AG2" s="377" t="s">
        <v>76</v>
      </c>
      <c r="AH2" s="377" t="s">
        <v>78</v>
      </c>
      <c r="AI2" s="378" t="s">
        <v>13</v>
      </c>
      <c r="AJ2" s="378" t="s">
        <v>12</v>
      </c>
      <c r="AK2" s="360" t="s">
        <v>83</v>
      </c>
      <c r="AL2" s="360" t="s">
        <v>478</v>
      </c>
      <c r="AM2" s="360" t="s">
        <v>77</v>
      </c>
      <c r="AN2" s="360" t="s">
        <v>81</v>
      </c>
      <c r="AO2" s="360" t="s">
        <v>82</v>
      </c>
      <c r="AP2" s="361" t="s">
        <v>79</v>
      </c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3"/>
      <c r="BB2" s="359" t="s">
        <v>14</v>
      </c>
      <c r="BC2" s="357" t="s">
        <v>18</v>
      </c>
      <c r="BD2" s="358"/>
      <c r="BE2" s="358"/>
      <c r="BF2" s="359" t="s">
        <v>19</v>
      </c>
      <c r="BG2" s="359" t="s">
        <v>4</v>
      </c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</row>
    <row r="3" spans="1:70" s="1" customFormat="1" ht="33" x14ac:dyDescent="0.25">
      <c r="A3" s="380"/>
      <c r="B3" s="380"/>
      <c r="C3" s="380"/>
      <c r="D3" s="384"/>
      <c r="E3" s="366"/>
      <c r="F3" s="366"/>
      <c r="G3" s="366"/>
      <c r="H3" s="366"/>
      <c r="I3" s="366"/>
      <c r="J3" s="54" t="s">
        <v>26</v>
      </c>
      <c r="K3" s="54" t="s">
        <v>31</v>
      </c>
      <c r="L3" s="54" t="s">
        <v>22</v>
      </c>
      <c r="M3" s="54" t="s">
        <v>23</v>
      </c>
      <c r="N3" s="54" t="s">
        <v>24</v>
      </c>
      <c r="O3" s="54" t="s">
        <v>25</v>
      </c>
      <c r="P3" s="355"/>
      <c r="Q3" s="355"/>
      <c r="R3" s="355"/>
      <c r="S3" s="356"/>
      <c r="T3" s="6" t="s">
        <v>138</v>
      </c>
      <c r="U3" s="7" t="s">
        <v>139</v>
      </c>
      <c r="V3" s="7" t="s">
        <v>140</v>
      </c>
      <c r="W3" s="7" t="s">
        <v>141</v>
      </c>
      <c r="X3" s="7" t="s">
        <v>142</v>
      </c>
      <c r="Y3" s="7" t="s">
        <v>143</v>
      </c>
      <c r="Z3" s="7" t="s">
        <v>144</v>
      </c>
      <c r="AA3" s="7" t="s">
        <v>145</v>
      </c>
      <c r="AB3" s="7" t="s">
        <v>146</v>
      </c>
      <c r="AC3" s="7" t="s">
        <v>147</v>
      </c>
      <c r="AD3" s="7" t="s">
        <v>148</v>
      </c>
      <c r="AE3" s="7" t="s">
        <v>149</v>
      </c>
      <c r="AF3" s="377"/>
      <c r="AG3" s="377"/>
      <c r="AH3" s="377"/>
      <c r="AI3" s="379"/>
      <c r="AJ3" s="379"/>
      <c r="AK3" s="239"/>
      <c r="AL3" s="239"/>
      <c r="AM3" s="239"/>
      <c r="AN3" s="239"/>
      <c r="AO3" s="239"/>
      <c r="AP3" s="12" t="s">
        <v>138</v>
      </c>
      <c r="AQ3" s="12" t="s">
        <v>139</v>
      </c>
      <c r="AR3" s="12" t="s">
        <v>140</v>
      </c>
      <c r="AS3" s="12" t="s">
        <v>141</v>
      </c>
      <c r="AT3" s="12" t="s">
        <v>142</v>
      </c>
      <c r="AU3" s="12" t="s">
        <v>143</v>
      </c>
      <c r="AV3" s="12" t="s">
        <v>144</v>
      </c>
      <c r="AW3" s="12" t="s">
        <v>145</v>
      </c>
      <c r="AX3" s="12" t="s">
        <v>146</v>
      </c>
      <c r="AY3" s="12" t="s">
        <v>147</v>
      </c>
      <c r="AZ3" s="12" t="s">
        <v>148</v>
      </c>
      <c r="BA3" s="12" t="s">
        <v>149</v>
      </c>
      <c r="BB3" s="359"/>
      <c r="BC3" s="53" t="s">
        <v>37</v>
      </c>
      <c r="BD3" s="8" t="s">
        <v>15</v>
      </c>
      <c r="BE3" s="53" t="s">
        <v>38</v>
      </c>
      <c r="BF3" s="359"/>
      <c r="BG3" s="5" t="s">
        <v>138</v>
      </c>
      <c r="BH3" s="5" t="s">
        <v>139</v>
      </c>
      <c r="BI3" s="5" t="s">
        <v>140</v>
      </c>
      <c r="BJ3" s="5" t="s">
        <v>141</v>
      </c>
      <c r="BK3" s="5" t="s">
        <v>142</v>
      </c>
      <c r="BL3" s="5" t="s">
        <v>143</v>
      </c>
      <c r="BM3" s="5" t="s">
        <v>144</v>
      </c>
      <c r="BN3" s="5" t="s">
        <v>145</v>
      </c>
      <c r="BO3" s="5" t="s">
        <v>146</v>
      </c>
      <c r="BP3" s="5" t="s">
        <v>147</v>
      </c>
      <c r="BQ3" s="5" t="s">
        <v>148</v>
      </c>
      <c r="BR3" s="5" t="s">
        <v>149</v>
      </c>
    </row>
    <row r="4" spans="1:70" x14ac:dyDescent="0.25">
      <c r="A4" t="s">
        <v>163</v>
      </c>
      <c r="B4" t="s">
        <v>163</v>
      </c>
      <c r="C4" t="s">
        <v>163</v>
      </c>
      <c r="D4" t="s">
        <v>309</v>
      </c>
      <c r="E4" t="s">
        <v>235</v>
      </c>
      <c r="F4" t="s">
        <v>275</v>
      </c>
      <c r="H4" t="s">
        <v>295</v>
      </c>
      <c r="J4" t="s">
        <v>330</v>
      </c>
      <c r="K4" t="s">
        <v>324</v>
      </c>
      <c r="L4" t="s">
        <v>7</v>
      </c>
      <c r="P4" t="s">
        <v>310</v>
      </c>
      <c r="Q4" t="s">
        <v>311</v>
      </c>
      <c r="R4" t="s">
        <v>312</v>
      </c>
      <c r="S4" t="s">
        <v>2</v>
      </c>
      <c r="AG4" t="s">
        <v>322</v>
      </c>
      <c r="AL4" t="s">
        <v>480</v>
      </c>
      <c r="AM4" t="s">
        <v>487</v>
      </c>
      <c r="BD4" t="s">
        <v>322</v>
      </c>
    </row>
    <row r="5" spans="1:70" x14ac:dyDescent="0.25">
      <c r="A5" t="s">
        <v>502</v>
      </c>
      <c r="B5" t="s">
        <v>502</v>
      </c>
      <c r="C5" t="s">
        <v>177</v>
      </c>
      <c r="D5" t="s">
        <v>5</v>
      </c>
      <c r="E5" t="s">
        <v>236</v>
      </c>
      <c r="F5" t="s">
        <v>288</v>
      </c>
      <c r="H5" t="s">
        <v>305</v>
      </c>
      <c r="J5" t="s">
        <v>331</v>
      </c>
      <c r="K5" t="s">
        <v>325</v>
      </c>
      <c r="L5" t="s">
        <v>8</v>
      </c>
      <c r="P5" t="s">
        <v>313</v>
      </c>
      <c r="Q5" t="s">
        <v>314</v>
      </c>
      <c r="R5" t="s">
        <v>315</v>
      </c>
      <c r="S5" t="s">
        <v>320</v>
      </c>
      <c r="AG5" t="s">
        <v>321</v>
      </c>
      <c r="AL5" t="s">
        <v>481</v>
      </c>
      <c r="AM5" t="s">
        <v>488</v>
      </c>
      <c r="BD5" t="s">
        <v>321</v>
      </c>
    </row>
    <row r="6" spans="1:70" x14ac:dyDescent="0.25">
      <c r="A6" t="s">
        <v>150</v>
      </c>
      <c r="B6" t="s">
        <v>164</v>
      </c>
      <c r="C6" t="s">
        <v>179</v>
      </c>
      <c r="E6" t="s">
        <v>237</v>
      </c>
      <c r="F6" t="s">
        <v>272</v>
      </c>
      <c r="H6" t="s">
        <v>308</v>
      </c>
      <c r="J6" t="s">
        <v>332</v>
      </c>
      <c r="K6" t="s">
        <v>326</v>
      </c>
      <c r="L6" t="s">
        <v>9</v>
      </c>
      <c r="P6" t="s">
        <v>86</v>
      </c>
      <c r="Q6" t="s">
        <v>316</v>
      </c>
      <c r="AL6" t="s">
        <v>411</v>
      </c>
      <c r="AM6" t="s">
        <v>489</v>
      </c>
    </row>
    <row r="7" spans="1:70" x14ac:dyDescent="0.25">
      <c r="A7" t="s">
        <v>151</v>
      </c>
      <c r="B7" t="s">
        <v>166</v>
      </c>
      <c r="C7" t="s">
        <v>181</v>
      </c>
      <c r="E7" t="s">
        <v>238</v>
      </c>
      <c r="F7" t="s">
        <v>503</v>
      </c>
      <c r="H7" t="s">
        <v>298</v>
      </c>
      <c r="J7" t="s">
        <v>333</v>
      </c>
      <c r="K7" t="s">
        <v>327</v>
      </c>
      <c r="L7" t="s">
        <v>137</v>
      </c>
      <c r="P7" t="s">
        <v>317</v>
      </c>
      <c r="Q7" t="s">
        <v>318</v>
      </c>
      <c r="R7" t="s">
        <v>319</v>
      </c>
      <c r="AL7" t="s">
        <v>482</v>
      </c>
      <c r="AM7" t="s">
        <v>490</v>
      </c>
    </row>
    <row r="8" spans="1:70" x14ac:dyDescent="0.25">
      <c r="A8" s="66" t="s">
        <v>152</v>
      </c>
      <c r="B8" t="s">
        <v>168</v>
      </c>
      <c r="C8" t="s">
        <v>183</v>
      </c>
      <c r="E8" t="s">
        <v>239</v>
      </c>
      <c r="F8" t="s">
        <v>279</v>
      </c>
      <c r="H8" t="s">
        <v>306</v>
      </c>
      <c r="J8" t="s">
        <v>334</v>
      </c>
      <c r="K8" t="s">
        <v>328</v>
      </c>
      <c r="AL8" t="s">
        <v>483</v>
      </c>
      <c r="AM8" t="s">
        <v>491</v>
      </c>
    </row>
    <row r="9" spans="1:70" x14ac:dyDescent="0.25">
      <c r="A9" s="66" t="s">
        <v>153</v>
      </c>
      <c r="B9" t="s">
        <v>170</v>
      </c>
      <c r="C9" t="s">
        <v>185</v>
      </c>
      <c r="E9" t="s">
        <v>240</v>
      </c>
      <c r="F9" t="s">
        <v>504</v>
      </c>
      <c r="H9" t="s">
        <v>304</v>
      </c>
      <c r="J9" t="s">
        <v>335</v>
      </c>
      <c r="K9" t="s">
        <v>329</v>
      </c>
      <c r="AL9" t="s">
        <v>484</v>
      </c>
      <c r="AM9" t="s">
        <v>492</v>
      </c>
    </row>
    <row r="10" spans="1:70" x14ac:dyDescent="0.25">
      <c r="A10" s="66" t="s">
        <v>154</v>
      </c>
      <c r="B10" t="s">
        <v>172</v>
      </c>
      <c r="C10" t="s">
        <v>187</v>
      </c>
      <c r="E10" t="s">
        <v>241</v>
      </c>
      <c r="F10" t="s">
        <v>505</v>
      </c>
      <c r="H10" t="s">
        <v>300</v>
      </c>
      <c r="J10" t="s">
        <v>336</v>
      </c>
      <c r="K10" t="s">
        <v>137</v>
      </c>
      <c r="AL10" t="s">
        <v>485</v>
      </c>
    </row>
    <row r="11" spans="1:70" x14ac:dyDescent="0.25">
      <c r="A11" s="66" t="s">
        <v>155</v>
      </c>
      <c r="B11" t="s">
        <v>174</v>
      </c>
      <c r="C11" t="s">
        <v>188</v>
      </c>
      <c r="E11" t="s">
        <v>323</v>
      </c>
      <c r="F11" t="s">
        <v>506</v>
      </c>
      <c r="H11" t="s">
        <v>301</v>
      </c>
      <c r="J11" t="s">
        <v>337</v>
      </c>
      <c r="AL11" t="s">
        <v>486</v>
      </c>
    </row>
    <row r="12" spans="1:70" x14ac:dyDescent="0.25">
      <c r="A12" s="66" t="s">
        <v>156</v>
      </c>
      <c r="B12" t="s">
        <v>175</v>
      </c>
      <c r="C12" t="s">
        <v>189</v>
      </c>
      <c r="E12" t="s">
        <v>242</v>
      </c>
      <c r="F12" t="s">
        <v>291</v>
      </c>
      <c r="H12" t="s">
        <v>302</v>
      </c>
      <c r="J12" t="s">
        <v>338</v>
      </c>
      <c r="AL12" t="s">
        <v>479</v>
      </c>
    </row>
    <row r="13" spans="1:70" x14ac:dyDescent="0.25">
      <c r="A13" s="66" t="s">
        <v>157</v>
      </c>
      <c r="B13" t="s">
        <v>176</v>
      </c>
      <c r="C13" t="s">
        <v>190</v>
      </c>
      <c r="E13" t="s">
        <v>243</v>
      </c>
      <c r="F13" t="s">
        <v>289</v>
      </c>
      <c r="H13" t="s">
        <v>303</v>
      </c>
      <c r="J13" t="s">
        <v>339</v>
      </c>
    </row>
    <row r="14" spans="1:70" x14ac:dyDescent="0.25">
      <c r="A14" s="66" t="s">
        <v>158</v>
      </c>
      <c r="B14" t="s">
        <v>178</v>
      </c>
      <c r="C14" t="s">
        <v>191</v>
      </c>
      <c r="F14" t="s">
        <v>290</v>
      </c>
      <c r="H14" t="s">
        <v>296</v>
      </c>
      <c r="J14" t="s">
        <v>340</v>
      </c>
    </row>
    <row r="15" spans="1:70" x14ac:dyDescent="0.25">
      <c r="A15" s="66" t="s">
        <v>159</v>
      </c>
      <c r="B15" t="s">
        <v>180</v>
      </c>
      <c r="C15" t="s">
        <v>194</v>
      </c>
      <c r="F15" t="s">
        <v>507</v>
      </c>
      <c r="H15" t="s">
        <v>307</v>
      </c>
      <c r="J15" t="s">
        <v>341</v>
      </c>
    </row>
    <row r="16" spans="1:70" x14ac:dyDescent="0.25">
      <c r="A16" s="66" t="s">
        <v>160</v>
      </c>
      <c r="B16" t="s">
        <v>182</v>
      </c>
      <c r="C16" t="s">
        <v>231</v>
      </c>
      <c r="F16" t="s">
        <v>249</v>
      </c>
      <c r="H16" t="s">
        <v>299</v>
      </c>
      <c r="J16" t="s">
        <v>342</v>
      </c>
    </row>
    <row r="17" spans="1:10" x14ac:dyDescent="0.25">
      <c r="A17" s="66" t="s">
        <v>161</v>
      </c>
      <c r="B17" t="s">
        <v>184</v>
      </c>
      <c r="C17" t="s">
        <v>216</v>
      </c>
      <c r="F17" t="s">
        <v>269</v>
      </c>
      <c r="H17" t="s">
        <v>297</v>
      </c>
      <c r="J17" t="s">
        <v>343</v>
      </c>
    </row>
    <row r="18" spans="1:10" x14ac:dyDescent="0.25">
      <c r="A18" s="66" t="s">
        <v>162</v>
      </c>
      <c r="B18" t="s">
        <v>186</v>
      </c>
      <c r="C18" t="s">
        <v>220</v>
      </c>
      <c r="F18" t="s">
        <v>508</v>
      </c>
      <c r="H18" t="s">
        <v>66</v>
      </c>
      <c r="J18" t="s">
        <v>344</v>
      </c>
    </row>
    <row r="19" spans="1:10" x14ac:dyDescent="0.25">
      <c r="C19" t="s">
        <v>221</v>
      </c>
      <c r="F19" t="s">
        <v>280</v>
      </c>
      <c r="J19" t="s">
        <v>345</v>
      </c>
    </row>
    <row r="20" spans="1:10" x14ac:dyDescent="0.25">
      <c r="C20" t="s">
        <v>200</v>
      </c>
      <c r="F20" t="s">
        <v>251</v>
      </c>
      <c r="J20" t="s">
        <v>346</v>
      </c>
    </row>
    <row r="21" spans="1:10" x14ac:dyDescent="0.25">
      <c r="C21" t="s">
        <v>201</v>
      </c>
      <c r="F21" t="s">
        <v>271</v>
      </c>
      <c r="J21" t="s">
        <v>347</v>
      </c>
    </row>
    <row r="22" spans="1:10" x14ac:dyDescent="0.25">
      <c r="C22" t="s">
        <v>214</v>
      </c>
      <c r="F22" t="s">
        <v>270</v>
      </c>
      <c r="J22" t="s">
        <v>348</v>
      </c>
    </row>
    <row r="23" spans="1:10" x14ac:dyDescent="0.25">
      <c r="C23" t="s">
        <v>195</v>
      </c>
      <c r="F23" t="s">
        <v>284</v>
      </c>
      <c r="J23" t="s">
        <v>349</v>
      </c>
    </row>
    <row r="24" spans="1:10" x14ac:dyDescent="0.25">
      <c r="C24" t="s">
        <v>232</v>
      </c>
      <c r="F24" t="s">
        <v>267</v>
      </c>
      <c r="J24" t="s">
        <v>350</v>
      </c>
    </row>
    <row r="25" spans="1:10" x14ac:dyDescent="0.25">
      <c r="C25" t="s">
        <v>233</v>
      </c>
      <c r="F25" t="s">
        <v>276</v>
      </c>
      <c r="J25" t="s">
        <v>351</v>
      </c>
    </row>
    <row r="26" spans="1:10" x14ac:dyDescent="0.25">
      <c r="C26" t="s">
        <v>222</v>
      </c>
      <c r="F26" t="s">
        <v>262</v>
      </c>
      <c r="J26" t="s">
        <v>352</v>
      </c>
    </row>
    <row r="27" spans="1:10" x14ac:dyDescent="0.25">
      <c r="C27" t="s">
        <v>169</v>
      </c>
      <c r="F27" t="s">
        <v>278</v>
      </c>
      <c r="J27" t="s">
        <v>353</v>
      </c>
    </row>
    <row r="28" spans="1:10" x14ac:dyDescent="0.25">
      <c r="C28" t="s">
        <v>196</v>
      </c>
      <c r="F28" t="s">
        <v>245</v>
      </c>
      <c r="J28" t="s">
        <v>354</v>
      </c>
    </row>
    <row r="29" spans="1:10" x14ac:dyDescent="0.25">
      <c r="C29" t="s">
        <v>211</v>
      </c>
      <c r="F29" t="s">
        <v>261</v>
      </c>
      <c r="J29" t="s">
        <v>355</v>
      </c>
    </row>
    <row r="30" spans="1:10" x14ac:dyDescent="0.25">
      <c r="C30" t="s">
        <v>197</v>
      </c>
      <c r="F30" t="s">
        <v>246</v>
      </c>
      <c r="J30" t="s">
        <v>356</v>
      </c>
    </row>
    <row r="31" spans="1:10" x14ac:dyDescent="0.25">
      <c r="C31" t="s">
        <v>217</v>
      </c>
      <c r="F31" t="s">
        <v>285</v>
      </c>
      <c r="J31" t="s">
        <v>357</v>
      </c>
    </row>
    <row r="32" spans="1:10" x14ac:dyDescent="0.25">
      <c r="C32" t="s">
        <v>198</v>
      </c>
      <c r="F32" t="s">
        <v>265</v>
      </c>
      <c r="J32" t="s">
        <v>358</v>
      </c>
    </row>
    <row r="33" spans="3:10" x14ac:dyDescent="0.25">
      <c r="C33" t="s">
        <v>234</v>
      </c>
      <c r="F33" t="s">
        <v>259</v>
      </c>
      <c r="J33" t="s">
        <v>359</v>
      </c>
    </row>
    <row r="34" spans="3:10" x14ac:dyDescent="0.25">
      <c r="C34" t="s">
        <v>218</v>
      </c>
      <c r="F34" t="s">
        <v>273</v>
      </c>
      <c r="J34" t="s">
        <v>360</v>
      </c>
    </row>
    <row r="35" spans="3:10" x14ac:dyDescent="0.25">
      <c r="C35" t="s">
        <v>167</v>
      </c>
      <c r="F35" t="s">
        <v>266</v>
      </c>
      <c r="J35" t="s">
        <v>361</v>
      </c>
    </row>
    <row r="36" spans="3:10" x14ac:dyDescent="0.25">
      <c r="C36" t="s">
        <v>171</v>
      </c>
      <c r="F36" t="s">
        <v>256</v>
      </c>
      <c r="J36" t="s">
        <v>362</v>
      </c>
    </row>
    <row r="37" spans="3:10" x14ac:dyDescent="0.25">
      <c r="C37" t="s">
        <v>219</v>
      </c>
      <c r="F37" t="s">
        <v>294</v>
      </c>
      <c r="J37" t="s">
        <v>363</v>
      </c>
    </row>
    <row r="38" spans="3:10" x14ac:dyDescent="0.25">
      <c r="C38" t="s">
        <v>199</v>
      </c>
      <c r="F38" t="s">
        <v>287</v>
      </c>
      <c r="J38" t="s">
        <v>364</v>
      </c>
    </row>
    <row r="39" spans="3:10" x14ac:dyDescent="0.25">
      <c r="C39" t="s">
        <v>173</v>
      </c>
      <c r="F39" t="s">
        <v>247</v>
      </c>
      <c r="J39" t="s">
        <v>365</v>
      </c>
    </row>
    <row r="40" spans="3:10" x14ac:dyDescent="0.25">
      <c r="C40" t="s">
        <v>192</v>
      </c>
      <c r="F40" t="s">
        <v>509</v>
      </c>
      <c r="J40" t="s">
        <v>366</v>
      </c>
    </row>
    <row r="41" spans="3:10" x14ac:dyDescent="0.25">
      <c r="C41" t="s">
        <v>193</v>
      </c>
      <c r="F41" t="s">
        <v>252</v>
      </c>
      <c r="J41" t="s">
        <v>367</v>
      </c>
    </row>
    <row r="42" spans="3:10" x14ac:dyDescent="0.25">
      <c r="C42" t="s">
        <v>202</v>
      </c>
      <c r="F42" t="s">
        <v>268</v>
      </c>
      <c r="J42" t="s">
        <v>368</v>
      </c>
    </row>
    <row r="43" spans="3:10" x14ac:dyDescent="0.25">
      <c r="C43" t="s">
        <v>223</v>
      </c>
      <c r="F43" t="s">
        <v>277</v>
      </c>
      <c r="J43" t="s">
        <v>369</v>
      </c>
    </row>
    <row r="44" spans="3:10" x14ac:dyDescent="0.25">
      <c r="C44" t="s">
        <v>212</v>
      </c>
      <c r="F44" t="s">
        <v>286</v>
      </c>
      <c r="J44" t="s">
        <v>370</v>
      </c>
    </row>
    <row r="45" spans="3:10" x14ac:dyDescent="0.25">
      <c r="C45" t="s">
        <v>224</v>
      </c>
      <c r="F45" t="s">
        <v>253</v>
      </c>
      <c r="J45" t="s">
        <v>371</v>
      </c>
    </row>
    <row r="46" spans="3:10" x14ac:dyDescent="0.25">
      <c r="C46" t="s">
        <v>225</v>
      </c>
      <c r="F46" t="s">
        <v>292</v>
      </c>
      <c r="J46" t="s">
        <v>372</v>
      </c>
    </row>
    <row r="47" spans="3:10" x14ac:dyDescent="0.25">
      <c r="C47" t="s">
        <v>165</v>
      </c>
      <c r="F47" t="s">
        <v>255</v>
      </c>
      <c r="J47" t="s">
        <v>373</v>
      </c>
    </row>
    <row r="48" spans="3:10" x14ac:dyDescent="0.25">
      <c r="C48" t="s">
        <v>164</v>
      </c>
      <c r="F48" t="s">
        <v>281</v>
      </c>
      <c r="J48" t="s">
        <v>374</v>
      </c>
    </row>
    <row r="49" spans="3:10" x14ac:dyDescent="0.25">
      <c r="C49" t="s">
        <v>166</v>
      </c>
      <c r="F49" t="s">
        <v>263</v>
      </c>
      <c r="J49" t="s">
        <v>375</v>
      </c>
    </row>
    <row r="50" spans="3:10" x14ac:dyDescent="0.25">
      <c r="C50" t="s">
        <v>168</v>
      </c>
      <c r="F50" t="s">
        <v>282</v>
      </c>
      <c r="J50" t="s">
        <v>376</v>
      </c>
    </row>
    <row r="51" spans="3:10" x14ac:dyDescent="0.25">
      <c r="C51" t="s">
        <v>170</v>
      </c>
      <c r="F51" t="s">
        <v>510</v>
      </c>
      <c r="J51" t="s">
        <v>377</v>
      </c>
    </row>
    <row r="52" spans="3:10" x14ac:dyDescent="0.25">
      <c r="C52" t="s">
        <v>172</v>
      </c>
      <c r="F52" t="s">
        <v>511</v>
      </c>
      <c r="J52" t="s">
        <v>378</v>
      </c>
    </row>
    <row r="53" spans="3:10" x14ac:dyDescent="0.25">
      <c r="C53" t="s">
        <v>174</v>
      </c>
      <c r="F53" t="s">
        <v>248</v>
      </c>
      <c r="J53" t="s">
        <v>379</v>
      </c>
    </row>
    <row r="54" spans="3:10" x14ac:dyDescent="0.25">
      <c r="C54" t="s">
        <v>210</v>
      </c>
      <c r="F54" t="s">
        <v>264</v>
      </c>
      <c r="J54" t="s">
        <v>380</v>
      </c>
    </row>
    <row r="55" spans="3:10" x14ac:dyDescent="0.25">
      <c r="C55" t="s">
        <v>176</v>
      </c>
      <c r="F55" t="s">
        <v>250</v>
      </c>
      <c r="J55" t="s">
        <v>381</v>
      </c>
    </row>
    <row r="56" spans="3:10" x14ac:dyDescent="0.25">
      <c r="C56" t="s">
        <v>178</v>
      </c>
      <c r="F56" t="s">
        <v>512</v>
      </c>
      <c r="J56" t="s">
        <v>382</v>
      </c>
    </row>
    <row r="57" spans="3:10" x14ac:dyDescent="0.25">
      <c r="C57" t="s">
        <v>180</v>
      </c>
      <c r="F57" t="s">
        <v>293</v>
      </c>
      <c r="J57" t="s">
        <v>383</v>
      </c>
    </row>
    <row r="58" spans="3:10" x14ac:dyDescent="0.25">
      <c r="C58" t="s">
        <v>182</v>
      </c>
      <c r="F58" t="s">
        <v>254</v>
      </c>
      <c r="J58" t="s">
        <v>384</v>
      </c>
    </row>
    <row r="59" spans="3:10" x14ac:dyDescent="0.25">
      <c r="C59" t="s">
        <v>184</v>
      </c>
      <c r="F59" t="s">
        <v>513</v>
      </c>
      <c r="J59" t="s">
        <v>385</v>
      </c>
    </row>
    <row r="60" spans="3:10" x14ac:dyDescent="0.25">
      <c r="C60" t="s">
        <v>186</v>
      </c>
      <c r="F60" t="s">
        <v>283</v>
      </c>
      <c r="J60" t="s">
        <v>386</v>
      </c>
    </row>
    <row r="61" spans="3:10" x14ac:dyDescent="0.25">
      <c r="C61" t="s">
        <v>226</v>
      </c>
      <c r="F61" t="s">
        <v>260</v>
      </c>
      <c r="J61" t="s">
        <v>387</v>
      </c>
    </row>
    <row r="62" spans="3:10" x14ac:dyDescent="0.25">
      <c r="C62" t="s">
        <v>227</v>
      </c>
      <c r="F62" t="s">
        <v>274</v>
      </c>
      <c r="J62" t="s">
        <v>388</v>
      </c>
    </row>
    <row r="63" spans="3:10" x14ac:dyDescent="0.25">
      <c r="C63" t="s">
        <v>203</v>
      </c>
      <c r="F63" t="s">
        <v>244</v>
      </c>
      <c r="J63" t="s">
        <v>389</v>
      </c>
    </row>
    <row r="64" spans="3:10" x14ac:dyDescent="0.25">
      <c r="C64" t="s">
        <v>204</v>
      </c>
      <c r="F64" t="s">
        <v>257</v>
      </c>
      <c r="J64" t="s">
        <v>390</v>
      </c>
    </row>
    <row r="65" spans="3:10" x14ac:dyDescent="0.25">
      <c r="C65" t="s">
        <v>205</v>
      </c>
      <c r="F65" t="s">
        <v>258</v>
      </c>
      <c r="J65" t="s">
        <v>391</v>
      </c>
    </row>
    <row r="66" spans="3:10" x14ac:dyDescent="0.25">
      <c r="C66" t="s">
        <v>206</v>
      </c>
      <c r="F66" t="s">
        <v>514</v>
      </c>
      <c r="J66" t="s">
        <v>392</v>
      </c>
    </row>
    <row r="67" spans="3:10" x14ac:dyDescent="0.25">
      <c r="C67" t="s">
        <v>207</v>
      </c>
      <c r="J67" t="s">
        <v>393</v>
      </c>
    </row>
    <row r="68" spans="3:10" x14ac:dyDescent="0.25">
      <c r="C68" t="s">
        <v>208</v>
      </c>
      <c r="J68" t="s">
        <v>394</v>
      </c>
    </row>
    <row r="69" spans="3:10" x14ac:dyDescent="0.25">
      <c r="C69" t="s">
        <v>209</v>
      </c>
      <c r="J69" t="s">
        <v>395</v>
      </c>
    </row>
    <row r="70" spans="3:10" x14ac:dyDescent="0.25">
      <c r="C70" t="s">
        <v>213</v>
      </c>
      <c r="J70" t="s">
        <v>396</v>
      </c>
    </row>
    <row r="71" spans="3:10" x14ac:dyDescent="0.25">
      <c r="C71" t="s">
        <v>228</v>
      </c>
      <c r="J71" t="s">
        <v>397</v>
      </c>
    </row>
    <row r="72" spans="3:10" x14ac:dyDescent="0.25">
      <c r="C72" t="s">
        <v>229</v>
      </c>
      <c r="J72" t="s">
        <v>398</v>
      </c>
    </row>
    <row r="73" spans="3:10" x14ac:dyDescent="0.25">
      <c r="C73" t="s">
        <v>230</v>
      </c>
      <c r="J73" t="s">
        <v>399</v>
      </c>
    </row>
    <row r="74" spans="3:10" x14ac:dyDescent="0.25">
      <c r="C74" t="s">
        <v>215</v>
      </c>
      <c r="J74" t="s">
        <v>400</v>
      </c>
    </row>
    <row r="75" spans="3:10" x14ac:dyDescent="0.25">
      <c r="J75" t="s">
        <v>401</v>
      </c>
    </row>
    <row r="76" spans="3:10" x14ac:dyDescent="0.25">
      <c r="J76" t="s">
        <v>402</v>
      </c>
    </row>
    <row r="77" spans="3:10" x14ac:dyDescent="0.25">
      <c r="J77" t="s">
        <v>403</v>
      </c>
    </row>
    <row r="78" spans="3:10" x14ac:dyDescent="0.25">
      <c r="J78" t="s">
        <v>404</v>
      </c>
    </row>
    <row r="79" spans="3:10" x14ac:dyDescent="0.25">
      <c r="J79" t="s">
        <v>405</v>
      </c>
    </row>
    <row r="80" spans="3:10" x14ac:dyDescent="0.25">
      <c r="J80" t="s">
        <v>406</v>
      </c>
    </row>
    <row r="81" spans="10:10" x14ac:dyDescent="0.25">
      <c r="J81" t="s">
        <v>407</v>
      </c>
    </row>
    <row r="82" spans="10:10" x14ac:dyDescent="0.25">
      <c r="J82" t="s">
        <v>408</v>
      </c>
    </row>
    <row r="83" spans="10:10" x14ac:dyDescent="0.25">
      <c r="J83" t="s">
        <v>409</v>
      </c>
    </row>
    <row r="84" spans="10:10" x14ac:dyDescent="0.25">
      <c r="J84" t="s">
        <v>410</v>
      </c>
    </row>
    <row r="85" spans="10:10" x14ac:dyDescent="0.25">
      <c r="J85" t="s">
        <v>411</v>
      </c>
    </row>
    <row r="86" spans="10:10" x14ac:dyDescent="0.25">
      <c r="J86" t="s">
        <v>412</v>
      </c>
    </row>
    <row r="87" spans="10:10" x14ac:dyDescent="0.25">
      <c r="J87" t="s">
        <v>413</v>
      </c>
    </row>
    <row r="88" spans="10:10" x14ac:dyDescent="0.25">
      <c r="J88" t="s">
        <v>414</v>
      </c>
    </row>
    <row r="89" spans="10:10" x14ac:dyDescent="0.25">
      <c r="J89" t="s">
        <v>415</v>
      </c>
    </row>
    <row r="90" spans="10:10" x14ac:dyDescent="0.25">
      <c r="J90" t="s">
        <v>416</v>
      </c>
    </row>
    <row r="91" spans="10:10" x14ac:dyDescent="0.25">
      <c r="J91" t="s">
        <v>417</v>
      </c>
    </row>
    <row r="92" spans="10:10" x14ac:dyDescent="0.25">
      <c r="J92" t="s">
        <v>418</v>
      </c>
    </row>
    <row r="93" spans="10:10" x14ac:dyDescent="0.25">
      <c r="J93" t="s">
        <v>419</v>
      </c>
    </row>
    <row r="94" spans="10:10" x14ac:dyDescent="0.25">
      <c r="J94" t="s">
        <v>420</v>
      </c>
    </row>
    <row r="95" spans="10:10" x14ac:dyDescent="0.25">
      <c r="J95" t="s">
        <v>421</v>
      </c>
    </row>
    <row r="96" spans="10:10" x14ac:dyDescent="0.25">
      <c r="J96" t="s">
        <v>422</v>
      </c>
    </row>
    <row r="97" spans="10:10" x14ac:dyDescent="0.25">
      <c r="J97" t="s">
        <v>423</v>
      </c>
    </row>
    <row r="98" spans="10:10" x14ac:dyDescent="0.25">
      <c r="J98" t="s">
        <v>424</v>
      </c>
    </row>
    <row r="99" spans="10:10" x14ac:dyDescent="0.25">
      <c r="J99" t="s">
        <v>425</v>
      </c>
    </row>
    <row r="100" spans="10:10" x14ac:dyDescent="0.25">
      <c r="J100" t="s">
        <v>426</v>
      </c>
    </row>
    <row r="101" spans="10:10" x14ac:dyDescent="0.25">
      <c r="J101" t="s">
        <v>427</v>
      </c>
    </row>
    <row r="102" spans="10:10" x14ac:dyDescent="0.25">
      <c r="J102" t="s">
        <v>428</v>
      </c>
    </row>
    <row r="103" spans="10:10" x14ac:dyDescent="0.25">
      <c r="J103" t="s">
        <v>429</v>
      </c>
    </row>
    <row r="104" spans="10:10" x14ac:dyDescent="0.25">
      <c r="J104" t="s">
        <v>430</v>
      </c>
    </row>
    <row r="105" spans="10:10" x14ac:dyDescent="0.25">
      <c r="J105" t="s">
        <v>431</v>
      </c>
    </row>
    <row r="106" spans="10:10" x14ac:dyDescent="0.25">
      <c r="J106" t="s">
        <v>432</v>
      </c>
    </row>
    <row r="107" spans="10:10" x14ac:dyDescent="0.25">
      <c r="J107" t="s">
        <v>433</v>
      </c>
    </row>
    <row r="108" spans="10:10" x14ac:dyDescent="0.25">
      <c r="J108" t="s">
        <v>434</v>
      </c>
    </row>
    <row r="109" spans="10:10" x14ac:dyDescent="0.25">
      <c r="J109" t="s">
        <v>435</v>
      </c>
    </row>
    <row r="110" spans="10:10" x14ac:dyDescent="0.25">
      <c r="J110" t="s">
        <v>436</v>
      </c>
    </row>
    <row r="111" spans="10:10" x14ac:dyDescent="0.25">
      <c r="J111" t="s">
        <v>437</v>
      </c>
    </row>
    <row r="112" spans="10:10" x14ac:dyDescent="0.25">
      <c r="J112" t="s">
        <v>438</v>
      </c>
    </row>
    <row r="113" spans="10:10" x14ac:dyDescent="0.25">
      <c r="J113" t="s">
        <v>439</v>
      </c>
    </row>
    <row r="114" spans="10:10" x14ac:dyDescent="0.25">
      <c r="J114" t="s">
        <v>440</v>
      </c>
    </row>
    <row r="115" spans="10:10" x14ac:dyDescent="0.25">
      <c r="J115" t="s">
        <v>441</v>
      </c>
    </row>
    <row r="116" spans="10:10" x14ac:dyDescent="0.25">
      <c r="J116" t="s">
        <v>442</v>
      </c>
    </row>
    <row r="117" spans="10:10" x14ac:dyDescent="0.25">
      <c r="J117" t="s">
        <v>443</v>
      </c>
    </row>
    <row r="118" spans="10:10" x14ac:dyDescent="0.25">
      <c r="J118" t="s">
        <v>444</v>
      </c>
    </row>
    <row r="119" spans="10:10" x14ac:dyDescent="0.25">
      <c r="J119" t="s">
        <v>445</v>
      </c>
    </row>
    <row r="120" spans="10:10" x14ac:dyDescent="0.25">
      <c r="J120" t="s">
        <v>446</v>
      </c>
    </row>
    <row r="121" spans="10:10" x14ac:dyDescent="0.25">
      <c r="J121" t="s">
        <v>447</v>
      </c>
    </row>
    <row r="122" spans="10:10" x14ac:dyDescent="0.25">
      <c r="J122" t="s">
        <v>448</v>
      </c>
    </row>
    <row r="123" spans="10:10" x14ac:dyDescent="0.25">
      <c r="J123" t="s">
        <v>449</v>
      </c>
    </row>
    <row r="124" spans="10:10" x14ac:dyDescent="0.25">
      <c r="J124" t="s">
        <v>450</v>
      </c>
    </row>
    <row r="125" spans="10:10" x14ac:dyDescent="0.25">
      <c r="J125" t="s">
        <v>451</v>
      </c>
    </row>
    <row r="126" spans="10:10" x14ac:dyDescent="0.25">
      <c r="J126" t="s">
        <v>452</v>
      </c>
    </row>
    <row r="127" spans="10:10" x14ac:dyDescent="0.25">
      <c r="J127" t="s">
        <v>453</v>
      </c>
    </row>
    <row r="128" spans="10:10" x14ac:dyDescent="0.25">
      <c r="J128" t="s">
        <v>454</v>
      </c>
    </row>
    <row r="129" spans="10:10" x14ac:dyDescent="0.25">
      <c r="J129" t="s">
        <v>455</v>
      </c>
    </row>
    <row r="130" spans="10:10" x14ac:dyDescent="0.25">
      <c r="J130" t="s">
        <v>456</v>
      </c>
    </row>
    <row r="131" spans="10:10" x14ac:dyDescent="0.25">
      <c r="J131" t="s">
        <v>457</v>
      </c>
    </row>
    <row r="132" spans="10:10" x14ac:dyDescent="0.25">
      <c r="J132" t="s">
        <v>458</v>
      </c>
    </row>
    <row r="133" spans="10:10" x14ac:dyDescent="0.25">
      <c r="J133" t="s">
        <v>459</v>
      </c>
    </row>
    <row r="134" spans="10:10" x14ac:dyDescent="0.25">
      <c r="J134" t="s">
        <v>460</v>
      </c>
    </row>
    <row r="135" spans="10:10" x14ac:dyDescent="0.25">
      <c r="J135" t="s">
        <v>461</v>
      </c>
    </row>
    <row r="136" spans="10:10" x14ac:dyDescent="0.25">
      <c r="J136" t="s">
        <v>462</v>
      </c>
    </row>
    <row r="137" spans="10:10" x14ac:dyDescent="0.25">
      <c r="J137" t="s">
        <v>463</v>
      </c>
    </row>
    <row r="138" spans="10:10" x14ac:dyDescent="0.25">
      <c r="J138" t="s">
        <v>464</v>
      </c>
    </row>
    <row r="139" spans="10:10" x14ac:dyDescent="0.25">
      <c r="J139" t="s">
        <v>465</v>
      </c>
    </row>
    <row r="140" spans="10:10" x14ac:dyDescent="0.25">
      <c r="J140" t="s">
        <v>466</v>
      </c>
    </row>
    <row r="141" spans="10:10" x14ac:dyDescent="0.25">
      <c r="J141" t="s">
        <v>467</v>
      </c>
    </row>
    <row r="142" spans="10:10" x14ac:dyDescent="0.25">
      <c r="J142" t="s">
        <v>468</v>
      </c>
    </row>
    <row r="143" spans="10:10" x14ac:dyDescent="0.25">
      <c r="J143" t="s">
        <v>469</v>
      </c>
    </row>
    <row r="144" spans="10:10" x14ac:dyDescent="0.25">
      <c r="J144" t="s">
        <v>470</v>
      </c>
    </row>
    <row r="145" spans="10:10" x14ac:dyDescent="0.25">
      <c r="J145" t="s">
        <v>471</v>
      </c>
    </row>
    <row r="146" spans="10:10" x14ac:dyDescent="0.25">
      <c r="J146" t="s">
        <v>472</v>
      </c>
    </row>
    <row r="147" spans="10:10" x14ac:dyDescent="0.25">
      <c r="J147" t="s">
        <v>473</v>
      </c>
    </row>
    <row r="148" spans="10:10" x14ac:dyDescent="0.25">
      <c r="J148" t="s">
        <v>474</v>
      </c>
    </row>
    <row r="149" spans="10:10" x14ac:dyDescent="0.25">
      <c r="J149" t="s">
        <v>475</v>
      </c>
    </row>
    <row r="150" spans="10:10" x14ac:dyDescent="0.25">
      <c r="J150" t="s">
        <v>476</v>
      </c>
    </row>
    <row r="151" spans="10:10" x14ac:dyDescent="0.25">
      <c r="J151" t="s">
        <v>477</v>
      </c>
    </row>
    <row r="152" spans="10:10" x14ac:dyDescent="0.25">
      <c r="J152" t="s">
        <v>137</v>
      </c>
    </row>
  </sheetData>
  <mergeCells count="35">
    <mergeCell ref="H1:H3"/>
    <mergeCell ref="A2:A3"/>
    <mergeCell ref="B2:B3"/>
    <mergeCell ref="C2:C3"/>
    <mergeCell ref="A1:C1"/>
    <mergeCell ref="D1:D3"/>
    <mergeCell ref="E1:E3"/>
    <mergeCell ref="F1:F3"/>
    <mergeCell ref="G1:G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Hoja1</vt:lpstr>
      <vt:lpstr>Hoja2</vt:lpstr>
      <vt:lpstr>Matriz POA 2026</vt:lpstr>
      <vt:lpstr>Hoja3</vt:lpstr>
      <vt:lpstr>POA (indicaciones generales)</vt:lpstr>
      <vt:lpstr>OBJ GESTION PMDOT</vt:lpstr>
      <vt:lpstr>Listas</vt:lpstr>
      <vt:lpstr>'POA (indicaciones generales)'!Área_de_impresión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Mancheno</dc:creator>
  <cp:lastModifiedBy>Alex Wladimir Casa Chanaluisa</cp:lastModifiedBy>
  <cp:lastPrinted>2024-08-06T18:29:45Z</cp:lastPrinted>
  <dcterms:created xsi:type="dcterms:W3CDTF">2016-06-03T15:54:51Z</dcterms:created>
  <dcterms:modified xsi:type="dcterms:W3CDTF">2026-08-20T17:31:49Z</dcterms:modified>
</cp:coreProperties>
</file>